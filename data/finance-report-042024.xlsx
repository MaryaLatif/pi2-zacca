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rya/Documents/ESILV/A4/S8/Pi2/pi2-zacca/data/"/>
    </mc:Choice>
  </mc:AlternateContent>
  <xr:revisionPtr revIDLastSave="0" documentId="13_ncr:1_{6E4F1443-F0C5-B642-9C7D-4E33BCDAE32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roject Budget in TRY" sheetId="2" r:id="rId1"/>
    <sheet name="Transaction Journal" sheetId="5" r:id="rId2"/>
  </sheets>
  <definedNames>
    <definedName name="_xlnm._FilterDatabase" localSheetId="1" hidden="1">'Transaction Journal'!$B$3:$S$164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4" i="5" l="1"/>
  <c r="O163" i="5"/>
  <c r="R163" i="5" s="1"/>
  <c r="G163" i="5"/>
  <c r="O162" i="5"/>
  <c r="R162" i="5" s="1"/>
  <c r="G162" i="5"/>
  <c r="O161" i="5"/>
  <c r="R161" i="5" s="1"/>
  <c r="G161" i="5"/>
  <c r="O160" i="5"/>
  <c r="R160" i="5" s="1"/>
  <c r="G160" i="5"/>
  <c r="L159" i="5"/>
  <c r="O159" i="5" s="1"/>
  <c r="R159" i="5" s="1"/>
  <c r="G159" i="5"/>
  <c r="O158" i="5"/>
  <c r="R158" i="5" s="1"/>
  <c r="G158" i="5"/>
  <c r="O157" i="5"/>
  <c r="R157" i="5" s="1"/>
  <c r="G157" i="5"/>
  <c r="O156" i="5"/>
  <c r="R156" i="5" s="1"/>
  <c r="G156" i="5"/>
  <c r="O155" i="5"/>
  <c r="R155" i="5" s="1"/>
  <c r="G155" i="5"/>
  <c r="O154" i="5"/>
  <c r="R154" i="5" s="1"/>
  <c r="G154" i="5"/>
  <c r="O153" i="5"/>
  <c r="R153" i="5" s="1"/>
  <c r="G153" i="5"/>
  <c r="O152" i="5"/>
  <c r="R152" i="5" s="1"/>
  <c r="G152" i="5"/>
  <c r="O151" i="5"/>
  <c r="R151" i="5" s="1"/>
  <c r="G151" i="5"/>
  <c r="O150" i="5"/>
  <c r="R150" i="5" s="1"/>
  <c r="G150" i="5"/>
  <c r="O149" i="5"/>
  <c r="R149" i="5" s="1"/>
  <c r="G149" i="5"/>
  <c r="O148" i="5"/>
  <c r="R148" i="5" s="1"/>
  <c r="G148" i="5"/>
  <c r="O147" i="5"/>
  <c r="R147" i="5" s="1"/>
  <c r="G147" i="5"/>
  <c r="O146" i="5"/>
  <c r="R146" i="5" s="1"/>
  <c r="G146" i="5"/>
  <c r="O145" i="5"/>
  <c r="R145" i="5" s="1"/>
  <c r="G145" i="5"/>
  <c r="L144" i="5"/>
  <c r="O144" i="5" s="1"/>
  <c r="R144" i="5" s="1"/>
  <c r="G144" i="5"/>
  <c r="L143" i="5"/>
  <c r="O143" i="5" s="1"/>
  <c r="R143" i="5" s="1"/>
  <c r="G143" i="5"/>
  <c r="L142" i="5"/>
  <c r="O142" i="5" s="1"/>
  <c r="R142" i="5" s="1"/>
  <c r="G142" i="5"/>
  <c r="L141" i="5"/>
  <c r="O141" i="5" s="1"/>
  <c r="R141" i="5" s="1"/>
  <c r="G141" i="5"/>
  <c r="O140" i="5"/>
  <c r="R140" i="5" s="1"/>
  <c r="G140" i="5"/>
  <c r="L139" i="5"/>
  <c r="O139" i="5" s="1"/>
  <c r="R139" i="5" s="1"/>
  <c r="G139" i="5"/>
  <c r="O138" i="5"/>
  <c r="R138" i="5" s="1"/>
  <c r="G138" i="5"/>
  <c r="L137" i="5"/>
  <c r="O137" i="5" s="1"/>
  <c r="R137" i="5" s="1"/>
  <c r="G137" i="5"/>
  <c r="O136" i="5"/>
  <c r="R136" i="5" s="1"/>
  <c r="G136" i="5"/>
  <c r="L135" i="5"/>
  <c r="O135" i="5" s="1"/>
  <c r="R135" i="5" s="1"/>
  <c r="G135" i="5"/>
  <c r="O134" i="5"/>
  <c r="R134" i="5" s="1"/>
  <c r="G134" i="5"/>
  <c r="L133" i="5"/>
  <c r="O133" i="5" s="1"/>
  <c r="R133" i="5" s="1"/>
  <c r="G133" i="5"/>
  <c r="O132" i="5"/>
  <c r="R132" i="5" s="1"/>
  <c r="G132" i="5"/>
  <c r="L131" i="5"/>
  <c r="O131" i="5" s="1"/>
  <c r="R131" i="5" s="1"/>
  <c r="G131" i="5"/>
  <c r="O130" i="5"/>
  <c r="R130" i="5" s="1"/>
  <c r="G130" i="5"/>
  <c r="L129" i="5"/>
  <c r="O129" i="5" s="1"/>
  <c r="R129" i="5" s="1"/>
  <c r="G129" i="5"/>
  <c r="O128" i="5"/>
  <c r="R128" i="5" s="1"/>
  <c r="G128" i="5"/>
  <c r="L127" i="5"/>
  <c r="O127" i="5" s="1"/>
  <c r="R127" i="5" s="1"/>
  <c r="G127" i="5"/>
  <c r="O126" i="5"/>
  <c r="R126" i="5" s="1"/>
  <c r="G126" i="5"/>
  <c r="L125" i="5"/>
  <c r="O125" i="5" s="1"/>
  <c r="R125" i="5" s="1"/>
  <c r="G125" i="5"/>
  <c r="O124" i="5"/>
  <c r="R124" i="5" s="1"/>
  <c r="G124" i="5"/>
  <c r="L123" i="5"/>
  <c r="O123" i="5" s="1"/>
  <c r="R123" i="5" s="1"/>
  <c r="G123" i="5"/>
  <c r="O122" i="5"/>
  <c r="R122" i="5" s="1"/>
  <c r="G122" i="5"/>
  <c r="L121" i="5"/>
  <c r="O121" i="5" s="1"/>
  <c r="R121" i="5" s="1"/>
  <c r="G121" i="5"/>
  <c r="O120" i="5"/>
  <c r="R120" i="5" s="1"/>
  <c r="G120" i="5"/>
  <c r="L119" i="5"/>
  <c r="O119" i="5" s="1"/>
  <c r="R119" i="5" s="1"/>
  <c r="G119" i="5"/>
  <c r="O118" i="5"/>
  <c r="R118" i="5" s="1"/>
  <c r="G118" i="5"/>
  <c r="L117" i="5"/>
  <c r="O117" i="5" s="1"/>
  <c r="R117" i="5" s="1"/>
  <c r="G117" i="5"/>
  <c r="O116" i="5"/>
  <c r="R116" i="5" s="1"/>
  <c r="G116" i="5"/>
  <c r="L115" i="5"/>
  <c r="O115" i="5" s="1"/>
  <c r="R115" i="5" s="1"/>
  <c r="G115" i="5"/>
  <c r="O114" i="5"/>
  <c r="R114" i="5" s="1"/>
  <c r="G114" i="5"/>
  <c r="L113" i="5"/>
  <c r="O113" i="5" s="1"/>
  <c r="R113" i="5" s="1"/>
  <c r="G113" i="5"/>
  <c r="O112" i="5"/>
  <c r="R112" i="5" s="1"/>
  <c r="G112" i="5"/>
  <c r="L111" i="5"/>
  <c r="O111" i="5" s="1"/>
  <c r="R111" i="5" s="1"/>
  <c r="G111" i="5"/>
  <c r="O110" i="5"/>
  <c r="R110" i="5" s="1"/>
  <c r="G110" i="5"/>
  <c r="L109" i="5"/>
  <c r="O109" i="5" s="1"/>
  <c r="R109" i="5" s="1"/>
  <c r="G109" i="5"/>
  <c r="O108" i="5"/>
  <c r="R108" i="5" s="1"/>
  <c r="G108" i="5"/>
  <c r="L107" i="5"/>
  <c r="O107" i="5" s="1"/>
  <c r="R107" i="5" s="1"/>
  <c r="G107" i="5"/>
  <c r="O106" i="5"/>
  <c r="R106" i="5" s="1"/>
  <c r="G106" i="5"/>
  <c r="L105" i="5"/>
  <c r="O105" i="5" s="1"/>
  <c r="R105" i="5" s="1"/>
  <c r="G105" i="5"/>
  <c r="O104" i="5"/>
  <c r="R104" i="5" s="1"/>
  <c r="G104" i="5"/>
  <c r="L103" i="5"/>
  <c r="O103" i="5" s="1"/>
  <c r="R103" i="5" s="1"/>
  <c r="G103" i="5"/>
  <c r="O102" i="5"/>
  <c r="R102" i="5" s="1"/>
  <c r="G102" i="5"/>
  <c r="L101" i="5"/>
  <c r="O101" i="5" s="1"/>
  <c r="R101" i="5" s="1"/>
  <c r="G101" i="5"/>
  <c r="O100" i="5"/>
  <c r="R100" i="5" s="1"/>
  <c r="G100" i="5"/>
  <c r="L99" i="5"/>
  <c r="O99" i="5" s="1"/>
  <c r="R99" i="5" s="1"/>
  <c r="G99" i="5"/>
  <c r="O98" i="5"/>
  <c r="R98" i="5" s="1"/>
  <c r="G98" i="5"/>
  <c r="L97" i="5"/>
  <c r="O97" i="5" s="1"/>
  <c r="R97" i="5" s="1"/>
  <c r="G97" i="5"/>
  <c r="O96" i="5"/>
  <c r="R96" i="5" s="1"/>
  <c r="G96" i="5"/>
  <c r="G95" i="5"/>
  <c r="O94" i="5"/>
  <c r="R94" i="5" s="1"/>
  <c r="G94" i="5"/>
  <c r="O93" i="5"/>
  <c r="R93" i="5" s="1"/>
  <c r="G93" i="5"/>
  <c r="O92" i="5"/>
  <c r="R92" i="5" s="1"/>
  <c r="G92" i="5"/>
  <c r="R91" i="5"/>
  <c r="O91" i="5"/>
  <c r="G91" i="5"/>
  <c r="L90" i="5"/>
  <c r="O90" i="5" s="1"/>
  <c r="R90" i="5" s="1"/>
  <c r="G90" i="5"/>
  <c r="O89" i="5"/>
  <c r="R89" i="5" s="1"/>
  <c r="G89" i="5"/>
  <c r="O88" i="5"/>
  <c r="R88" i="5" s="1"/>
  <c r="G88" i="5"/>
  <c r="O87" i="5"/>
  <c r="R87" i="5" s="1"/>
  <c r="G87" i="5"/>
  <c r="O86" i="5"/>
  <c r="R86" i="5" s="1"/>
  <c r="G86" i="5"/>
  <c r="O85" i="5"/>
  <c r="R85" i="5" s="1"/>
  <c r="G85" i="5"/>
  <c r="O84" i="5"/>
  <c r="R84" i="5" s="1"/>
  <c r="G84" i="5"/>
  <c r="O83" i="5"/>
  <c r="R83" i="5" s="1"/>
  <c r="G83" i="5"/>
  <c r="O82" i="5"/>
  <c r="R82" i="5" s="1"/>
  <c r="G82" i="5"/>
  <c r="O81" i="5"/>
  <c r="R81" i="5" s="1"/>
  <c r="G81" i="5"/>
  <c r="O80" i="5"/>
  <c r="R80" i="5" s="1"/>
  <c r="G80" i="5"/>
  <c r="O79" i="5"/>
  <c r="R79" i="5" s="1"/>
  <c r="G79" i="5"/>
  <c r="O78" i="5"/>
  <c r="R78" i="5" s="1"/>
  <c r="G78" i="5"/>
  <c r="O77" i="5"/>
  <c r="R77" i="5" s="1"/>
  <c r="G77" i="5"/>
  <c r="O76" i="5"/>
  <c r="R76" i="5" s="1"/>
  <c r="G76" i="5"/>
  <c r="O75" i="5"/>
  <c r="R75" i="5" s="1"/>
  <c r="G75" i="5"/>
  <c r="L74" i="5"/>
  <c r="O74" i="5" s="1"/>
  <c r="R74" i="5" s="1"/>
  <c r="G74" i="5"/>
  <c r="O73" i="5"/>
  <c r="R73" i="5" s="1"/>
  <c r="G73" i="5"/>
  <c r="L72" i="5"/>
  <c r="O72" i="5" s="1"/>
  <c r="R72" i="5" s="1"/>
  <c r="G72" i="5"/>
  <c r="O71" i="5"/>
  <c r="R71" i="5" s="1"/>
  <c r="G71" i="5"/>
  <c r="L70" i="5"/>
  <c r="O70" i="5" s="1"/>
  <c r="R70" i="5" s="1"/>
  <c r="G70" i="5"/>
  <c r="O69" i="5"/>
  <c r="R69" i="5" s="1"/>
  <c r="G69" i="5"/>
  <c r="L68" i="5"/>
  <c r="O68" i="5" s="1"/>
  <c r="R68" i="5" s="1"/>
  <c r="G68" i="5"/>
  <c r="O67" i="5"/>
  <c r="R67" i="5" s="1"/>
  <c r="G67" i="5"/>
  <c r="L66" i="5"/>
  <c r="O66" i="5" s="1"/>
  <c r="R66" i="5" s="1"/>
  <c r="G66" i="5"/>
  <c r="O65" i="5"/>
  <c r="R65" i="5" s="1"/>
  <c r="G65" i="5"/>
  <c r="L64" i="5"/>
  <c r="O64" i="5" s="1"/>
  <c r="R64" i="5" s="1"/>
  <c r="G64" i="5"/>
  <c r="O63" i="5"/>
  <c r="R63" i="5" s="1"/>
  <c r="G63" i="5"/>
  <c r="L62" i="5"/>
  <c r="O62" i="5" s="1"/>
  <c r="R62" i="5" s="1"/>
  <c r="G62" i="5"/>
  <c r="O61" i="5"/>
  <c r="R61" i="5" s="1"/>
  <c r="G61" i="5"/>
  <c r="L60" i="5"/>
  <c r="O60" i="5" s="1"/>
  <c r="R60" i="5" s="1"/>
  <c r="G60" i="5"/>
  <c r="O59" i="5"/>
  <c r="R59" i="5" s="1"/>
  <c r="G59" i="5"/>
  <c r="L58" i="5"/>
  <c r="O58" i="5" s="1"/>
  <c r="R58" i="5" s="1"/>
  <c r="G58" i="5"/>
  <c r="O57" i="5"/>
  <c r="R57" i="5" s="1"/>
  <c r="G57" i="5"/>
  <c r="L56" i="5"/>
  <c r="O56" i="5" s="1"/>
  <c r="R56" i="5" s="1"/>
  <c r="G56" i="5"/>
  <c r="O55" i="5"/>
  <c r="R55" i="5" s="1"/>
  <c r="G55" i="5"/>
  <c r="L54" i="5"/>
  <c r="O54" i="5" s="1"/>
  <c r="R54" i="5" s="1"/>
  <c r="G54" i="5"/>
  <c r="O53" i="5"/>
  <c r="R53" i="5" s="1"/>
  <c r="G53" i="5"/>
  <c r="L52" i="5"/>
  <c r="O52" i="5" s="1"/>
  <c r="R52" i="5" s="1"/>
  <c r="G52" i="5"/>
  <c r="O51" i="5"/>
  <c r="R51" i="5" s="1"/>
  <c r="G51" i="5"/>
  <c r="L50" i="5"/>
  <c r="O50" i="5" s="1"/>
  <c r="R50" i="5" s="1"/>
  <c r="G50" i="5"/>
  <c r="O49" i="5"/>
  <c r="R49" i="5" s="1"/>
  <c r="G49" i="5"/>
  <c r="G48" i="5"/>
  <c r="O47" i="5"/>
  <c r="R47" i="5" s="1"/>
  <c r="G47" i="5"/>
  <c r="O46" i="5"/>
  <c r="R46" i="5" s="1"/>
  <c r="G46" i="5"/>
  <c r="O45" i="5"/>
  <c r="R45" i="5" s="1"/>
  <c r="G45" i="5"/>
  <c r="O44" i="5"/>
  <c r="R44" i="5" s="1"/>
  <c r="G44" i="5"/>
  <c r="O43" i="5"/>
  <c r="R43" i="5" s="1"/>
  <c r="G43" i="5"/>
  <c r="O42" i="5"/>
  <c r="R42" i="5" s="1"/>
  <c r="G42" i="5"/>
  <c r="O41" i="5"/>
  <c r="R41" i="5" s="1"/>
  <c r="G41" i="5"/>
  <c r="O40" i="5"/>
  <c r="R40" i="5" s="1"/>
  <c r="G40" i="5"/>
  <c r="O39" i="5"/>
  <c r="R39" i="5" s="1"/>
  <c r="G39" i="5"/>
  <c r="O38" i="5"/>
  <c r="R38" i="5" s="1"/>
  <c r="G38" i="5"/>
  <c r="O37" i="5"/>
  <c r="R37" i="5" s="1"/>
  <c r="G37" i="5"/>
  <c r="O36" i="5"/>
  <c r="R36" i="5" s="1"/>
  <c r="G36" i="5"/>
  <c r="O35" i="5"/>
  <c r="R35" i="5" s="1"/>
  <c r="G35" i="5"/>
  <c r="O34" i="5"/>
  <c r="R34" i="5" s="1"/>
  <c r="G34" i="5"/>
  <c r="O33" i="5"/>
  <c r="R33" i="5" s="1"/>
  <c r="G33" i="5"/>
  <c r="O32" i="5"/>
  <c r="R32" i="5" s="1"/>
  <c r="G32" i="5"/>
  <c r="L31" i="5"/>
  <c r="O31" i="5" s="1"/>
  <c r="R31" i="5" s="1"/>
  <c r="G31" i="5"/>
  <c r="O30" i="5"/>
  <c r="R30" i="5" s="1"/>
  <c r="G30" i="5"/>
  <c r="L29" i="5"/>
  <c r="O29" i="5" s="1"/>
  <c r="R29" i="5" s="1"/>
  <c r="G29" i="5"/>
  <c r="O28" i="5"/>
  <c r="R28" i="5" s="1"/>
  <c r="G28" i="5"/>
  <c r="L27" i="5"/>
  <c r="O27" i="5" s="1"/>
  <c r="R27" i="5" s="1"/>
  <c r="G27" i="5"/>
  <c r="O26" i="5"/>
  <c r="R26" i="5" s="1"/>
  <c r="G26" i="5"/>
  <c r="L25" i="5"/>
  <c r="O25" i="5" s="1"/>
  <c r="R25" i="5" s="1"/>
  <c r="G25" i="5"/>
  <c r="O24" i="5"/>
  <c r="R24" i="5" s="1"/>
  <c r="G24" i="5"/>
  <c r="L23" i="5"/>
  <c r="O23" i="5" s="1"/>
  <c r="R23" i="5" s="1"/>
  <c r="G23" i="5"/>
  <c r="O22" i="5"/>
  <c r="R22" i="5" s="1"/>
  <c r="G22" i="5"/>
  <c r="L21" i="5"/>
  <c r="O21" i="5" s="1"/>
  <c r="R21" i="5" s="1"/>
  <c r="G21" i="5"/>
  <c r="O20" i="5"/>
  <c r="R20" i="5" s="1"/>
  <c r="G20" i="5"/>
  <c r="L19" i="5"/>
  <c r="O19" i="5" s="1"/>
  <c r="R19" i="5" s="1"/>
  <c r="G19" i="5"/>
  <c r="O18" i="5"/>
  <c r="R18" i="5" s="1"/>
  <c r="G18" i="5"/>
  <c r="L17" i="5"/>
  <c r="O17" i="5" s="1"/>
  <c r="R17" i="5" s="1"/>
  <c r="G17" i="5"/>
  <c r="O16" i="5"/>
  <c r="R16" i="5" s="1"/>
  <c r="G16" i="5"/>
  <c r="L15" i="5"/>
  <c r="O15" i="5" s="1"/>
  <c r="R15" i="5" s="1"/>
  <c r="G15" i="5"/>
  <c r="O14" i="5"/>
  <c r="R14" i="5" s="1"/>
  <c r="G14" i="5"/>
  <c r="L13" i="5"/>
  <c r="O13" i="5" s="1"/>
  <c r="R13" i="5" s="1"/>
  <c r="G13" i="5"/>
  <c r="O12" i="5"/>
  <c r="R12" i="5" s="1"/>
  <c r="G12" i="5"/>
  <c r="L11" i="5"/>
  <c r="O11" i="5" s="1"/>
  <c r="R11" i="5" s="1"/>
  <c r="G11" i="5"/>
  <c r="O10" i="5"/>
  <c r="R10" i="5" s="1"/>
  <c r="G10" i="5"/>
  <c r="L9" i="5"/>
  <c r="O9" i="5" s="1"/>
  <c r="R9" i="5" s="1"/>
  <c r="G9" i="5"/>
  <c r="O8" i="5"/>
  <c r="R8" i="5" s="1"/>
  <c r="G8" i="5"/>
  <c r="L7" i="5"/>
  <c r="O7" i="5" s="1"/>
  <c r="R7" i="5" s="1"/>
  <c r="G7" i="5"/>
  <c r="O6" i="5"/>
  <c r="R6" i="5" s="1"/>
  <c r="G6" i="5"/>
  <c r="L5" i="5"/>
  <c r="G5" i="5"/>
  <c r="O4" i="5"/>
  <c r="R4" i="5" s="1"/>
  <c r="G4" i="5"/>
  <c r="J45" i="2"/>
  <c r="I45" i="2"/>
  <c r="I47" i="2" s="1"/>
  <c r="H45" i="2"/>
  <c r="H47" i="2" s="1"/>
  <c r="F45" i="2"/>
  <c r="E42" i="2" s="1"/>
  <c r="X44" i="2"/>
  <c r="W44" i="2"/>
  <c r="V44" i="2"/>
  <c r="U44" i="2"/>
  <c r="S44" i="2"/>
  <c r="Y44" i="2" s="1"/>
  <c r="L44" i="2"/>
  <c r="K44" i="2"/>
  <c r="E44" i="2"/>
  <c r="W43" i="2"/>
  <c r="V43" i="2"/>
  <c r="U43" i="2"/>
  <c r="X43" i="2" s="1"/>
  <c r="S43" i="2"/>
  <c r="L43" i="2"/>
  <c r="K43" i="2"/>
  <c r="W42" i="2"/>
  <c r="V42" i="2"/>
  <c r="X42" i="2" s="1"/>
  <c r="Y42" i="2" s="1"/>
  <c r="U42" i="2"/>
  <c r="S42" i="2"/>
  <c r="K42" i="2"/>
  <c r="L42" i="2" s="1"/>
  <c r="W41" i="2"/>
  <c r="V41" i="2"/>
  <c r="X41" i="2" s="1"/>
  <c r="Y41" i="2" s="1"/>
  <c r="U41" i="2"/>
  <c r="S41" i="2"/>
  <c r="K41" i="2"/>
  <c r="L41" i="2" s="1"/>
  <c r="W40" i="2"/>
  <c r="V40" i="2"/>
  <c r="U40" i="2"/>
  <c r="X40" i="2" s="1"/>
  <c r="S40" i="2"/>
  <c r="L40" i="2"/>
  <c r="K40" i="2"/>
  <c r="W39" i="2"/>
  <c r="V39" i="2"/>
  <c r="V45" i="2" s="1"/>
  <c r="U39" i="2"/>
  <c r="S39" i="2"/>
  <c r="L39" i="2"/>
  <c r="K39" i="2"/>
  <c r="W38" i="2"/>
  <c r="W45" i="2" s="1"/>
  <c r="V38" i="2"/>
  <c r="X38" i="2" s="1"/>
  <c r="U38" i="2"/>
  <c r="S38" i="2"/>
  <c r="S45" i="2" s="1"/>
  <c r="K38" i="2"/>
  <c r="K33" i="2"/>
  <c r="J33" i="2"/>
  <c r="J35" i="2" s="1"/>
  <c r="J47" i="2" s="1"/>
  <c r="I33" i="2"/>
  <c r="I35" i="2" s="1"/>
  <c r="H33" i="2"/>
  <c r="H35" i="2" s="1"/>
  <c r="W32" i="2"/>
  <c r="V32" i="2"/>
  <c r="X32" i="2" s="1"/>
  <c r="U32" i="2"/>
  <c r="S32" i="2"/>
  <c r="R32" i="2"/>
  <c r="Q32" i="2"/>
  <c r="F32" i="2"/>
  <c r="L32" i="2" s="1"/>
  <c r="W31" i="2"/>
  <c r="V31" i="2"/>
  <c r="U31" i="2"/>
  <c r="X31" i="2" s="1"/>
  <c r="R31" i="2"/>
  <c r="S31" i="2" s="1"/>
  <c r="Y31" i="2" s="1"/>
  <c r="Q31" i="2"/>
  <c r="L31" i="2"/>
  <c r="F31" i="2"/>
  <c r="X30" i="2"/>
  <c r="W30" i="2"/>
  <c r="V30" i="2"/>
  <c r="U30" i="2"/>
  <c r="R30" i="2"/>
  <c r="S30" i="2" s="1"/>
  <c r="Y30" i="2" s="1"/>
  <c r="Q30" i="2"/>
  <c r="F30" i="2"/>
  <c r="L30" i="2" s="1"/>
  <c r="W29" i="2"/>
  <c r="V29" i="2"/>
  <c r="U29" i="2"/>
  <c r="S29" i="2"/>
  <c r="R29" i="2"/>
  <c r="Q29" i="2"/>
  <c r="L29" i="2"/>
  <c r="F29" i="2"/>
  <c r="W28" i="2"/>
  <c r="W33" i="2" s="1"/>
  <c r="V28" i="2"/>
  <c r="U28" i="2"/>
  <c r="U33" i="2" s="1"/>
  <c r="S28" i="2"/>
  <c r="R28" i="2"/>
  <c r="Q28" i="2"/>
  <c r="F28" i="2"/>
  <c r="J26" i="2"/>
  <c r="I26" i="2"/>
  <c r="H26" i="2"/>
  <c r="W25" i="2"/>
  <c r="V25" i="2"/>
  <c r="U25" i="2"/>
  <c r="R25" i="2"/>
  <c r="Q25" i="2"/>
  <c r="S25" i="2" s="1"/>
  <c r="L25" i="2"/>
  <c r="K25" i="2"/>
  <c r="F25" i="2"/>
  <c r="W24" i="2"/>
  <c r="V24" i="2"/>
  <c r="U24" i="2"/>
  <c r="X24" i="2" s="1"/>
  <c r="S24" i="2"/>
  <c r="Y24" i="2" s="1"/>
  <c r="R24" i="2"/>
  <c r="Q24" i="2"/>
  <c r="K24" i="2"/>
  <c r="F24" i="2"/>
  <c r="L24" i="2" s="1"/>
  <c r="X23" i="2"/>
  <c r="W23" i="2"/>
  <c r="V23" i="2"/>
  <c r="U23" i="2"/>
  <c r="R23" i="2"/>
  <c r="Q23" i="2"/>
  <c r="S23" i="2" s="1"/>
  <c r="Y23" i="2" s="1"/>
  <c r="K23" i="2"/>
  <c r="K26" i="2" s="1"/>
  <c r="F23" i="2"/>
  <c r="L23" i="2" s="1"/>
  <c r="W22" i="2"/>
  <c r="W26" i="2" s="1"/>
  <c r="V22" i="2"/>
  <c r="V26" i="2" s="1"/>
  <c r="U22" i="2"/>
  <c r="R22" i="2"/>
  <c r="S22" i="2" s="1"/>
  <c r="Q22" i="2"/>
  <c r="K22" i="2"/>
  <c r="F22" i="2"/>
  <c r="L22" i="2" s="1"/>
  <c r="U20" i="2"/>
  <c r="J20" i="2"/>
  <c r="I20" i="2"/>
  <c r="H20" i="2"/>
  <c r="F20" i="2"/>
  <c r="W19" i="2"/>
  <c r="V19" i="2"/>
  <c r="V20" i="2" s="1"/>
  <c r="U19" i="2"/>
  <c r="S19" i="2"/>
  <c r="R19" i="2"/>
  <c r="Q19" i="2"/>
  <c r="L19" i="2"/>
  <c r="K19" i="2"/>
  <c r="F19" i="2"/>
  <c r="W18" i="2"/>
  <c r="W20" i="2" s="1"/>
  <c r="V18" i="2"/>
  <c r="X18" i="2" s="1"/>
  <c r="U18" i="2"/>
  <c r="S18" i="2"/>
  <c r="R18" i="2"/>
  <c r="Q18" i="2"/>
  <c r="K18" i="2"/>
  <c r="K20" i="2" s="1"/>
  <c r="F18" i="2"/>
  <c r="L18" i="2" s="1"/>
  <c r="J16" i="2"/>
  <c r="I16" i="2"/>
  <c r="H16" i="2"/>
  <c r="W15" i="2"/>
  <c r="W16" i="2" s="1"/>
  <c r="V15" i="2"/>
  <c r="X15" i="2" s="1"/>
  <c r="U15" i="2"/>
  <c r="S15" i="2"/>
  <c r="R15" i="2"/>
  <c r="Q15" i="2"/>
  <c r="K15" i="2"/>
  <c r="F15" i="2"/>
  <c r="W14" i="2"/>
  <c r="V14" i="2"/>
  <c r="X14" i="2" s="1"/>
  <c r="U14" i="2"/>
  <c r="R14" i="2"/>
  <c r="S14" i="2" s="1"/>
  <c r="Y14" i="2" s="1"/>
  <c r="Q14" i="2"/>
  <c r="L14" i="2"/>
  <c r="K14" i="2"/>
  <c r="F14" i="2"/>
  <c r="W12" i="2"/>
  <c r="V12" i="2"/>
  <c r="U12" i="2"/>
  <c r="X12" i="2" s="1"/>
  <c r="R12" i="2"/>
  <c r="S12" i="2" s="1"/>
  <c r="Y12" i="2" s="1"/>
  <c r="Q12" i="2"/>
  <c r="K12" i="2"/>
  <c r="F12" i="2"/>
  <c r="L12" i="2" s="1"/>
  <c r="W11" i="2"/>
  <c r="V11" i="2"/>
  <c r="X11" i="2" s="1"/>
  <c r="U11" i="2"/>
  <c r="R11" i="2"/>
  <c r="Q11" i="2"/>
  <c r="S11" i="2" s="1"/>
  <c r="Y11" i="2" s="1"/>
  <c r="K11" i="2"/>
  <c r="K16" i="2" s="1"/>
  <c r="F11" i="2"/>
  <c r="X9" i="2"/>
  <c r="W9" i="2"/>
  <c r="V9" i="2"/>
  <c r="U9" i="2"/>
  <c r="R9" i="2"/>
  <c r="S9" i="2" s="1"/>
  <c r="Y9" i="2" s="1"/>
  <c r="Q9" i="2"/>
  <c r="L9" i="2"/>
  <c r="K9" i="2"/>
  <c r="F9" i="2"/>
  <c r="W8" i="2"/>
  <c r="V8" i="2"/>
  <c r="U8" i="2"/>
  <c r="S8" i="2"/>
  <c r="R8" i="2"/>
  <c r="Q8" i="2"/>
  <c r="K8" i="2"/>
  <c r="F8" i="2"/>
  <c r="F16" i="2" s="1"/>
  <c r="P4" i="2"/>
  <c r="P3" i="2"/>
  <c r="P2" i="2"/>
  <c r="O5" i="5" l="1"/>
  <c r="S26" i="2"/>
  <c r="R40" i="2"/>
  <c r="R43" i="2"/>
  <c r="R44" i="2"/>
  <c r="R39" i="2"/>
  <c r="R41" i="2"/>
  <c r="W34" i="2"/>
  <c r="W35" i="2" s="1"/>
  <c r="S33" i="2"/>
  <c r="Y18" i="2"/>
  <c r="W47" i="2"/>
  <c r="Y40" i="2"/>
  <c r="V47" i="2"/>
  <c r="S16" i="2"/>
  <c r="K35" i="2"/>
  <c r="L20" i="2"/>
  <c r="U16" i="2"/>
  <c r="L15" i="2"/>
  <c r="V33" i="2"/>
  <c r="X29" i="2"/>
  <c r="Y39" i="2"/>
  <c r="V16" i="2"/>
  <c r="V34" i="2" s="1"/>
  <c r="V35" i="2" s="1"/>
  <c r="L26" i="2"/>
  <c r="F26" i="2"/>
  <c r="X39" i="2"/>
  <c r="X45" i="2" s="1"/>
  <c r="U45" i="2"/>
  <c r="X28" i="2"/>
  <c r="X33" i="2" s="1"/>
  <c r="E43" i="2"/>
  <c r="E39" i="2"/>
  <c r="R5" i="5"/>
  <c r="X8" i="2"/>
  <c r="X16" i="2" s="1"/>
  <c r="X19" i="2"/>
  <c r="X20" i="2" s="1"/>
  <c r="F33" i="2"/>
  <c r="L28" i="2"/>
  <c r="L33" i="2" s="1"/>
  <c r="Y29" i="2"/>
  <c r="Y43" i="2"/>
  <c r="Y8" i="2"/>
  <c r="Y16" i="2" s="1"/>
  <c r="E40" i="2"/>
  <c r="Y15" i="2"/>
  <c r="X25" i="2"/>
  <c r="Y25" i="2" s="1"/>
  <c r="E38" i="2"/>
  <c r="E45" i="2" s="1"/>
  <c r="R38" i="2"/>
  <c r="R45" i="2" s="1"/>
  <c r="L11" i="2"/>
  <c r="S20" i="2"/>
  <c r="Y32" i="2"/>
  <c r="R42" i="2"/>
  <c r="L8" i="2"/>
  <c r="L16" i="2" s="1"/>
  <c r="Y38" i="2"/>
  <c r="X22" i="2"/>
  <c r="X26" i="2" s="1"/>
  <c r="U26" i="2"/>
  <c r="Y28" i="2"/>
  <c r="Y33" i="2" s="1"/>
  <c r="K45" i="2"/>
  <c r="K47" i="2" s="1"/>
  <c r="L38" i="2"/>
  <c r="L45" i="2" s="1"/>
  <c r="E41" i="2"/>
  <c r="L35" i="2" l="1"/>
  <c r="F35" i="2"/>
  <c r="F47" i="2" s="1"/>
  <c r="S35" i="2"/>
  <c r="S47" i="2" s="1"/>
  <c r="X34" i="2"/>
  <c r="X35" i="2" s="1"/>
  <c r="X47" i="2" s="1"/>
  <c r="Y22" i="2"/>
  <c r="Y26" i="2" s="1"/>
  <c r="Y19" i="2"/>
  <c r="Y20" i="2" s="1"/>
  <c r="Y45" i="2"/>
  <c r="Y34" i="2"/>
  <c r="Y35" i="2" s="1"/>
  <c r="U34" i="2"/>
  <c r="U35" i="2" s="1"/>
  <c r="U47" i="2" s="1"/>
  <c r="L47" i="2"/>
  <c r="O164" i="5" l="1"/>
  <c r="R164" i="5" s="1"/>
  <c r="Y47" i="2"/>
  <c r="O95" i="5" l="1"/>
  <c r="R95" i="5" s="1"/>
  <c r="O48" i="5" l="1"/>
  <c r="L1" i="5"/>
  <c r="R48" i="5" l="1"/>
  <c r="R1" i="5" s="1"/>
  <c r="O1" i="5"/>
</calcChain>
</file>

<file path=xl/sharedStrings.xml><?xml version="1.0" encoding="utf-8"?>
<sst xmlns="http://schemas.openxmlformats.org/spreadsheetml/2006/main" count="1481" uniqueCount="356">
  <si>
    <t>!!Please insert lines under the sub-headings if necessary!!</t>
  </si>
  <si>
    <t>!! Pay attention not to erase formulas in the blue cells !!</t>
  </si>
  <si>
    <t>If this table is filled up, no need to fill in the "project budget in euros" sheet</t>
  </si>
  <si>
    <t xml:space="preserve">Do not fill in this table in euros - it will fill up automatically
!! Pay attention not to erase formulas in the cells !! </t>
  </si>
  <si>
    <t>Careful : if you add extra lines, remember to copy formulas !</t>
  </si>
  <si>
    <t>Name of the person in charge of the budget</t>
  </si>
  <si>
    <t>Name of the applicant NGO</t>
  </si>
  <si>
    <t>Euro exchange rate
€ / TRY</t>
  </si>
  <si>
    <t xml:space="preserve">&lt;If necessary update the local currency exchange rate in J3 cell </t>
  </si>
  <si>
    <t>Project title</t>
  </si>
  <si>
    <t>Control columns</t>
  </si>
  <si>
    <t>Expenditure related to the project
Recommendations</t>
  </si>
  <si>
    <t>Unit</t>
  </si>
  <si>
    <t>Number of units</t>
  </si>
  <si>
    <t>Unit cost in TRY</t>
  </si>
  <si>
    <t>Total cost in TRY</t>
  </si>
  <si>
    <t>Year 1 in TRY</t>
  </si>
  <si>
    <t>Year 2 in TRY</t>
  </si>
  <si>
    <t>Year 3 in TRY</t>
  </si>
  <si>
    <t>Total 3 years in TRY</t>
  </si>
  <si>
    <t>Discrepancy
(column F-K)
must equal zero</t>
  </si>
  <si>
    <t>Unit cost (euros)</t>
  </si>
  <si>
    <t>Total cost
(euros)</t>
  </si>
  <si>
    <t>Year 1 (euros)</t>
  </si>
  <si>
    <t>Year 2 (euros)</t>
  </si>
  <si>
    <t>Year 3 (euros)</t>
  </si>
  <si>
    <t>Total 3 years (euros)</t>
  </si>
  <si>
    <t>Discrepancy
(column S-X)
must equal zero</t>
  </si>
  <si>
    <t>Human resources dedicated to the project</t>
  </si>
  <si>
    <t>1.1</t>
  </si>
  <si>
    <t>Salaries and employer's contributions</t>
  </si>
  <si>
    <t>1.1.1</t>
  </si>
  <si>
    <t>Indicate the staff position concerned</t>
  </si>
  <si>
    <t>per month</t>
  </si>
  <si>
    <t>1.1.2</t>
  </si>
  <si>
    <t>1.2</t>
  </si>
  <si>
    <t>Honoraires experts</t>
  </si>
  <si>
    <t>1.2.1</t>
  </si>
  <si>
    <t>Indicate the function of the expert</t>
  </si>
  <si>
    <t>per day</t>
  </si>
  <si>
    <t>1.2.2</t>
  </si>
  <si>
    <t>1.3</t>
  </si>
  <si>
    <t>Per diem food and accomodation</t>
  </si>
  <si>
    <t>1.3.1</t>
  </si>
  <si>
    <t>Indicate the concerned activity</t>
  </si>
  <si>
    <t>1.3.2</t>
  </si>
  <si>
    <t>Sub-total 1 Human resources of the project</t>
  </si>
  <si>
    <t>Travel costs</t>
  </si>
  <si>
    <t>2.1</t>
  </si>
  <si>
    <t>per travel</t>
  </si>
  <si>
    <t>2.2</t>
  </si>
  <si>
    <t>Sub- total 2 Travel costs</t>
  </si>
  <si>
    <t>Equipment (material and supplies)</t>
  </si>
  <si>
    <t>3.1.1</t>
  </si>
  <si>
    <t>Indicate the concerned equipment</t>
  </si>
  <si>
    <t>3.1.2</t>
  </si>
  <si>
    <t>3.2.1</t>
  </si>
  <si>
    <t>Indicate the type of supplies</t>
  </si>
  <si>
    <t>3.2.2</t>
  </si>
  <si>
    <t>Sub-total 3 Material and supplies</t>
  </si>
  <si>
    <t>Other costs</t>
  </si>
  <si>
    <t>4.1</t>
  </si>
  <si>
    <t>indicate the type (e.g. printing costs)</t>
  </si>
  <si>
    <t>per piece</t>
  </si>
  <si>
    <t>4.2</t>
  </si>
  <si>
    <t>indicate the type (e.g. room rentals)</t>
  </si>
  <si>
    <t>4.3</t>
  </si>
  <si>
    <t>others - to be detailed</t>
  </si>
  <si>
    <t>4.4</t>
  </si>
  <si>
    <t>4.5</t>
  </si>
  <si>
    <t xml:space="preserve">Sub-total  4 Other costs  </t>
  </si>
  <si>
    <t>Sub-total  5  Administrative costs</t>
  </si>
  <si>
    <t>TOTAL DIRECT COSTS OF THE PROJET (1 to 5)</t>
  </si>
  <si>
    <t>FINANCING PLAN of the PROJECT</t>
  </si>
  <si>
    <t>Requested*</t>
  </si>
  <si>
    <t>Raised*</t>
  </si>
  <si>
    <t>Percentage</t>
  </si>
  <si>
    <t>Local currency</t>
  </si>
  <si>
    <t>Year 1</t>
  </si>
  <si>
    <t>Year 2</t>
  </si>
  <si>
    <t>Year 3</t>
  </si>
  <si>
    <t>Total</t>
  </si>
  <si>
    <t>Discrepancy</t>
  </si>
  <si>
    <t>euros</t>
  </si>
  <si>
    <t>Total  (euros)</t>
  </si>
  <si>
    <t>Requested grant to the Fondation de France</t>
  </si>
  <si>
    <t>Other donors (name, tick requested or raised)</t>
  </si>
  <si>
    <t>Own contribution brought by the project partners</t>
  </si>
  <si>
    <t>TOTAL RESOURCES</t>
  </si>
  <si>
    <t>* tick relevant box</t>
  </si>
  <si>
    <t xml:space="preserve">Check sum (total direct costs and total income must equal zero) </t>
  </si>
  <si>
    <t>4-</t>
  </si>
  <si>
    <t xml:space="preserve">PR/HR No. </t>
  </si>
  <si>
    <t>Report No.</t>
  </si>
  <si>
    <t>Category (optional)</t>
  </si>
  <si>
    <t xml:space="preserve">Transaction Reference </t>
  </si>
  <si>
    <t>Transaction Date</t>
  </si>
  <si>
    <t>Reporting Month</t>
  </si>
  <si>
    <t>Description</t>
  </si>
  <si>
    <t>2nd Description (Recipent)</t>
  </si>
  <si>
    <t>Activity Code</t>
  </si>
  <si>
    <t>Budget Line Code</t>
  </si>
  <si>
    <t>Transaction Amount</t>
  </si>
  <si>
    <t>Currency</t>
  </si>
  <si>
    <t>EX rate</t>
  </si>
  <si>
    <t xml:space="preserve"> Total Amount In USD</t>
  </si>
  <si>
    <t>Charging%</t>
  </si>
  <si>
    <t>InforEuro Rate USD to EUR</t>
  </si>
  <si>
    <t>Net / Reporting Amount</t>
  </si>
  <si>
    <t>Payment Status</t>
  </si>
  <si>
    <t>Invoice Date</t>
  </si>
  <si>
    <t>B 00240</t>
  </si>
  <si>
    <t>1st Report</t>
  </si>
  <si>
    <t>HR Field</t>
  </si>
  <si>
    <t>February Salary-24 - Person A - Dialysis Technician</t>
  </si>
  <si>
    <t>Person A</t>
  </si>
  <si>
    <t>TRY</t>
  </si>
  <si>
    <t>Bank Payment</t>
  </si>
  <si>
    <t>Transfer fees for  February Salary-24 - Person A - Dialysis Technician</t>
  </si>
  <si>
    <t>PTT</t>
  </si>
  <si>
    <t>4.10.</t>
  </si>
  <si>
    <t>B 03763</t>
  </si>
  <si>
    <t>February Salary-24 - Huseın Ahmad Jabran- Dialysis Technician</t>
  </si>
  <si>
    <t>Huseın Ahmad Jabran</t>
  </si>
  <si>
    <t>Transfer fees for February Salary-24 - Huseın Ahmad Jabran- Dialysis Technician</t>
  </si>
  <si>
    <t>B 00304</t>
  </si>
  <si>
    <t>February Salary-24 -Husam Aldin Nader Al Shawi - Dialysis Technician</t>
  </si>
  <si>
    <t>Husam Aldin Nader Al Shawi</t>
  </si>
  <si>
    <t>Transfer fees for February Salary-24 -Husam Aldin Nader Al Shawi - Dialysis Technician</t>
  </si>
  <si>
    <t>B 03768</t>
  </si>
  <si>
    <t>February Salary-24 - Person G - Nurse</t>
  </si>
  <si>
    <t>Person G</t>
  </si>
  <si>
    <t>Transfer fees for February Salary-24 - Person G - Nurse</t>
  </si>
  <si>
    <t>B 03767</t>
  </si>
  <si>
    <t>February Salary-24 - Person H - Nurse</t>
  </si>
  <si>
    <t>Person H</t>
  </si>
  <si>
    <t>Transfer fees for February Salary-24 - Person H - Nurse</t>
  </si>
  <si>
    <t>B 03771</t>
  </si>
  <si>
    <t>February Salary-24 - Person C - Nurse</t>
  </si>
  <si>
    <t>Person C</t>
  </si>
  <si>
    <t>Transfer fees for February Salary-24 - Person C - Nurse</t>
  </si>
  <si>
    <t>B 03780</t>
  </si>
  <si>
    <t>February Salary-24 - Person F - Cleaner</t>
  </si>
  <si>
    <t>Person F</t>
  </si>
  <si>
    <t>1.1.3</t>
  </si>
  <si>
    <t>Transfer fees for February Salary-24 - Person F - Cleaner</t>
  </si>
  <si>
    <t>B 03781</t>
  </si>
  <si>
    <t>February Salary-24 - Semer Muhammet Sımo- Cleaner</t>
  </si>
  <si>
    <t>Semer Muhammet Sımo</t>
  </si>
  <si>
    <t>Transfer fees for February Salary-24 - Semer Muhammet Sımo- Cleaner</t>
  </si>
  <si>
    <t>B 03782</t>
  </si>
  <si>
    <t>February Salary-24 - Person I - PSSW</t>
  </si>
  <si>
    <t>Person I</t>
  </si>
  <si>
    <t>1.1.4</t>
  </si>
  <si>
    <t>Transfer fees for February Salary-24 - Person I - PSSW</t>
  </si>
  <si>
    <t>B 00523</t>
  </si>
  <si>
    <t>February Salary-24 - Person J - PSSW</t>
  </si>
  <si>
    <t>Person J</t>
  </si>
  <si>
    <t>Transfer fees for February Salary-24 - Person J - PSSW</t>
  </si>
  <si>
    <t>B 03772</t>
  </si>
  <si>
    <t>February Salary-24 - Person B - PSS Supervisor</t>
  </si>
  <si>
    <t>Person B</t>
  </si>
  <si>
    <t>1.1.5</t>
  </si>
  <si>
    <t>Transfer fees for February Salary-24 - Person B - PSS Supervisor</t>
  </si>
  <si>
    <t>B 01462</t>
  </si>
  <si>
    <t>February Salary-24 - Person D - Supply Chain Officer</t>
  </si>
  <si>
    <t>Person D</t>
  </si>
  <si>
    <t>1.1.7</t>
  </si>
  <si>
    <t>Transfer fees for February Salary-24 - Person D - Supply Chain Officer</t>
  </si>
  <si>
    <t>B 00617</t>
  </si>
  <si>
    <t>February Salary-24 - Mennan Ahmet Şevki Cuhadar- MEAL Assistant</t>
  </si>
  <si>
    <t>Mennan Ahmet Şevki Cuhadar</t>
  </si>
  <si>
    <t>1.1.6</t>
  </si>
  <si>
    <t>Transfer fees for Mennan Ahmet Şevki Cuhadar</t>
  </si>
  <si>
    <t>24-GZT-2404-0440</t>
  </si>
  <si>
    <t>LOG</t>
  </si>
  <si>
    <t>Gravel for paving the MBA road for Afrin Hospital</t>
  </si>
  <si>
    <t>Kamal Eldin Abdrbo</t>
  </si>
  <si>
    <t>Transfer fees for Gravel for paving the MBA road for Afrin Hospital</t>
  </si>
  <si>
    <t>B 04071</t>
  </si>
  <si>
    <t>HR HQ</t>
  </si>
  <si>
    <t>Feb Salary - 24 - Irem Savrun - Senior Finance Officer- Turkey</t>
  </si>
  <si>
    <t xml:space="preserve">Irem Savrun </t>
  </si>
  <si>
    <t>1.1.8</t>
  </si>
  <si>
    <t>Feb Sgk - 24 - Irem Savrun - Senior Finance Officer- Turkey</t>
  </si>
  <si>
    <t>Feb Tax - 24 - Irem Savrun - Senior Finance Officer- Turkey</t>
  </si>
  <si>
    <t>Feb EOS Benefit  - 24 - Irem Savrun - Senior Finance Officer- Turkey</t>
  </si>
  <si>
    <t>USD</t>
  </si>
  <si>
    <t>Accrual</t>
  </si>
  <si>
    <t>B 04017</t>
  </si>
  <si>
    <t>Feb Salary - 24 - Irem Savrun - Program Manager- Turkey</t>
  </si>
  <si>
    <t>KHALED ALKADİ</t>
  </si>
  <si>
    <t>1.1.10</t>
  </si>
  <si>
    <t>Feb Sgk - 24 - Irem Savrun - Program Manager- Turkey</t>
  </si>
  <si>
    <t>Feb Tax - 24 - Irem Savrun - Program Manager- Turkey</t>
  </si>
  <si>
    <t>Feb EOS Benefit  - 24 - Irem Savrun - Program Manager- Turkey</t>
  </si>
  <si>
    <t>B 00136</t>
  </si>
  <si>
    <t>Feb Salary - 24 - Faisal Aljaber  - SC Manager- Turkey</t>
  </si>
  <si>
    <t>Faisal Aljaber</t>
  </si>
  <si>
    <t>1.1.11</t>
  </si>
  <si>
    <t>Feb Sgk - 24 - Faisal Aljaber  - SC Manager- Turkey</t>
  </si>
  <si>
    <t>Feb Tax - 24 - Faisal Aljaber  - SC Manager- Turkey</t>
  </si>
  <si>
    <t>Feb EOS Benefit  - 24 - Faisal Aljaber  - SC Manager- Turkey</t>
  </si>
  <si>
    <t>B 00072</t>
  </si>
  <si>
    <t>Feb Salary - 24 - Ahmad Al - Haj  - Health and Nutrition Coordinator - Turkey</t>
  </si>
  <si>
    <t>Ahmad Alhaj</t>
  </si>
  <si>
    <t>1.1.12</t>
  </si>
  <si>
    <t>Feb Sgk - 24 - Ahmad Al - Haj  - Health and Nutrition Coordinator - Turkey</t>
  </si>
  <si>
    <t>Feb Tax - 24 - Ahmad Al - Haj  - Health and Nutrition Coordinator - Turkey</t>
  </si>
  <si>
    <t>Feb EOS Benefit  - 24 - Ahmad Al - Haj  - Health and Nutrition Coordinator - Turkey</t>
  </si>
  <si>
    <t>Indirect Cost feb24</t>
  </si>
  <si>
    <t>EUR</t>
  </si>
  <si>
    <t>2nd Report</t>
  </si>
  <si>
    <t>March Salary-24 - Person A - Dialysis Technician</t>
  </si>
  <si>
    <t>Transfer fees for  March Salary-24 - Person A - Dialysis Technician</t>
  </si>
  <si>
    <t>March Salary-24 - Huseın Ahmad Jabran- Dialysis Technician</t>
  </si>
  <si>
    <t>Transfer fees for March Salary-24 - Huseın Ahmad Jabran- Dialysis Technician</t>
  </si>
  <si>
    <t>March Salary-24 -Husam Aldin Nader Al Shawi - Dialysis Technician</t>
  </si>
  <si>
    <t>Transfer fees for MarchSalary-24 -Husam Aldin Nader Al Shawi - Dialysis Technician</t>
  </si>
  <si>
    <t>March Salary-24 - Person G - Nurse</t>
  </si>
  <si>
    <t>Transfer fees for March Salary-24 - Person G - Nurse</t>
  </si>
  <si>
    <t>March Salary-24 - Person H - Nurse</t>
  </si>
  <si>
    <t>Transfer fees for March Salary-24 - Person H - Nurse</t>
  </si>
  <si>
    <t>March Salary-24 - Person C - Nurse</t>
  </si>
  <si>
    <t>Transfer fees for March Salary-24 - Person C - Nurse</t>
  </si>
  <si>
    <t>March Salary-24 - Person F - Cleaner</t>
  </si>
  <si>
    <t>Transfer fees for March Salary-24 - Person F - Cleaner</t>
  </si>
  <si>
    <t>March Salary-24 - Semer Muhammet Sımo- Cleaner</t>
  </si>
  <si>
    <t>Transfer fees for March Salary-24 - Semer Muhammet Sımo- Cleaner</t>
  </si>
  <si>
    <t>March Salary-24 - Person J - PSSW</t>
  </si>
  <si>
    <t>Transfer fees for March Salary-24 - Person J - PSSW</t>
  </si>
  <si>
    <t>March Salary-24 - Person I - PSSW</t>
  </si>
  <si>
    <t>Transfer fees for March Salary-24 - Person I - PSSW</t>
  </si>
  <si>
    <t>March Salary-24 - Person B - PSS Supervisor</t>
  </si>
  <si>
    <t>Transfer fees for March Salary-24 - Person B - PSS Supervisor</t>
  </si>
  <si>
    <t>March Salary-24 - Person D - Supply Chain Officer</t>
  </si>
  <si>
    <t>Transfer fees for March Salary-24 - Person D - Supply Chain Officer</t>
  </si>
  <si>
    <t>March Salary-24 - Mennan Ahmet Şevkı Cuhadar-HR Offıcer</t>
  </si>
  <si>
    <t>Transfer fees for March Salary-24 - Mennan Ahmet Şevkı Cuhadar-HR Offıcer</t>
  </si>
  <si>
    <t>24-GZT-2404-0483</t>
  </si>
  <si>
    <t>Mohamed Ibrahim</t>
  </si>
  <si>
    <t>March Salary - 24 - Irem Savrun - Senior Finance Officer- Turkey</t>
  </si>
  <si>
    <t>March Sgk - 24 - Irem Savrun - Senior Finance Officer- Turkey</t>
  </si>
  <si>
    <t>March Tax - 24 - Irem Savrun - Senior Finance Officer- Turkey</t>
  </si>
  <si>
    <t>March EOS Benefit  - 24 - Irem Savrun - Senior Finance Officer- Turkey</t>
  </si>
  <si>
    <t>March Salary - 24 - Irem Savrun - Program Manager- Turkey</t>
  </si>
  <si>
    <t>March Sgk - 24 - Irem Savrun - Program Manager- Turkey</t>
  </si>
  <si>
    <t>March Tax - 24 - Irem Savrun - Program Manager- Turkey</t>
  </si>
  <si>
    <t>March EOS Benefit  - 24 - Irem Savrun - Program Manager- Turkey</t>
  </si>
  <si>
    <t>March Salary - 24 - Faisal Aljaber  - SC Manager- Turkey</t>
  </si>
  <si>
    <t>March Sgk - 24 - Faisal Aljaber  - SC Manager- Turkey</t>
  </si>
  <si>
    <t>March Tax - 24 - Faisal Aljaber  - SC Manager- Turkey</t>
  </si>
  <si>
    <t>March EOS Benefit  - 24 - Faisal Aljaber  - SC Manager- Turkey</t>
  </si>
  <si>
    <t>March Salary - 24 - Ahmad Al - Haj  - Health and Nutrition Coordinator - Turkey</t>
  </si>
  <si>
    <t>Transfer Fee for PTT March - 24 - Ahmad Al - Haj  - Health and Nutrition Coordinator - Turkey</t>
  </si>
  <si>
    <t>B 04073</t>
  </si>
  <si>
    <t>March Salary - 24 - Vaseem Bakır Senior Program Officer - Turkey - Turkey</t>
  </si>
  <si>
    <t>Vaseem Bakır</t>
  </si>
  <si>
    <t>1.1.9</t>
  </si>
  <si>
    <t>March Sgk - 24 - Vaseem Bakır Senior Program Officer - Turkey - Turkey</t>
  </si>
  <si>
    <t>March Tax - 24 - Vaseem Bakır Senior Program Officer - Turkey - Turkey</t>
  </si>
  <si>
    <t>March EOS Benefit  - 24 - Vaseem Bakır Senior Program Officer - Turkey - Turkey</t>
  </si>
  <si>
    <t>Indirect Cost March24</t>
  </si>
  <si>
    <t>3rd Report</t>
  </si>
  <si>
    <t>April Salary-24 - Person A - Dialysis Technician</t>
  </si>
  <si>
    <t>Transfer fees for  April Salary-24 - Person A - Dialysis Technician</t>
  </si>
  <si>
    <t>April Salary-24 - Huseın Ahmad Jabran- Dialysis Technician</t>
  </si>
  <si>
    <t>Transfer fees for April Salary-24 - Huseın Ahmad Jabran- Dialysis Technician</t>
  </si>
  <si>
    <t>April Salary-24 -Husam Aldin Nader Al Shawi - Dialysis Technician</t>
  </si>
  <si>
    <t>Transfer fees for AprilSalary-24 -Husam Aldin Nader Al Shawi - Dialysis Technician</t>
  </si>
  <si>
    <t>April Salary-24 - Person G - Nurse</t>
  </si>
  <si>
    <t>Transfer fees for April Salary-24 - Person G - Nurse</t>
  </si>
  <si>
    <t>April Salary-24 - Person E - Nurse</t>
  </si>
  <si>
    <t>Person E</t>
  </si>
  <si>
    <t>Transfer fees for April Salary-24 - Person E - Nurse</t>
  </si>
  <si>
    <t>April Salary-24 - Person C - Nurse</t>
  </si>
  <si>
    <t>Transfer fees for April Salary-24 - Person C - Nurse</t>
  </si>
  <si>
    <t>April Salary-24 - Person F - Cleaner</t>
  </si>
  <si>
    <t>Transfer fees for April Salary-24 - Person F - Cleaner</t>
  </si>
  <si>
    <t>April Salary-24 - Semer Muhammet Sımo- Cleaner</t>
  </si>
  <si>
    <t>Transfer fees for April Salary-24 - Semer Muhammet Sımo- Cleaner</t>
  </si>
  <si>
    <t>April Salary-24 - Person J - PSSW</t>
  </si>
  <si>
    <t>Transfer fees for April Salary-24 - Person J - PSSW</t>
  </si>
  <si>
    <t>April Salary-24 - Person I - PSSW</t>
  </si>
  <si>
    <t>Transfer fees for April Salary-24 - Person I - PSSW</t>
  </si>
  <si>
    <t>April Salary-24 - Person K - PSS Supervisor</t>
  </si>
  <si>
    <t>Person K</t>
  </si>
  <si>
    <t>Transfer fees for April Salary-24 - Person K - PSS Supervisor</t>
  </si>
  <si>
    <t>April Salary-24 - Person D - Supply Chain Officer</t>
  </si>
  <si>
    <t>Transfer fees for April Salary-24 - Person D - Supply Chain Officer</t>
  </si>
  <si>
    <t xml:space="preserve"> April Salary-24 - Mennan Ahmet Şevki Cuhadar- HR Officer</t>
  </si>
  <si>
    <t>Transfer fees for  April Salary-24 - Mennan Ahmet Şevki Cuhadar- HR Officer</t>
  </si>
  <si>
    <t>24-GZT-2404-0566</t>
  </si>
  <si>
    <t>55'' inch Smart TV - for dialysis patients' halls and
the loppy</t>
  </si>
  <si>
    <t>Muhammet Hamden</t>
  </si>
  <si>
    <t>3.1.7</t>
  </si>
  <si>
    <t>Transfer fees for 55'' inch Smart TV - for dialysis patients' halls and
the loppy</t>
  </si>
  <si>
    <t>24-GZT-2404-0565</t>
  </si>
  <si>
    <t>Air Conditioner 2 Ton for Afrin - Hospital</t>
  </si>
  <si>
    <t>Adnan Yakup</t>
  </si>
  <si>
    <t>3.1.5</t>
  </si>
  <si>
    <t>Transfer fees for Air Conditioner 2 Ton for Afrin - Hospital</t>
  </si>
  <si>
    <t>Air Conditioner 3 Ton for Afrin - Hospital</t>
  </si>
  <si>
    <t>3.1.6</t>
  </si>
  <si>
    <t>Transfer fees for Air Conditioner 3 Ton for Afrin - Hospital</t>
  </si>
  <si>
    <t>Wall fan, 18 watt (inch), electric and ceiling fan for Afrin - Hospital</t>
  </si>
  <si>
    <t>3.1.8</t>
  </si>
  <si>
    <t>Transfer fees for Wall fan, 18 watt (inch), electric and ceiling fan for Afrin - Hospital</t>
  </si>
  <si>
    <t>Vertical heater 2000 watts and Horizontal Wall Heater 2600w for Afrin - Hospital</t>
  </si>
  <si>
    <t>3.1.9</t>
  </si>
  <si>
    <t>Transfer fees for Vertical heater 2000 watts and Horizontal Wall Heater 2600w for Afrin - Hospital</t>
  </si>
  <si>
    <t>Water cooler for Afrin - Hospital</t>
  </si>
  <si>
    <t>3.1.10</t>
  </si>
  <si>
    <t>Transfer fees for Water cooler for Afrin - Hospital</t>
  </si>
  <si>
    <t>24-AFR-2404-0786</t>
  </si>
  <si>
    <t>Roll Up with Ptinting for Afrin -hospital</t>
  </si>
  <si>
    <t>Omer Savki</t>
  </si>
  <si>
    <t>Transfer fees for Roll Up with Ptinting for Afrin -hospital</t>
  </si>
  <si>
    <t>24-GZT-2404-0441</t>
  </si>
  <si>
    <t>Rehabilitation and expansion for the dialysis in Afrin Hospital</t>
  </si>
  <si>
    <t>Valıd Yasın</t>
  </si>
  <si>
    <t>Transfer fees for Rehabilitation and expansion for the dialysis in Afrin Hospital</t>
  </si>
  <si>
    <t>24-AFR-2404-0824</t>
  </si>
  <si>
    <t>Cleaning Materials for Afrin hospital</t>
  </si>
  <si>
    <t>Transfer fees for Cleaning Materials for Afrin hospital</t>
  </si>
  <si>
    <t>24-AFR-2404-0863</t>
  </si>
  <si>
    <t>Kitchen ware for MBA in Hospital</t>
  </si>
  <si>
    <t>Muhammet El Hüsayın</t>
  </si>
  <si>
    <t>Transfer fees for Kitchen ware for MBA in Hospital</t>
  </si>
  <si>
    <t>24-GZT-2404-0550</t>
  </si>
  <si>
    <t>Purchasing Equipment for the Health acilities in Afrin Heaomodialysis Machine</t>
  </si>
  <si>
    <t>Gazilab Medikal</t>
  </si>
  <si>
    <t>Purchasing Equipment for the Health acilities in Afrin Electric Dialsis Chair</t>
  </si>
  <si>
    <t>Purchasing Equipment for the Health acilities in Afrin Electric Patient Bed</t>
  </si>
  <si>
    <t>3.1.3</t>
  </si>
  <si>
    <t>Purchasing Equipment for the Health acilities in Afrin Clinic Biochemistry Analyzer</t>
  </si>
  <si>
    <t>3.1.4</t>
  </si>
  <si>
    <t>April Salary - 24 - Irem Savrun - Senior Finance Officer- Turkey</t>
  </si>
  <si>
    <t>April Sgk - 24 - Irem Savrun - Senior Finance Officer- Turkey</t>
  </si>
  <si>
    <t>April Tax - 24 - Irem Savrun - Senior Finance Officer- Turkey</t>
  </si>
  <si>
    <t>April EOS Benefit  - 24 - Irem Savrun - Senior Finance Officer- Turkey</t>
  </si>
  <si>
    <t>April Salary - 24 - Irem Savrun - Program Manager- Turkey</t>
  </si>
  <si>
    <t>April Sgk - 24 - Irem Savrun - Program Manager- Turkey</t>
  </si>
  <si>
    <t>April Tax - 24 - Irem Savrun - Program Manager- Turkey</t>
  </si>
  <si>
    <t>April EOS Benefit  - 24 - Irem Savrun - Program Manager- Turkey</t>
  </si>
  <si>
    <t>April Salary - 24 - Faisal Aljaber  - SC Manager- Turkey</t>
  </si>
  <si>
    <t>April Sgk - 24 - Faisal Aljaber  - SC Manager- Turkey</t>
  </si>
  <si>
    <t>April Tax - 24 - Faisal Aljaber  - SC Manager- Turkey</t>
  </si>
  <si>
    <t>April EOS Benefit  - 24 - Faisal Aljaber  - SC Manager- Turkey</t>
  </si>
  <si>
    <t>April Salary - 24 - Ahmad Al - Haj  - Health and Nutrition Coordinator - Turkey</t>
  </si>
  <si>
    <t>Transfer Fee for PTT April - 24 - Ahmad Al - Haj  - Health and Nutrition Coordinator - Turkey</t>
  </si>
  <si>
    <t>April Salary - 24 - Vaseem Bakır Senior Program Officer - Turkey - Turkey</t>
  </si>
  <si>
    <t>April Sgk - 24 - Vaseem Bakır Senior Program Officer - Turkey - Turkey</t>
  </si>
  <si>
    <t>April Tax - 24 - Vaseem Bakır Senior Program Officer - Turkey - Turkey</t>
  </si>
  <si>
    <t>April EOS Benefit  - 24 - Vaseem Bakır Senior Program Officer - Turkey - Turkey</t>
  </si>
  <si>
    <t>Indirect Cost April24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</si>
</sst>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\ [$USD]"/>
    <numFmt numFmtId="167" formatCode="#,##0\ &quot;€&quot;"/>
    <numFmt numFmtId="168" formatCode="#,##0\ _€"/>
    <numFmt numFmtId="169" formatCode="_-* #,##0.00\ [$NPR]_-;\-* #,##0.00\ [$NPR]_-;_-* &quot;-&quot;??\ [$NPR]_-;_-@_-"/>
    <numFmt numFmtId="170" formatCode="_-* #,##0.00000\ [$LBP]_-;\-* #,##0.00000\ [$LBP]_-;_-* &quot;-&quot;?????\ [$LBP]_-;_-@_-"/>
    <numFmt numFmtId="171" formatCode="_-* #,##0.00\ [$UAH]_-;\-* #,##0.00\ [$UAH]_-;_-* &quot;-&quot;??\ [$UAH]_-;_-@_-"/>
    <numFmt numFmtId="172" formatCode="_-* #,##0.00\ [$TRY]_-;\-* #,##0.00\ [$TRY]_-;_-* &quot;-&quot;??\ [$TRY]_-;_-@_-"/>
    <numFmt numFmtId="173" formatCode="_-* #,##0.00\ _€_-;\-* #,##0.00\ _€_-;_-* &quot;-&quot;??\ _€_-;_-@_-"/>
    <numFmt numFmtId="174" formatCode="#,##0.00\ [$€-180C];\-#,##0.00\ [$€-180C]"/>
    <numFmt numFmtId="175" formatCode="0.0000"/>
    <numFmt numFmtId="176" formatCode="#,##0.00\ [$€-407]"/>
    <numFmt numFmtId="177" formatCode="m/d/yy;@"/>
  </numFmts>
  <fonts count="41">
    <font>
      <sz val="9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name val="Arial"/>
      <family val="2"/>
    </font>
    <font>
      <b/>
      <sz val="9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color indexed="12"/>
      <name val="Arial"/>
      <family val="2"/>
    </font>
    <font>
      <sz val="9"/>
      <color indexed="10"/>
      <name val="Arial"/>
      <family val="2"/>
    </font>
    <font>
      <sz val="9"/>
      <color indexed="16"/>
      <name val="Arial"/>
      <family val="2"/>
    </font>
    <font>
      <b/>
      <sz val="9"/>
      <color indexed="8"/>
      <name val="Arial"/>
      <family val="2"/>
    </font>
    <font>
      <b/>
      <sz val="11"/>
      <color indexed="16"/>
      <name val="Arial"/>
      <family val="2"/>
    </font>
    <font>
      <b/>
      <sz val="9.5"/>
      <color indexed="12"/>
      <name val="Arial"/>
      <family val="2"/>
    </font>
    <font>
      <sz val="9.5"/>
      <color indexed="12"/>
      <name val="Arial"/>
      <family val="2"/>
    </font>
    <font>
      <b/>
      <sz val="9"/>
      <color indexed="16"/>
      <name val="Arial"/>
      <family val="2"/>
    </font>
    <font>
      <b/>
      <sz val="9.5"/>
      <color indexed="16"/>
      <name val="Arial"/>
      <family val="2"/>
    </font>
    <font>
      <sz val="9.5"/>
      <color indexed="16"/>
      <name val="Arial"/>
      <family val="2"/>
    </font>
    <font>
      <b/>
      <i/>
      <sz val="9.5"/>
      <color indexed="12"/>
      <name val="Arial"/>
      <family val="2"/>
    </font>
    <font>
      <b/>
      <i/>
      <sz val="9.5"/>
      <color indexed="16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sz val="10"/>
      <color indexed="16"/>
      <name val="Arial"/>
      <family val="2"/>
    </font>
    <font>
      <sz val="8"/>
      <name val="Arial"/>
      <family val="2"/>
    </font>
    <font>
      <sz val="8"/>
      <color indexed="16"/>
      <name val="Arial"/>
      <family val="2"/>
    </font>
    <font>
      <sz val="10"/>
      <name val="Verdana"/>
      <family val="2"/>
    </font>
    <font>
      <sz val="9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  <charset val="178"/>
      <scheme val="minor"/>
    </font>
    <font>
      <sz val="12"/>
      <color indexed="8"/>
      <name val="Times New Roman"/>
      <family val="2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lightUp"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gray125"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164" fontId="2" fillId="0" borderId="0"/>
    <xf numFmtId="173" fontId="2" fillId="0" borderId="0"/>
    <xf numFmtId="9" fontId="2" fillId="0" borderId="0"/>
    <xf numFmtId="165" fontId="32" fillId="0" borderId="0"/>
    <xf numFmtId="0" fontId="1" fillId="0" borderId="0"/>
    <xf numFmtId="9" fontId="33" fillId="0" borderId="0"/>
    <xf numFmtId="165" fontId="34" fillId="0" borderId="0"/>
    <xf numFmtId="0" fontId="24" fillId="0" borderId="0"/>
    <xf numFmtId="165" fontId="33" fillId="0" borderId="0"/>
    <xf numFmtId="165" fontId="35" fillId="0" borderId="0"/>
    <xf numFmtId="0" fontId="24" fillId="0" borderId="0"/>
  </cellStyleXfs>
  <cellXfs count="373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right" vertical="center" wrapText="1"/>
    </xf>
    <xf numFmtId="0" fontId="19" fillId="2" borderId="4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center" vertical="center" wrapText="1"/>
    </xf>
    <xf numFmtId="3" fontId="20" fillId="3" borderId="5" xfId="0" applyNumberFormat="1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3" fontId="6" fillId="3" borderId="7" xfId="0" applyNumberFormat="1" applyFont="1" applyFill="1" applyBorder="1" applyAlignment="1">
      <alignment horizontal="right" vertical="center" wrapText="1"/>
    </xf>
    <xf numFmtId="0" fontId="20" fillId="2" borderId="6" xfId="0" applyFont="1" applyFill="1" applyBorder="1" applyAlignment="1">
      <alignment vertical="center" wrapText="1"/>
    </xf>
    <xf numFmtId="0" fontId="19" fillId="2" borderId="7" xfId="0" applyFont="1" applyFill="1" applyBorder="1" applyAlignment="1">
      <alignment horizontal="left" vertical="center" wrapText="1"/>
    </xf>
    <xf numFmtId="0" fontId="20" fillId="3" borderId="7" xfId="0" applyFont="1" applyFill="1" applyBorder="1" applyAlignment="1">
      <alignment horizontal="center" vertical="center" wrapText="1"/>
    </xf>
    <xf numFmtId="3" fontId="20" fillId="3" borderId="7" xfId="0" applyNumberFormat="1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center" vertical="center" wrapText="1"/>
    </xf>
    <xf numFmtId="3" fontId="6" fillId="2" borderId="7" xfId="0" applyNumberFormat="1" applyFont="1" applyFill="1" applyBorder="1" applyAlignment="1">
      <alignment horizontal="right" vertical="center" wrapText="1"/>
    </xf>
    <xf numFmtId="0" fontId="20" fillId="2" borderId="7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vertical="center" wrapText="1"/>
    </xf>
    <xf numFmtId="3" fontId="6" fillId="4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3" fontId="20" fillId="4" borderId="2" xfId="0" applyNumberFormat="1" applyFont="1" applyFill="1" applyBorder="1" applyAlignment="1">
      <alignment horizontal="righ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19" fillId="0" borderId="4" xfId="0" applyFont="1" applyBorder="1" applyAlignment="1">
      <alignment vertical="center" wrapText="1"/>
    </xf>
    <xf numFmtId="0" fontId="19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20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3" fontId="24" fillId="4" borderId="2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5" fillId="4" borderId="2" xfId="0" applyFont="1" applyFill="1" applyBorder="1" applyAlignment="1">
      <alignment horizontal="center" vertical="center" wrapText="1"/>
    </xf>
    <xf numFmtId="3" fontId="26" fillId="4" borderId="2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3" fontId="20" fillId="0" borderId="0" xfId="0" applyNumberFormat="1" applyFont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9" fontId="13" fillId="0" borderId="20" xfId="3" applyFont="1" applyBorder="1" applyAlignment="1">
      <alignment horizontal="center" vertical="center" wrapText="1"/>
    </xf>
    <xf numFmtId="9" fontId="25" fillId="0" borderId="22" xfId="3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7" fillId="0" borderId="22" xfId="0" applyFont="1" applyBorder="1"/>
    <xf numFmtId="3" fontId="27" fillId="0" borderId="37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8" fillId="0" borderId="22" xfId="0" applyFont="1" applyBorder="1"/>
    <xf numFmtId="3" fontId="13" fillId="0" borderId="37" xfId="0" applyNumberFormat="1" applyFont="1" applyBorder="1" applyAlignment="1">
      <alignment horizontal="right" vertical="center" wrapText="1"/>
    </xf>
    <xf numFmtId="0" fontId="29" fillId="2" borderId="0" xfId="0" applyFont="1" applyFill="1"/>
    <xf numFmtId="0" fontId="29" fillId="0" borderId="0" xfId="0" applyFont="1"/>
    <xf numFmtId="3" fontId="0" fillId="2" borderId="0" xfId="0" applyNumberFormat="1" applyFill="1"/>
    <xf numFmtId="3" fontId="0" fillId="0" borderId="0" xfId="0" applyNumberFormat="1"/>
    <xf numFmtId="0" fontId="13" fillId="2" borderId="16" xfId="0" applyFont="1" applyFill="1" applyBorder="1" applyAlignment="1">
      <alignment horizontal="right" vertical="center"/>
    </xf>
    <xf numFmtId="0" fontId="18" fillId="2" borderId="20" xfId="0" applyFont="1" applyFill="1" applyBorder="1" applyAlignment="1">
      <alignment horizontal="right" vertical="center"/>
    </xf>
    <xf numFmtId="0" fontId="13" fillId="2" borderId="33" xfId="0" applyFont="1" applyFill="1" applyBorder="1" applyAlignment="1">
      <alignment horizontal="right" vertical="center"/>
    </xf>
    <xf numFmtId="3" fontId="20" fillId="2" borderId="7" xfId="0" applyNumberFormat="1" applyFont="1" applyFill="1" applyBorder="1" applyAlignment="1">
      <alignment horizontal="right" vertical="center" wrapText="1"/>
    </xf>
    <xf numFmtId="3" fontId="6" fillId="4" borderId="41" xfId="0" applyNumberFormat="1" applyFont="1" applyFill="1" applyBorder="1" applyAlignment="1">
      <alignment horizontal="right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8" fillId="7" borderId="39" xfId="4" applyNumberFormat="1" applyFont="1" applyFill="1" applyBorder="1" applyAlignment="1">
      <alignment horizontal="center" vertical="center"/>
    </xf>
    <xf numFmtId="0" fontId="39" fillId="7" borderId="11" xfId="4" applyNumberFormat="1" applyFont="1" applyFill="1" applyBorder="1" applyAlignment="1">
      <alignment horizontal="center" vertical="center"/>
    </xf>
    <xf numFmtId="49" fontId="39" fillId="7" borderId="11" xfId="4" applyNumberFormat="1" applyFont="1" applyFill="1" applyBorder="1" applyAlignment="1">
      <alignment horizontal="center" vertical="center"/>
    </xf>
    <xf numFmtId="9" fontId="39" fillId="7" borderId="11" xfId="3" applyFont="1" applyFill="1" applyBorder="1" applyAlignment="1">
      <alignment horizontal="center" vertical="center"/>
    </xf>
    <xf numFmtId="9" fontId="39" fillId="7" borderId="35" xfId="3" applyFont="1" applyFill="1" applyBorder="1" applyAlignment="1">
      <alignment horizontal="center" vertical="center"/>
    </xf>
    <xf numFmtId="0" fontId="39" fillId="7" borderId="12" xfId="4" applyNumberFormat="1" applyFont="1" applyFill="1" applyBorder="1" applyAlignment="1">
      <alignment horizontal="center" vertical="center"/>
    </xf>
    <xf numFmtId="0" fontId="38" fillId="8" borderId="53" xfId="5" applyFont="1" applyFill="1" applyBorder="1" applyAlignment="1">
      <alignment horizontal="center" vertical="center"/>
    </xf>
    <xf numFmtId="0" fontId="31" fillId="8" borderId="48" xfId="5" applyFont="1" applyFill="1" applyBorder="1" applyAlignment="1">
      <alignment horizontal="center" vertical="center"/>
    </xf>
    <xf numFmtId="0" fontId="31" fillId="8" borderId="53" xfId="5" applyFont="1" applyFill="1" applyBorder="1" applyAlignment="1">
      <alignment horizontal="center" vertical="center"/>
    </xf>
    <xf numFmtId="0" fontId="31" fillId="8" borderId="54" xfId="5" applyFont="1" applyFill="1" applyBorder="1" applyAlignment="1">
      <alignment horizontal="center" vertical="center"/>
    </xf>
    <xf numFmtId="14" fontId="31" fillId="8" borderId="41" xfId="5" applyNumberFormat="1" applyFont="1" applyFill="1" applyBorder="1" applyAlignment="1">
      <alignment horizontal="center" vertical="center"/>
    </xf>
    <xf numFmtId="0" fontId="31" fillId="8" borderId="41" xfId="5" applyFont="1" applyFill="1" applyBorder="1" applyAlignment="1">
      <alignment horizontal="center" vertical="center"/>
    </xf>
    <xf numFmtId="49" fontId="31" fillId="8" borderId="41" xfId="5" applyNumberFormat="1" applyFont="1" applyFill="1" applyBorder="1" applyAlignment="1">
      <alignment horizontal="center" vertical="center"/>
    </xf>
    <xf numFmtId="9" fontId="31" fillId="8" borderId="41" xfId="6" applyFont="1" applyFill="1" applyBorder="1" applyAlignment="1">
      <alignment horizontal="center" vertical="center"/>
    </xf>
    <xf numFmtId="9" fontId="31" fillId="8" borderId="55" xfId="3" applyFont="1" applyFill="1" applyBorder="1" applyAlignment="1">
      <alignment horizontal="center" vertical="center"/>
    </xf>
    <xf numFmtId="9" fontId="31" fillId="8" borderId="56" xfId="3" applyFont="1" applyFill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15" fontId="36" fillId="0" borderId="7" xfId="0" applyNumberFormat="1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9" fontId="36" fillId="0" borderId="7" xfId="3" applyFont="1" applyBorder="1" applyAlignment="1">
      <alignment horizontal="center" vertical="center"/>
    </xf>
    <xf numFmtId="0" fontId="36" fillId="0" borderId="7" xfId="0" applyFont="1" applyBorder="1" applyAlignment="1">
      <alignment vertical="center"/>
    </xf>
    <xf numFmtId="9" fontId="36" fillId="0" borderId="7" xfId="0" applyNumberFormat="1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9" fillId="7" borderId="11" xfId="4" applyNumberFormat="1" applyFont="1" applyFill="1" applyBorder="1" applyAlignment="1">
      <alignment horizontal="left" vertical="center"/>
    </xf>
    <xf numFmtId="0" fontId="31" fillId="8" borderId="41" xfId="5" applyFont="1" applyFill="1" applyBorder="1" applyAlignment="1">
      <alignment horizontal="left" vertical="center"/>
    </xf>
    <xf numFmtId="0" fontId="37" fillId="0" borderId="7" xfId="0" applyFont="1" applyBorder="1" applyAlignment="1">
      <alignment horizontal="left" vertical="center"/>
    </xf>
    <xf numFmtId="0" fontId="36" fillId="2" borderId="7" xfId="0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/>
    </xf>
    <xf numFmtId="15" fontId="40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left" vertical="center"/>
    </xf>
    <xf numFmtId="9" fontId="40" fillId="0" borderId="7" xfId="3" applyFont="1" applyBorder="1" applyAlignment="1">
      <alignment horizontal="center" vertical="center"/>
    </xf>
    <xf numFmtId="0" fontId="40" fillId="0" borderId="0" xfId="0" applyFont="1"/>
    <xf numFmtId="0" fontId="3" fillId="2" borderId="19" xfId="0" applyFont="1" applyFill="1" applyBorder="1" applyAlignment="1">
      <alignment horizontal="left" vertical="center" wrapText="1"/>
    </xf>
    <xf numFmtId="169" fontId="0" fillId="0" borderId="0" xfId="0" applyNumberFormat="1"/>
    <xf numFmtId="166" fontId="0" fillId="0" borderId="0" xfId="0" applyNumberFormat="1"/>
    <xf numFmtId="166" fontId="3" fillId="2" borderId="0" xfId="0" applyNumberFormat="1" applyFont="1" applyFill="1" applyAlignment="1">
      <alignment vertical="center" wrapText="1"/>
    </xf>
    <xf numFmtId="167" fontId="3" fillId="2" borderId="0" xfId="0" applyNumberFormat="1" applyFont="1" applyFill="1" applyAlignment="1">
      <alignment vertical="center" wrapText="1"/>
    </xf>
    <xf numFmtId="169" fontId="3" fillId="2" borderId="0" xfId="1" applyNumberFormat="1" applyFont="1" applyFill="1" applyAlignment="1">
      <alignment horizontal="right" vertical="center" wrapText="1"/>
    </xf>
    <xf numFmtId="167" fontId="13" fillId="2" borderId="0" xfId="0" applyNumberFormat="1" applyFont="1" applyFill="1" applyAlignment="1">
      <alignment vertical="center" wrapText="1"/>
    </xf>
    <xf numFmtId="167" fontId="13" fillId="2" borderId="0" xfId="1" applyNumberFormat="1" applyFont="1" applyFill="1" applyAlignment="1">
      <alignment horizontal="right" vertical="center" wrapText="1"/>
    </xf>
    <xf numFmtId="170" fontId="30" fillId="6" borderId="3" xfId="2" applyNumberFormat="1" applyFont="1" applyFill="1" applyBorder="1" applyAlignment="1">
      <alignment horizontal="right" vertical="center" wrapText="1"/>
    </xf>
    <xf numFmtId="167" fontId="13" fillId="2" borderId="0" xfId="1" applyNumberFormat="1" applyFont="1" applyFill="1" applyAlignment="1">
      <alignment vertical="center" wrapText="1"/>
    </xf>
    <xf numFmtId="169" fontId="5" fillId="2" borderId="2" xfId="0" applyNumberFormat="1" applyFont="1" applyFill="1" applyBorder="1" applyAlignment="1">
      <alignment horizontal="center" vertical="center" wrapText="1"/>
    </xf>
    <xf numFmtId="169" fontId="16" fillId="2" borderId="3" xfId="1" applyNumberFormat="1" applyFont="1" applyFill="1" applyBorder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169" fontId="5" fillId="2" borderId="10" xfId="1" applyNumberFormat="1" applyFont="1" applyFill="1" applyBorder="1" applyAlignment="1">
      <alignment horizontal="center" vertical="center" wrapText="1"/>
    </xf>
    <xf numFmtId="169" fontId="5" fillId="2" borderId="2" xfId="1" applyNumberFormat="1" applyFont="1" applyFill="1" applyBorder="1" applyAlignment="1">
      <alignment horizontal="center" vertical="center" wrapText="1"/>
    </xf>
    <xf numFmtId="169" fontId="5" fillId="2" borderId="22" xfId="1" applyNumberFormat="1" applyFont="1" applyFill="1" applyBorder="1" applyAlignment="1">
      <alignment horizontal="center" vertical="center" wrapText="1"/>
    </xf>
    <xf numFmtId="169" fontId="16" fillId="2" borderId="23" xfId="1" applyNumberFormat="1" applyFont="1" applyFill="1" applyBorder="1" applyAlignment="1">
      <alignment horizontal="center" vertical="center" wrapText="1"/>
    </xf>
    <xf numFmtId="167" fontId="19" fillId="2" borderId="22" xfId="0" applyNumberFormat="1" applyFont="1" applyFill="1" applyBorder="1" applyAlignment="1">
      <alignment horizontal="center" vertical="center" wrapText="1"/>
    </xf>
    <xf numFmtId="167" fontId="19" fillId="2" borderId="23" xfId="1" applyNumberFormat="1" applyFont="1" applyFill="1" applyBorder="1" applyAlignment="1">
      <alignment horizontal="center" vertical="center" wrapText="1"/>
    </xf>
    <xf numFmtId="167" fontId="18" fillId="2" borderId="0" xfId="0" applyNumberFormat="1" applyFont="1" applyFill="1" applyAlignment="1">
      <alignment vertical="center" wrapText="1"/>
    </xf>
    <xf numFmtId="167" fontId="19" fillId="2" borderId="1" xfId="1" applyNumberFormat="1" applyFont="1" applyFill="1" applyBorder="1" applyAlignment="1">
      <alignment horizontal="center" vertical="center" wrapText="1"/>
    </xf>
    <xf numFmtId="167" fontId="19" fillId="2" borderId="22" xfId="1" applyNumberFormat="1" applyFont="1" applyFill="1" applyBorder="1" applyAlignment="1">
      <alignment horizontal="center" vertical="center" wrapText="1"/>
    </xf>
    <xf numFmtId="167" fontId="19" fillId="2" borderId="3" xfId="1" applyNumberFormat="1" applyFont="1" applyFill="1" applyBorder="1" applyAlignment="1">
      <alignment horizontal="center" vertical="center" wrapText="1"/>
    </xf>
    <xf numFmtId="169" fontId="6" fillId="3" borderId="5" xfId="0" applyNumberFormat="1" applyFont="1" applyFill="1" applyBorder="1" applyAlignment="1">
      <alignment horizontal="right" vertical="center" wrapText="1"/>
    </xf>
    <xf numFmtId="169" fontId="17" fillId="3" borderId="27" xfId="1" applyNumberFormat="1" applyFont="1" applyFill="1" applyBorder="1" applyAlignment="1">
      <alignment horizontal="right" vertical="center" wrapText="1"/>
    </xf>
    <xf numFmtId="169" fontId="6" fillId="3" borderId="40" xfId="1" applyNumberFormat="1" applyFont="1" applyFill="1" applyBorder="1" applyAlignment="1">
      <alignment horizontal="right" vertical="center" wrapText="1"/>
    </xf>
    <xf numFmtId="169" fontId="6" fillId="3" borderId="5" xfId="1" applyNumberFormat="1" applyFont="1" applyFill="1" applyBorder="1" applyAlignment="1">
      <alignment horizontal="right" vertical="center" wrapText="1"/>
    </xf>
    <xf numFmtId="169" fontId="6" fillId="3" borderId="24" xfId="1" applyNumberFormat="1" applyFont="1" applyFill="1" applyBorder="1" applyAlignment="1">
      <alignment horizontal="right" vertical="center" wrapText="1"/>
    </xf>
    <xf numFmtId="169" fontId="17" fillId="3" borderId="25" xfId="1" applyNumberFormat="1" applyFont="1" applyFill="1" applyBorder="1" applyAlignment="1">
      <alignment horizontal="right" vertical="center" wrapText="1"/>
    </xf>
    <xf numFmtId="167" fontId="20" fillId="3" borderId="24" xfId="0" applyNumberFormat="1" applyFont="1" applyFill="1" applyBorder="1" applyAlignment="1">
      <alignment horizontal="right" vertical="center" wrapText="1"/>
    </xf>
    <xf numFmtId="167" fontId="20" fillId="3" borderId="25" xfId="1" applyNumberFormat="1" applyFont="1" applyFill="1" applyBorder="1" applyAlignment="1">
      <alignment horizontal="right" vertical="center" wrapText="1"/>
    </xf>
    <xf numFmtId="167" fontId="20" fillId="3" borderId="4" xfId="1" applyNumberFormat="1" applyFont="1" applyFill="1" applyBorder="1" applyAlignment="1">
      <alignment horizontal="right" vertical="center" wrapText="1"/>
    </xf>
    <xf numFmtId="167" fontId="20" fillId="3" borderId="24" xfId="1" applyNumberFormat="1" applyFont="1" applyFill="1" applyBorder="1" applyAlignment="1">
      <alignment horizontal="right" vertical="center" wrapText="1"/>
    </xf>
    <xf numFmtId="167" fontId="20" fillId="3" borderId="26" xfId="1" applyNumberFormat="1" applyFont="1" applyFill="1" applyBorder="1" applyAlignment="1">
      <alignment horizontal="right" vertical="center" wrapText="1"/>
    </xf>
    <xf numFmtId="167" fontId="20" fillId="3" borderId="27" xfId="1" applyNumberFormat="1" applyFont="1" applyFill="1" applyBorder="1" applyAlignment="1">
      <alignment horizontal="right" vertical="center" wrapText="1"/>
    </xf>
    <xf numFmtId="169" fontId="6" fillId="3" borderId="7" xfId="0" applyNumberFormat="1" applyFont="1" applyFill="1" applyBorder="1" applyAlignment="1">
      <alignment horizontal="right" vertical="center" wrapText="1"/>
    </xf>
    <xf numFmtId="169" fontId="17" fillId="3" borderId="14" xfId="1" applyNumberFormat="1" applyFont="1" applyFill="1" applyBorder="1" applyAlignment="1">
      <alignment horizontal="right" vertical="center" wrapText="1"/>
    </xf>
    <xf numFmtId="169" fontId="6" fillId="3" borderId="8" xfId="1" applyNumberFormat="1" applyFont="1" applyFill="1" applyBorder="1" applyAlignment="1">
      <alignment horizontal="right" vertical="center" wrapText="1"/>
    </xf>
    <xf numFmtId="169" fontId="6" fillId="3" borderId="7" xfId="1" applyNumberFormat="1" applyFont="1" applyFill="1" applyBorder="1" applyAlignment="1">
      <alignment horizontal="right" vertical="center" wrapText="1"/>
    </xf>
    <xf numFmtId="169" fontId="6" fillId="3" borderId="20" xfId="1" applyNumberFormat="1" applyFont="1" applyFill="1" applyBorder="1" applyAlignment="1">
      <alignment horizontal="right" vertical="center" wrapText="1"/>
    </xf>
    <xf numFmtId="169" fontId="17" fillId="3" borderId="28" xfId="1" applyNumberFormat="1" applyFont="1" applyFill="1" applyBorder="1" applyAlignment="1">
      <alignment horizontal="right" vertical="center" wrapText="1"/>
    </xf>
    <xf numFmtId="167" fontId="20" fillId="3" borderId="20" xfId="0" applyNumberFormat="1" applyFont="1" applyFill="1" applyBorder="1" applyAlignment="1">
      <alignment horizontal="right" vertical="center" wrapText="1"/>
    </xf>
    <xf numFmtId="167" fontId="20" fillId="3" borderId="28" xfId="1" applyNumberFormat="1" applyFont="1" applyFill="1" applyBorder="1" applyAlignment="1">
      <alignment horizontal="right" vertical="center" wrapText="1"/>
    </xf>
    <xf numFmtId="167" fontId="20" fillId="3" borderId="6" xfId="1" applyNumberFormat="1" applyFont="1" applyFill="1" applyBorder="1" applyAlignment="1">
      <alignment horizontal="right" vertical="center" wrapText="1"/>
    </xf>
    <xf numFmtId="167" fontId="20" fillId="3" borderId="20" xfId="1" applyNumberFormat="1" applyFont="1" applyFill="1" applyBorder="1" applyAlignment="1">
      <alignment horizontal="right" vertical="center" wrapText="1"/>
    </xf>
    <xf numFmtId="167" fontId="20" fillId="3" borderId="14" xfId="1" applyNumberFormat="1" applyFont="1" applyFill="1" applyBorder="1" applyAlignment="1">
      <alignment horizontal="right" vertical="center" wrapText="1"/>
    </xf>
    <xf numFmtId="169" fontId="6" fillId="2" borderId="7" xfId="0" applyNumberFormat="1" applyFont="1" applyFill="1" applyBorder="1" applyAlignment="1">
      <alignment horizontal="right" vertical="center" wrapText="1"/>
    </xf>
    <xf numFmtId="172" fontId="17" fillId="2" borderId="14" xfId="1" applyNumberFormat="1" applyFont="1" applyFill="1" applyBorder="1" applyAlignment="1">
      <alignment horizontal="right" vertical="center" wrapText="1"/>
    </xf>
    <xf numFmtId="171" fontId="6" fillId="2" borderId="8" xfId="1" applyNumberFormat="1" applyFont="1" applyFill="1" applyBorder="1" applyAlignment="1">
      <alignment horizontal="right" vertical="center" wrapText="1"/>
    </xf>
    <xf numFmtId="171" fontId="6" fillId="2" borderId="7" xfId="1" applyNumberFormat="1" applyFont="1" applyFill="1" applyBorder="1" applyAlignment="1">
      <alignment horizontal="right" vertical="center" wrapText="1"/>
    </xf>
    <xf numFmtId="171" fontId="6" fillId="2" borderId="20" xfId="1" applyNumberFormat="1" applyFont="1" applyFill="1" applyBorder="1" applyAlignment="1">
      <alignment horizontal="right" vertical="center" wrapText="1"/>
    </xf>
    <xf numFmtId="172" fontId="17" fillId="2" borderId="28" xfId="1" applyNumberFormat="1" applyFont="1" applyFill="1" applyBorder="1" applyAlignment="1">
      <alignment horizontal="right" vertical="center" wrapText="1"/>
    </xf>
    <xf numFmtId="167" fontId="20" fillId="2" borderId="20" xfId="0" applyNumberFormat="1" applyFont="1" applyFill="1" applyBorder="1" applyAlignment="1">
      <alignment horizontal="right" vertical="center" wrapText="1"/>
    </xf>
    <xf numFmtId="167" fontId="20" fillId="2" borderId="28" xfId="1" applyNumberFormat="1" applyFont="1" applyFill="1" applyBorder="1" applyAlignment="1">
      <alignment horizontal="right" vertical="center" wrapText="1"/>
    </xf>
    <xf numFmtId="167" fontId="20" fillId="2" borderId="6" xfId="0" applyNumberFormat="1" applyFont="1" applyFill="1" applyBorder="1" applyAlignment="1">
      <alignment horizontal="right" vertical="center" wrapText="1"/>
    </xf>
    <xf numFmtId="167" fontId="20" fillId="2" borderId="7" xfId="0" applyNumberFormat="1" applyFont="1" applyFill="1" applyBorder="1" applyAlignment="1">
      <alignment horizontal="right" vertical="center" wrapText="1"/>
    </xf>
    <xf numFmtId="167" fontId="20" fillId="2" borderId="14" xfId="1" applyNumberFormat="1" applyFont="1" applyFill="1" applyBorder="1" applyAlignment="1">
      <alignment horizontal="right" vertical="center" wrapText="1"/>
    </xf>
    <xf numFmtId="172" fontId="17" fillId="3" borderId="14" xfId="1" applyNumberFormat="1" applyFont="1" applyFill="1" applyBorder="1" applyAlignment="1">
      <alignment horizontal="right" vertical="center" wrapText="1"/>
    </xf>
    <xf numFmtId="171" fontId="6" fillId="3" borderId="8" xfId="1" applyNumberFormat="1" applyFont="1" applyFill="1" applyBorder="1" applyAlignment="1">
      <alignment horizontal="right" vertical="center" wrapText="1"/>
    </xf>
    <xf numFmtId="171" fontId="6" fillId="3" borderId="7" xfId="1" applyNumberFormat="1" applyFont="1" applyFill="1" applyBorder="1" applyAlignment="1">
      <alignment horizontal="right" vertical="center" wrapText="1"/>
    </xf>
    <xf numFmtId="171" fontId="6" fillId="3" borderId="20" xfId="1" applyNumberFormat="1" applyFont="1" applyFill="1" applyBorder="1" applyAlignment="1">
      <alignment horizontal="right" vertical="center" wrapText="1"/>
    </xf>
    <xf numFmtId="172" fontId="17" fillId="3" borderId="28" xfId="1" applyNumberFormat="1" applyFont="1" applyFill="1" applyBorder="1" applyAlignment="1">
      <alignment horizontal="right" vertical="center" wrapText="1"/>
    </xf>
    <xf numFmtId="167" fontId="20" fillId="3" borderId="6" xfId="0" applyNumberFormat="1" applyFont="1" applyFill="1" applyBorder="1" applyAlignment="1">
      <alignment horizontal="right" vertical="center" wrapText="1"/>
    </xf>
    <xf numFmtId="167" fontId="20" fillId="3" borderId="7" xfId="0" applyNumberFormat="1" applyFont="1" applyFill="1" applyBorder="1" applyAlignment="1">
      <alignment horizontal="right" vertical="center" wrapText="1"/>
    </xf>
    <xf numFmtId="172" fontId="17" fillId="2" borderId="30" xfId="1" applyNumberFormat="1" applyFont="1" applyFill="1" applyBorder="1" applyAlignment="1">
      <alignment horizontal="right" vertical="center" wrapText="1"/>
    </xf>
    <xf numFmtId="172" fontId="17" fillId="2" borderId="29" xfId="1" applyNumberFormat="1" applyFont="1" applyFill="1" applyBorder="1" applyAlignment="1">
      <alignment horizontal="right" vertical="center" wrapText="1"/>
    </xf>
    <xf numFmtId="167" fontId="20" fillId="2" borderId="29" xfId="1" applyNumberFormat="1" applyFont="1" applyFill="1" applyBorder="1" applyAlignment="1">
      <alignment horizontal="right" vertical="center" wrapText="1"/>
    </xf>
    <xf numFmtId="167" fontId="20" fillId="2" borderId="30" xfId="1" applyNumberFormat="1" applyFont="1" applyFill="1" applyBorder="1" applyAlignment="1">
      <alignment horizontal="right" vertical="center" wrapText="1"/>
    </xf>
    <xf numFmtId="169" fontId="6" fillId="4" borderId="2" xfId="0" applyNumberFormat="1" applyFont="1" applyFill="1" applyBorder="1" applyAlignment="1">
      <alignment horizontal="right" vertical="center" wrapText="1"/>
    </xf>
    <xf numFmtId="172" fontId="21" fillId="0" borderId="3" xfId="1" applyNumberFormat="1" applyFont="1" applyBorder="1" applyAlignment="1">
      <alignment horizontal="right" vertical="center" wrapText="1"/>
    </xf>
    <xf numFmtId="166" fontId="3" fillId="0" borderId="0" xfId="0" applyNumberFormat="1" applyFont="1" applyAlignment="1">
      <alignment vertical="center" wrapText="1"/>
    </xf>
    <xf numFmtId="172" fontId="21" fillId="0" borderId="10" xfId="1" applyNumberFormat="1" applyFont="1" applyBorder="1" applyAlignment="1">
      <alignment horizontal="right" vertical="center" wrapText="1"/>
    </xf>
    <xf numFmtId="172" fontId="21" fillId="0" borderId="2" xfId="1" applyNumberFormat="1" applyFont="1" applyBorder="1" applyAlignment="1">
      <alignment horizontal="right" vertical="center" wrapText="1"/>
    </xf>
    <xf numFmtId="172" fontId="21" fillId="0" borderId="22" xfId="1" applyNumberFormat="1" applyFont="1" applyBorder="1" applyAlignment="1">
      <alignment horizontal="right" vertical="center" wrapText="1"/>
    </xf>
    <xf numFmtId="172" fontId="21" fillId="0" borderId="23" xfId="1" applyNumberFormat="1" applyFont="1" applyBorder="1" applyAlignment="1">
      <alignment horizontal="right" vertical="center" wrapText="1"/>
    </xf>
    <xf numFmtId="167" fontId="20" fillId="4" borderId="22" xfId="0" applyNumberFormat="1" applyFont="1" applyFill="1" applyBorder="1" applyAlignment="1">
      <alignment horizontal="right" vertical="center" wrapText="1"/>
    </xf>
    <xf numFmtId="167" fontId="22" fillId="0" borderId="23" xfId="1" applyNumberFormat="1" applyFont="1" applyBorder="1" applyAlignment="1">
      <alignment horizontal="right" vertical="center" wrapText="1"/>
    </xf>
    <xf numFmtId="167" fontId="13" fillId="0" borderId="0" xfId="0" applyNumberFormat="1" applyFont="1" applyAlignment="1">
      <alignment vertical="center" wrapText="1"/>
    </xf>
    <xf numFmtId="167" fontId="22" fillId="0" borderId="1" xfId="1" applyNumberFormat="1" applyFont="1" applyBorder="1" applyAlignment="1">
      <alignment horizontal="right" vertical="center" wrapText="1"/>
    </xf>
    <xf numFmtId="167" fontId="22" fillId="0" borderId="22" xfId="1" applyNumberFormat="1" applyFont="1" applyBorder="1" applyAlignment="1">
      <alignment horizontal="right" vertical="center" wrapText="1"/>
    </xf>
    <xf numFmtId="167" fontId="22" fillId="0" borderId="3" xfId="1" applyNumberFormat="1" applyFont="1" applyBorder="1" applyAlignment="1">
      <alignment horizontal="right" vertical="center" wrapText="1"/>
    </xf>
    <xf numFmtId="172" fontId="17" fillId="3" borderId="27" xfId="1" applyNumberFormat="1" applyFont="1" applyFill="1" applyBorder="1" applyAlignment="1">
      <alignment horizontal="right" vertical="center" wrapText="1"/>
    </xf>
    <xf numFmtId="172" fontId="6" fillId="3" borderId="40" xfId="1" applyNumberFormat="1" applyFont="1" applyFill="1" applyBorder="1" applyAlignment="1">
      <alignment horizontal="right" vertical="center" wrapText="1"/>
    </xf>
    <xf numFmtId="172" fontId="6" fillId="3" borderId="5" xfId="1" applyNumberFormat="1" applyFont="1" applyFill="1" applyBorder="1" applyAlignment="1">
      <alignment horizontal="right" vertical="center" wrapText="1"/>
    </xf>
    <xf numFmtId="172" fontId="6" fillId="3" borderId="24" xfId="1" applyNumberFormat="1" applyFont="1" applyFill="1" applyBorder="1" applyAlignment="1">
      <alignment horizontal="right" vertical="center" wrapText="1"/>
    </xf>
    <xf numFmtId="172" fontId="17" fillId="3" borderId="25" xfId="1" applyNumberFormat="1" applyFont="1" applyFill="1" applyBorder="1" applyAlignment="1">
      <alignment horizontal="right" vertical="center" wrapText="1"/>
    </xf>
    <xf numFmtId="172" fontId="6" fillId="2" borderId="8" xfId="1" applyNumberFormat="1" applyFont="1" applyFill="1" applyBorder="1" applyAlignment="1">
      <alignment horizontal="right" vertical="center" wrapText="1"/>
    </xf>
    <xf numFmtId="172" fontId="6" fillId="2" borderId="7" xfId="1" applyNumberFormat="1" applyFont="1" applyFill="1" applyBorder="1" applyAlignment="1">
      <alignment horizontal="right" vertical="center" wrapText="1"/>
    </xf>
    <xf numFmtId="172" fontId="6" fillId="2" borderId="20" xfId="1" applyNumberFormat="1" applyFont="1" applyFill="1" applyBorder="1" applyAlignment="1">
      <alignment horizontal="right" vertical="center" wrapText="1"/>
    </xf>
    <xf numFmtId="172" fontId="17" fillId="0" borderId="28" xfId="1" applyNumberFormat="1" applyFont="1" applyBorder="1" applyAlignment="1">
      <alignment horizontal="right" vertical="center" wrapText="1"/>
    </xf>
    <xf numFmtId="172" fontId="17" fillId="0" borderId="14" xfId="1" applyNumberFormat="1" applyFont="1" applyBorder="1" applyAlignment="1">
      <alignment horizontal="right" vertical="center" wrapText="1"/>
    </xf>
    <xf numFmtId="167" fontId="20" fillId="0" borderId="28" xfId="1" applyNumberFormat="1" applyFont="1" applyBorder="1" applyAlignment="1">
      <alignment horizontal="right" vertical="center" wrapText="1"/>
    </xf>
    <xf numFmtId="167" fontId="20" fillId="0" borderId="14" xfId="1" applyNumberFormat="1" applyFont="1" applyBorder="1" applyAlignment="1">
      <alignment horizontal="right" vertical="center" wrapText="1"/>
    </xf>
    <xf numFmtId="172" fontId="17" fillId="0" borderId="29" xfId="1" applyNumberFormat="1" applyFont="1" applyBorder="1" applyAlignment="1">
      <alignment horizontal="right" vertical="center" wrapText="1"/>
    </xf>
    <xf numFmtId="172" fontId="17" fillId="0" borderId="30" xfId="1" applyNumberFormat="1" applyFont="1" applyBorder="1" applyAlignment="1">
      <alignment horizontal="right" vertical="center" wrapText="1"/>
    </xf>
    <xf numFmtId="167" fontId="20" fillId="0" borderId="29" xfId="1" applyNumberFormat="1" applyFont="1" applyBorder="1" applyAlignment="1">
      <alignment horizontal="right" vertical="center" wrapText="1"/>
    </xf>
    <xf numFmtId="167" fontId="20" fillId="0" borderId="30" xfId="1" applyNumberFormat="1" applyFont="1" applyBorder="1" applyAlignment="1">
      <alignment horizontal="right" vertical="center" wrapText="1"/>
    </xf>
    <xf numFmtId="172" fontId="16" fillId="0" borderId="3" xfId="1" applyNumberFormat="1" applyFont="1" applyBorder="1" applyAlignment="1">
      <alignment horizontal="right" vertical="center" wrapText="1"/>
    </xf>
    <xf numFmtId="167" fontId="19" fillId="0" borderId="23" xfId="1" applyNumberFormat="1" applyFont="1" applyBorder="1" applyAlignment="1">
      <alignment horizontal="right" vertical="center" wrapText="1"/>
    </xf>
    <xf numFmtId="169" fontId="24" fillId="4" borderId="2" xfId="0" applyNumberFormat="1" applyFont="1" applyFill="1" applyBorder="1" applyAlignment="1">
      <alignment horizontal="right" vertical="center" wrapText="1"/>
    </xf>
    <xf numFmtId="172" fontId="23" fillId="0" borderId="3" xfId="1" applyNumberFormat="1" applyFont="1" applyBorder="1" applyAlignment="1">
      <alignment horizontal="right" vertical="center" wrapText="1"/>
    </xf>
    <xf numFmtId="166" fontId="24" fillId="0" borderId="0" xfId="0" applyNumberFormat="1" applyFont="1" applyAlignment="1">
      <alignment vertical="center" wrapText="1"/>
    </xf>
    <xf numFmtId="172" fontId="23" fillId="0" borderId="10" xfId="1" applyNumberFormat="1" applyFont="1" applyBorder="1" applyAlignment="1">
      <alignment horizontal="right" vertical="center" wrapText="1"/>
    </xf>
    <xf numFmtId="172" fontId="23" fillId="0" borderId="2" xfId="1" applyNumberFormat="1" applyFont="1" applyBorder="1" applyAlignment="1">
      <alignment horizontal="right" vertical="center" wrapText="1"/>
    </xf>
    <xf numFmtId="172" fontId="23" fillId="0" borderId="22" xfId="1" applyNumberFormat="1" applyFont="1" applyBorder="1" applyAlignment="1">
      <alignment horizontal="right" vertical="center" wrapText="1"/>
    </xf>
    <xf numFmtId="172" fontId="23" fillId="0" borderId="23" xfId="1" applyNumberFormat="1" applyFont="1" applyBorder="1" applyAlignment="1">
      <alignment horizontal="right" vertical="center" wrapText="1"/>
    </xf>
    <xf numFmtId="167" fontId="26" fillId="4" borderId="22" xfId="0" applyNumberFormat="1" applyFont="1" applyFill="1" applyBorder="1" applyAlignment="1">
      <alignment horizontal="right" vertical="center" wrapText="1"/>
    </xf>
    <xf numFmtId="167" fontId="25" fillId="0" borderId="23" xfId="1" applyNumberFormat="1" applyFont="1" applyBorder="1" applyAlignment="1">
      <alignment horizontal="right" vertical="center" wrapText="1"/>
    </xf>
    <xf numFmtId="167" fontId="26" fillId="0" borderId="0" xfId="0" applyNumberFormat="1" applyFont="1" applyAlignment="1">
      <alignment vertical="center" wrapText="1"/>
    </xf>
    <xf numFmtId="167" fontId="25" fillId="0" borderId="1" xfId="1" applyNumberFormat="1" applyFont="1" applyBorder="1" applyAlignment="1">
      <alignment horizontal="right" vertical="center" wrapText="1"/>
    </xf>
    <xf numFmtId="167" fontId="25" fillId="0" borderId="22" xfId="1" applyNumberFormat="1" applyFont="1" applyBorder="1" applyAlignment="1">
      <alignment horizontal="right" vertical="center" wrapText="1"/>
    </xf>
    <xf numFmtId="167" fontId="25" fillId="0" borderId="3" xfId="1" applyNumberFormat="1" applyFont="1" applyBorder="1" applyAlignment="1">
      <alignment horizontal="right" vertical="center" wrapText="1"/>
    </xf>
    <xf numFmtId="169" fontId="6" fillId="0" borderId="0" xfId="0" applyNumberFormat="1" applyFont="1" applyAlignment="1">
      <alignment horizontal="right" vertical="center" wrapText="1"/>
    </xf>
    <xf numFmtId="172" fontId="5" fillId="0" borderId="0" xfId="1" applyNumberFormat="1" applyFont="1" applyAlignment="1">
      <alignment horizontal="right" vertical="center" wrapText="1"/>
    </xf>
    <xf numFmtId="172" fontId="5" fillId="0" borderId="15" xfId="1" applyNumberFormat="1" applyFont="1" applyBorder="1" applyAlignment="1">
      <alignment horizontal="right" vertical="center" wrapText="1"/>
    </xf>
    <xf numFmtId="172" fontId="5" fillId="0" borderId="44" xfId="1" applyNumberFormat="1" applyFont="1" applyBorder="1" applyAlignment="1">
      <alignment horizontal="right" vertical="center" wrapText="1"/>
    </xf>
    <xf numFmtId="172" fontId="5" fillId="0" borderId="33" xfId="1" applyNumberFormat="1" applyFont="1" applyBorder="1" applyAlignment="1">
      <alignment horizontal="right" vertical="center" wrapText="1"/>
    </xf>
    <xf numFmtId="172" fontId="16" fillId="0" borderId="32" xfId="1" applyNumberFormat="1" applyFont="1" applyBorder="1" applyAlignment="1">
      <alignment horizontal="right" vertical="center" wrapText="1"/>
    </xf>
    <xf numFmtId="172" fontId="16" fillId="0" borderId="34" xfId="1" applyNumberFormat="1" applyFont="1" applyBorder="1" applyAlignment="1">
      <alignment horizontal="right" vertical="center" wrapText="1"/>
    </xf>
    <xf numFmtId="167" fontId="20" fillId="0" borderId="0" xfId="0" applyNumberFormat="1" applyFont="1" applyAlignment="1">
      <alignment horizontal="right" vertical="center" wrapText="1"/>
    </xf>
    <xf numFmtId="167" fontId="19" fillId="0" borderId="32" xfId="1" applyNumberFormat="1" applyFont="1" applyBorder="1" applyAlignment="1">
      <alignment horizontal="right" vertical="center" wrapText="1"/>
    </xf>
    <xf numFmtId="167" fontId="19" fillId="0" borderId="15" xfId="1" applyNumberFormat="1" applyFont="1" applyBorder="1" applyAlignment="1">
      <alignment horizontal="right" vertical="center" wrapText="1"/>
    </xf>
    <xf numFmtId="167" fontId="19" fillId="0" borderId="0" xfId="1" applyNumberFormat="1" applyFont="1" applyAlignment="1">
      <alignment horizontal="right" vertical="center" wrapText="1"/>
    </xf>
    <xf numFmtId="167" fontId="19" fillId="0" borderId="33" xfId="1" applyNumberFormat="1" applyFont="1" applyBorder="1" applyAlignment="1">
      <alignment horizontal="right" vertical="center" wrapText="1"/>
    </xf>
    <xf numFmtId="167" fontId="19" fillId="0" borderId="34" xfId="1" applyNumberFormat="1" applyFont="1" applyBorder="1" applyAlignment="1">
      <alignment horizontal="right" vertical="center" wrapText="1"/>
    </xf>
    <xf numFmtId="169" fontId="11" fillId="0" borderId="11" xfId="0" applyNumberFormat="1" applyFont="1" applyBorder="1" applyAlignment="1">
      <alignment horizontal="center" vertical="center" wrapText="1"/>
    </xf>
    <xf numFmtId="172" fontId="3" fillId="0" borderId="12" xfId="1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72" fontId="3" fillId="0" borderId="13" xfId="1" applyNumberFormat="1" applyFont="1" applyBorder="1" applyAlignment="1">
      <alignment horizontal="center" vertical="center" wrapText="1"/>
    </xf>
    <xf numFmtId="172" fontId="3" fillId="0" borderId="11" xfId="1" applyNumberFormat="1" applyFont="1" applyBorder="1" applyAlignment="1">
      <alignment horizontal="center" vertical="center" wrapText="1"/>
    </xf>
    <xf numFmtId="172" fontId="3" fillId="0" borderId="35" xfId="1" applyNumberFormat="1" applyFont="1" applyBorder="1" applyAlignment="1">
      <alignment horizontal="center" vertical="center" wrapText="1"/>
    </xf>
    <xf numFmtId="172" fontId="11" fillId="0" borderId="26" xfId="1" applyNumberFormat="1" applyFont="1" applyBorder="1" applyAlignment="1">
      <alignment horizontal="center" vertical="center" wrapText="1"/>
    </xf>
    <xf numFmtId="172" fontId="11" fillId="0" borderId="12" xfId="1" applyNumberFormat="1" applyFont="1" applyBorder="1" applyAlignment="1">
      <alignment horizontal="center" vertical="center" wrapText="1"/>
    </xf>
    <xf numFmtId="167" fontId="13" fillId="0" borderId="35" xfId="0" applyNumberFormat="1" applyFont="1" applyBorder="1" applyAlignment="1">
      <alignment horizontal="center" vertical="center" wrapText="1"/>
    </xf>
    <xf numFmtId="167" fontId="13" fillId="0" borderId="26" xfId="1" applyNumberFormat="1" applyFont="1" applyBorder="1" applyAlignment="1">
      <alignment horizontal="center" vertical="center" wrapText="1"/>
    </xf>
    <xf numFmtId="167" fontId="13" fillId="0" borderId="0" xfId="0" applyNumberFormat="1" applyFont="1" applyAlignment="1">
      <alignment horizontal="center" vertical="center" wrapText="1"/>
    </xf>
    <xf numFmtId="167" fontId="20" fillId="2" borderId="1" xfId="1" applyNumberFormat="1" applyFont="1" applyFill="1" applyBorder="1" applyAlignment="1">
      <alignment horizontal="center" vertical="center" wrapText="1"/>
    </xf>
    <xf numFmtId="167" fontId="20" fillId="2" borderId="22" xfId="1" applyNumberFormat="1" applyFont="1" applyFill="1" applyBorder="1" applyAlignment="1">
      <alignment horizontal="center" vertical="center" wrapText="1"/>
    </xf>
    <xf numFmtId="167" fontId="20" fillId="2" borderId="3" xfId="1" applyNumberFormat="1" applyFont="1" applyFill="1" applyBorder="1" applyAlignment="1">
      <alignment horizontal="center" vertical="center" wrapText="1"/>
    </xf>
    <xf numFmtId="167" fontId="13" fillId="0" borderId="12" xfId="1" applyNumberFormat="1" applyFont="1" applyBorder="1" applyAlignment="1">
      <alignment horizontal="center" vertical="center" wrapText="1"/>
    </xf>
    <xf numFmtId="169" fontId="11" fillId="0" borderId="7" xfId="3" applyNumberFormat="1" applyFont="1" applyBorder="1" applyAlignment="1">
      <alignment horizontal="center" vertical="center" wrapText="1"/>
    </xf>
    <xf numFmtId="172" fontId="3" fillId="0" borderId="14" xfId="1" applyNumberFormat="1" applyFont="1" applyBorder="1" applyAlignment="1">
      <alignment horizontal="right" vertical="center" wrapText="1"/>
    </xf>
    <xf numFmtId="172" fontId="3" fillId="0" borderId="20" xfId="1" applyNumberFormat="1" applyFont="1" applyBorder="1" applyAlignment="1">
      <alignment horizontal="right" vertical="center" wrapText="1"/>
    </xf>
    <xf numFmtId="172" fontId="3" fillId="0" borderId="7" xfId="1" applyNumberFormat="1" applyFont="1" applyBorder="1" applyAlignment="1">
      <alignment horizontal="right" vertical="center" wrapText="1"/>
    </xf>
    <xf numFmtId="172" fontId="11" fillId="0" borderId="28" xfId="1" applyNumberFormat="1" applyFont="1" applyBorder="1" applyAlignment="1">
      <alignment horizontal="right" vertical="center" wrapText="1"/>
    </xf>
    <xf numFmtId="172" fontId="11" fillId="0" borderId="14" xfId="1" applyNumberFormat="1" applyFont="1" applyBorder="1" applyAlignment="1">
      <alignment horizontal="right" vertical="center" wrapText="1"/>
    </xf>
    <xf numFmtId="167" fontId="20" fillId="2" borderId="28" xfId="0" applyNumberFormat="1" applyFont="1" applyFill="1" applyBorder="1" applyAlignment="1">
      <alignment horizontal="right" vertical="center" wrapText="1"/>
    </xf>
    <xf numFmtId="167" fontId="13" fillId="0" borderId="28" xfId="1" applyNumberFormat="1" applyFont="1" applyBorder="1" applyAlignment="1">
      <alignment horizontal="right" vertical="center" wrapText="1"/>
    </xf>
    <xf numFmtId="167" fontId="13" fillId="0" borderId="14" xfId="1" applyNumberFormat="1" applyFont="1" applyBorder="1" applyAlignment="1">
      <alignment horizontal="right" vertical="center" wrapText="1"/>
    </xf>
    <xf numFmtId="168" fontId="3" fillId="0" borderId="14" xfId="1" applyNumberFormat="1" applyFont="1" applyBorder="1" applyAlignment="1">
      <alignment horizontal="right" vertical="center" wrapText="1"/>
    </xf>
    <xf numFmtId="168" fontId="13" fillId="0" borderId="14" xfId="1" applyNumberFormat="1" applyFont="1" applyBorder="1" applyAlignment="1">
      <alignment horizontal="right" vertical="center" wrapText="1"/>
    </xf>
    <xf numFmtId="169" fontId="11" fillId="0" borderId="31" xfId="3" applyNumberFormat="1" applyFont="1" applyBorder="1" applyAlignment="1">
      <alignment horizontal="center" vertical="center" wrapText="1"/>
    </xf>
    <xf numFmtId="172" fontId="11" fillId="0" borderId="29" xfId="1" applyNumberFormat="1" applyFont="1" applyBorder="1" applyAlignment="1">
      <alignment horizontal="right" vertical="center" wrapText="1"/>
    </xf>
    <xf numFmtId="172" fontId="11" fillId="0" borderId="30" xfId="1" applyNumberFormat="1" applyFont="1" applyBorder="1" applyAlignment="1">
      <alignment horizontal="right" vertical="center" wrapText="1"/>
    </xf>
    <xf numFmtId="167" fontId="13" fillId="0" borderId="29" xfId="1" applyNumberFormat="1" applyFont="1" applyBorder="1" applyAlignment="1">
      <alignment horizontal="right" vertical="center" wrapText="1"/>
    </xf>
    <xf numFmtId="167" fontId="13" fillId="0" borderId="30" xfId="1" applyNumberFormat="1" applyFont="1" applyBorder="1" applyAlignment="1">
      <alignment horizontal="right" vertical="center" wrapText="1"/>
    </xf>
    <xf numFmtId="169" fontId="23" fillId="0" borderId="2" xfId="0" applyNumberFormat="1" applyFont="1" applyBorder="1" applyAlignment="1">
      <alignment horizontal="center" vertical="center" wrapText="1"/>
    </xf>
    <xf numFmtId="171" fontId="24" fillId="0" borderId="0" xfId="0" applyNumberFormat="1" applyFont="1" applyAlignment="1">
      <alignment vertical="center" wrapText="1"/>
    </xf>
    <xf numFmtId="167" fontId="25" fillId="0" borderId="36" xfId="1" applyNumberFormat="1" applyFont="1" applyBorder="1" applyAlignment="1">
      <alignment horizontal="right" vertical="center" wrapText="1"/>
    </xf>
    <xf numFmtId="169" fontId="3" fillId="0" borderId="0" xfId="0" applyNumberFormat="1" applyFont="1" applyAlignment="1">
      <alignment horizontal="right" vertical="center" wrapText="1"/>
    </xf>
    <xf numFmtId="172" fontId="3" fillId="0" borderId="0" xfId="1" applyNumberFormat="1" applyFont="1" applyAlignment="1">
      <alignment horizontal="right" vertical="center" wrapText="1"/>
    </xf>
    <xf numFmtId="171" fontId="3" fillId="0" borderId="0" xfId="0" applyNumberFormat="1" applyFont="1" applyAlignment="1">
      <alignment vertical="center" wrapText="1"/>
    </xf>
    <xf numFmtId="172" fontId="11" fillId="0" borderId="15" xfId="1" applyNumberFormat="1" applyFont="1" applyBorder="1" applyAlignment="1">
      <alignment horizontal="right" vertical="center" wrapText="1"/>
    </xf>
    <xf numFmtId="172" fontId="11" fillId="0" borderId="44" xfId="1" applyNumberFormat="1" applyFont="1" applyBorder="1" applyAlignment="1">
      <alignment horizontal="right" vertical="center" wrapText="1"/>
    </xf>
    <xf numFmtId="172" fontId="11" fillId="0" borderId="33" xfId="1" applyNumberFormat="1" applyFont="1" applyBorder="1" applyAlignment="1">
      <alignment horizontal="right" vertical="center" wrapText="1"/>
    </xf>
    <xf numFmtId="172" fontId="11" fillId="0" borderId="32" xfId="1" applyNumberFormat="1" applyFont="1" applyBorder="1" applyAlignment="1">
      <alignment horizontal="right" vertical="center" wrapText="1"/>
    </xf>
    <xf numFmtId="172" fontId="11" fillId="0" borderId="34" xfId="1" applyNumberFormat="1" applyFont="1" applyBorder="1" applyAlignment="1">
      <alignment horizontal="right" vertical="center" wrapText="1"/>
    </xf>
    <xf numFmtId="167" fontId="13" fillId="0" borderId="0" xfId="0" applyNumberFormat="1" applyFont="1" applyAlignment="1">
      <alignment horizontal="right" vertical="center" wrapText="1"/>
    </xf>
    <xf numFmtId="167" fontId="13" fillId="0" borderId="32" xfId="1" applyNumberFormat="1" applyFont="1" applyBorder="1" applyAlignment="1">
      <alignment horizontal="right" vertical="center" wrapText="1"/>
    </xf>
    <xf numFmtId="167" fontId="13" fillId="0" borderId="38" xfId="1" applyNumberFormat="1" applyFont="1" applyBorder="1" applyAlignment="1">
      <alignment horizontal="right" vertical="center" wrapText="1"/>
    </xf>
    <xf numFmtId="167" fontId="13" fillId="0" borderId="0" xfId="1" applyNumberFormat="1" applyFont="1" applyAlignment="1">
      <alignment horizontal="right" vertical="center" wrapText="1"/>
    </xf>
    <xf numFmtId="167" fontId="13" fillId="0" borderId="33" xfId="1" applyNumberFormat="1" applyFont="1" applyBorder="1" applyAlignment="1">
      <alignment horizontal="right" vertical="center" wrapText="1"/>
    </xf>
    <xf numFmtId="167" fontId="13" fillId="0" borderId="34" xfId="1" applyNumberFormat="1" applyFont="1" applyBorder="1" applyAlignment="1">
      <alignment horizontal="right" vertical="center" wrapText="1"/>
    </xf>
    <xf numFmtId="172" fontId="11" fillId="0" borderId="3" xfId="1" applyNumberFormat="1" applyFont="1" applyBorder="1" applyAlignment="1">
      <alignment horizontal="right" vertical="center" wrapText="1"/>
    </xf>
    <xf numFmtId="172" fontId="11" fillId="0" borderId="10" xfId="1" applyNumberFormat="1" applyFont="1" applyBorder="1" applyAlignment="1">
      <alignment horizontal="right" vertical="center" wrapText="1"/>
    </xf>
    <xf numFmtId="172" fontId="11" fillId="0" borderId="2" xfId="1" applyNumberFormat="1" applyFont="1" applyBorder="1" applyAlignment="1">
      <alignment horizontal="right" vertical="center" wrapText="1"/>
    </xf>
    <xf numFmtId="172" fontId="11" fillId="0" borderId="22" xfId="1" applyNumberFormat="1" applyFont="1" applyBorder="1" applyAlignment="1">
      <alignment horizontal="right" vertical="center" wrapText="1"/>
    </xf>
    <xf numFmtId="172" fontId="11" fillId="0" borderId="23" xfId="1" applyNumberFormat="1" applyFont="1" applyBorder="1" applyAlignment="1">
      <alignment horizontal="right" vertical="center" wrapText="1"/>
    </xf>
    <xf numFmtId="167" fontId="13" fillId="0" borderId="23" xfId="1" applyNumberFormat="1" applyFont="1" applyBorder="1" applyAlignment="1">
      <alignment horizontal="right" vertical="center" wrapText="1"/>
    </xf>
    <xf numFmtId="167" fontId="13" fillId="0" borderId="1" xfId="1" applyNumberFormat="1" applyFont="1" applyBorder="1" applyAlignment="1">
      <alignment horizontal="right" vertical="center" wrapText="1"/>
    </xf>
    <xf numFmtId="167" fontId="13" fillId="0" borderId="36" xfId="1" applyNumberFormat="1" applyFont="1" applyBorder="1" applyAlignment="1">
      <alignment horizontal="right" vertical="center" wrapText="1"/>
    </xf>
    <xf numFmtId="167" fontId="13" fillId="0" borderId="22" xfId="1" applyNumberFormat="1" applyFont="1" applyBorder="1" applyAlignment="1">
      <alignment horizontal="right" vertical="center" wrapText="1"/>
    </xf>
    <xf numFmtId="167" fontId="13" fillId="0" borderId="3" xfId="1" applyNumberFormat="1" applyFont="1" applyBorder="1" applyAlignment="1">
      <alignment horizontal="right" vertical="center" wrapText="1"/>
    </xf>
    <xf numFmtId="169" fontId="0" fillId="2" borderId="0" xfId="0" applyNumberFormat="1" applyFill="1"/>
    <xf numFmtId="166" fontId="0" fillId="2" borderId="0" xfId="0" applyNumberFormat="1" applyFill="1"/>
    <xf numFmtId="173" fontId="36" fillId="0" borderId="0" xfId="2" applyFont="1" applyAlignment="1">
      <alignment horizontal="center" vertical="center"/>
    </xf>
    <xf numFmtId="177" fontId="36" fillId="0" borderId="0" xfId="0" applyNumberFormat="1" applyFont="1" applyAlignment="1">
      <alignment horizontal="center" vertical="center"/>
    </xf>
    <xf numFmtId="173" fontId="36" fillId="0" borderId="7" xfId="2" applyFont="1" applyBorder="1" applyAlignment="1">
      <alignment horizontal="center" vertical="center"/>
    </xf>
    <xf numFmtId="164" fontId="37" fillId="0" borderId="7" xfId="0" applyNumberFormat="1" applyFont="1" applyBorder="1" applyAlignment="1">
      <alignment horizontal="center" vertical="center"/>
    </xf>
    <xf numFmtId="174" fontId="36" fillId="0" borderId="0" xfId="0" applyNumberFormat="1" applyFont="1" applyAlignment="1">
      <alignment horizontal="center" vertical="center"/>
    </xf>
    <xf numFmtId="177" fontId="39" fillId="7" borderId="12" xfId="4" applyNumberFormat="1" applyFont="1" applyFill="1" applyBorder="1" applyAlignment="1">
      <alignment horizontal="center" vertical="center"/>
    </xf>
    <xf numFmtId="165" fontId="31" fillId="8" borderId="41" xfId="7" applyFont="1" applyFill="1" applyBorder="1" applyAlignment="1">
      <alignment horizontal="center" vertical="center"/>
    </xf>
    <xf numFmtId="177" fontId="31" fillId="8" borderId="41" xfId="5" applyNumberFormat="1" applyFont="1" applyFill="1" applyBorder="1" applyAlignment="1">
      <alignment horizontal="center" vertical="center"/>
    </xf>
    <xf numFmtId="175" fontId="36" fillId="0" borderId="7" xfId="0" applyNumberFormat="1" applyFont="1" applyBorder="1" applyAlignment="1">
      <alignment horizontal="center" vertical="center"/>
    </xf>
    <xf numFmtId="175" fontId="36" fillId="0" borderId="7" xfId="3" applyNumberFormat="1" applyFont="1" applyBorder="1" applyAlignment="1">
      <alignment horizontal="center" vertical="center"/>
    </xf>
    <xf numFmtId="176" fontId="36" fillId="0" borderId="7" xfId="3" applyNumberFormat="1" applyFont="1" applyBorder="1" applyAlignment="1">
      <alignment horizontal="center" vertical="center"/>
    </xf>
    <xf numFmtId="177" fontId="36" fillId="0" borderId="7" xfId="3" applyNumberFormat="1" applyFont="1" applyBorder="1" applyAlignment="1">
      <alignment horizontal="center" vertical="center"/>
    </xf>
    <xf numFmtId="173" fontId="37" fillId="0" borderId="7" xfId="2" applyFont="1" applyBorder="1" applyAlignment="1">
      <alignment horizontal="right"/>
    </xf>
    <xf numFmtId="173" fontId="37" fillId="0" borderId="7" xfId="2" applyFont="1" applyBorder="1" applyAlignment="1">
      <alignment horizontal="center"/>
    </xf>
    <xf numFmtId="173" fontId="37" fillId="0" borderId="7" xfId="2" applyFont="1" applyBorder="1"/>
    <xf numFmtId="173" fontId="40" fillId="0" borderId="7" xfId="2" applyFont="1" applyBorder="1" applyAlignment="1">
      <alignment horizontal="right"/>
    </xf>
    <xf numFmtId="175" fontId="40" fillId="0" borderId="7" xfId="0" applyNumberFormat="1" applyFont="1" applyBorder="1" applyAlignment="1">
      <alignment horizontal="center" vertical="center"/>
    </xf>
    <xf numFmtId="164" fontId="40" fillId="0" borderId="7" xfId="0" applyNumberFormat="1" applyFont="1" applyBorder="1" applyAlignment="1">
      <alignment horizontal="center" vertical="center"/>
    </xf>
    <xf numFmtId="175" fontId="40" fillId="0" borderId="7" xfId="3" applyNumberFormat="1" applyFont="1" applyBorder="1" applyAlignment="1">
      <alignment horizontal="center" vertical="center"/>
    </xf>
    <xf numFmtId="176" fontId="40" fillId="0" borderId="7" xfId="3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0" fontId="0" fillId="0" borderId="47" xfId="0" applyBorder="1"/>
    <xf numFmtId="0" fontId="25" fillId="0" borderId="1" xfId="0" applyFont="1" applyBorder="1" applyAlignment="1">
      <alignment vertical="center" wrapText="1"/>
    </xf>
    <xf numFmtId="0" fontId="0" fillId="0" borderId="36" xfId="0" applyBorder="1"/>
    <xf numFmtId="0" fontId="0" fillId="0" borderId="37" xfId="0" applyBorder="1"/>
    <xf numFmtId="0" fontId="21" fillId="0" borderId="1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0" fillId="0" borderId="43" xfId="0" applyBorder="1"/>
    <xf numFmtId="0" fontId="0" fillId="0" borderId="19" xfId="0" applyBorder="1"/>
    <xf numFmtId="0" fontId="1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166" fontId="14" fillId="2" borderId="10" xfId="1" applyNumberFormat="1" applyFont="1" applyFill="1" applyBorder="1" applyAlignment="1">
      <alignment horizontal="center" vertical="center" wrapText="1"/>
    </xf>
    <xf numFmtId="166" fontId="4" fillId="5" borderId="7" xfId="1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0" fillId="0" borderId="50" xfId="0" applyBorder="1"/>
    <xf numFmtId="0" fontId="0" fillId="0" borderId="51" xfId="0" applyBorder="1"/>
    <xf numFmtId="0" fontId="21" fillId="0" borderId="48" xfId="0" applyFont="1" applyBorder="1" applyAlignment="1">
      <alignment horizontal="left" vertical="center" wrapText="1"/>
    </xf>
    <xf numFmtId="0" fontId="0" fillId="0" borderId="49" xfId="0" applyBorder="1"/>
    <xf numFmtId="0" fontId="13" fillId="0" borderId="10" xfId="0" applyFont="1" applyBorder="1" applyAlignment="1">
      <alignment horizontal="center" vertical="center" wrapText="1"/>
    </xf>
    <xf numFmtId="167" fontId="7" fillId="2" borderId="7" xfId="0" applyNumberFormat="1" applyFont="1" applyFill="1" applyBorder="1" applyAlignment="1">
      <alignment horizontal="center" vertical="center" wrapText="1"/>
    </xf>
    <xf numFmtId="166" fontId="11" fillId="2" borderId="7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166" fontId="14" fillId="2" borderId="19" xfId="1" quotePrefix="1" applyNumberFormat="1" applyFont="1" applyFill="1" applyBorder="1" applyAlignment="1">
      <alignment horizontal="left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13" fillId="2" borderId="7" xfId="0" applyNumberFormat="1" applyFont="1" applyFill="1" applyBorder="1" applyAlignment="1">
      <alignment horizontal="center" vertical="center" wrapText="1"/>
    </xf>
    <xf numFmtId="0" fontId="23" fillId="0" borderId="46" xfId="0" applyFont="1" applyBorder="1" applyAlignment="1">
      <alignment horizontal="left" vertical="center" wrapText="1"/>
    </xf>
    <xf numFmtId="0" fontId="0" fillId="0" borderId="42" xfId="0" applyBorder="1"/>
    <xf numFmtId="0" fontId="7" fillId="2" borderId="52" xfId="0" applyFont="1" applyFill="1" applyBorder="1" applyAlignment="1">
      <alignment horizontal="center" vertical="center" wrapText="1"/>
    </xf>
    <xf numFmtId="0" fontId="0" fillId="0" borderId="52" xfId="0" applyBorder="1"/>
    <xf numFmtId="0" fontId="12" fillId="2" borderId="7" xfId="0" applyFont="1" applyFill="1" applyBorder="1" applyAlignment="1">
      <alignment horizontal="center" vertical="center" wrapText="1"/>
    </xf>
  </cellXfs>
  <cellStyles count="12">
    <cellStyle name="Comma 21" xfId="10" xr:uid="{00000000-0005-0000-0000-00000B000000}"/>
    <cellStyle name="Comma 3 2" xfId="7" xr:uid="{00000000-0005-0000-0000-000008000000}"/>
    <cellStyle name="Comma 30 2" xfId="9" xr:uid="{00000000-0005-0000-0000-00000A000000}"/>
    <cellStyle name="Comma 4" xfId="4" xr:uid="{00000000-0005-0000-0000-000005000000}"/>
    <cellStyle name="Euro" xfId="1" xr:uid="{00000000-0005-0000-0000-000001000000}"/>
    <cellStyle name="Milliers" xfId="2" builtinId="3"/>
    <cellStyle name="Normal" xfId="0" builtinId="0"/>
    <cellStyle name="Normal 2" xfId="11" xr:uid="{00000000-0005-0000-0000-00000C000000}"/>
    <cellStyle name="Normal 3 9" xfId="5" xr:uid="{00000000-0005-0000-0000-000006000000}"/>
    <cellStyle name="Normal 5" xfId="8" xr:uid="{00000000-0005-0000-0000-000009000000}"/>
    <cellStyle name="Percent 2 3" xfId="6" xr:uid="{00000000-0005-0000-0000-000007000000}"/>
    <cellStyle name="Pourcentag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264"/>
  <sheetViews>
    <sheetView zoomScale="137" zoomScaleNormal="90" workbookViewId="0">
      <selection activeCell="K3" sqref="K3:L3"/>
    </sheetView>
  </sheetViews>
  <sheetFormatPr baseColWidth="10" defaultColWidth="11" defaultRowHeight="12"/>
  <cols>
    <col min="1" max="1" width="5.1640625" bestFit="1" customWidth="1"/>
    <col min="2" max="2" width="34.1640625" customWidth="1"/>
    <col min="3" max="3" width="12.83203125" customWidth="1"/>
    <col min="4" max="4" width="9" customWidth="1"/>
    <col min="5" max="5" width="12" style="128" bestFit="1" customWidth="1"/>
    <col min="6" max="6" width="13" style="128" bestFit="1" customWidth="1"/>
    <col min="7" max="7" width="1.1640625" style="129" customWidth="1"/>
    <col min="8" max="8" width="13" style="128" bestFit="1" customWidth="1"/>
    <col min="9" max="10" width="13.6640625" style="128" bestFit="1" customWidth="1"/>
    <col min="11" max="11" width="13" style="128" bestFit="1" customWidth="1"/>
    <col min="12" max="12" width="14.6640625" style="128" customWidth="1"/>
    <col min="13" max="13" width="1.5" style="85" customWidth="1"/>
    <col min="14" max="14" width="5.1640625" style="85" bestFit="1" customWidth="1"/>
    <col min="15" max="15" width="34.1640625" customWidth="1"/>
    <col min="16" max="16" width="12.83203125" customWidth="1"/>
    <col min="17" max="17" width="6.33203125" customWidth="1"/>
    <col min="18" max="18" width="10.6640625" customWidth="1"/>
    <col min="19" max="19" width="10.33203125" customWidth="1"/>
    <col min="20" max="20" width="1.1640625" customWidth="1"/>
    <col min="21" max="24" width="9.83203125" customWidth="1"/>
    <col min="25" max="25" width="11.6640625" customWidth="1"/>
  </cols>
  <sheetData>
    <row r="1" spans="1:36" ht="38.25" customHeight="1">
      <c r="A1" s="370" t="s">
        <v>0</v>
      </c>
      <c r="B1" s="371"/>
      <c r="C1" s="350" t="s">
        <v>1</v>
      </c>
      <c r="D1" s="339"/>
      <c r="E1" s="339"/>
      <c r="F1" s="340"/>
      <c r="G1" s="130"/>
      <c r="H1" s="353" t="s">
        <v>2</v>
      </c>
      <c r="I1" s="339"/>
      <c r="J1" s="340"/>
      <c r="K1" s="366"/>
      <c r="L1" s="339"/>
      <c r="M1" s="340"/>
      <c r="N1" s="372" t="s">
        <v>3</v>
      </c>
      <c r="O1" s="339"/>
      <c r="P1" s="339"/>
      <c r="Q1" s="339"/>
      <c r="R1" s="339"/>
      <c r="S1" s="340"/>
      <c r="T1" s="131"/>
      <c r="U1" s="362" t="s">
        <v>4</v>
      </c>
      <c r="V1" s="339"/>
      <c r="W1" s="339"/>
      <c r="X1" s="339"/>
      <c r="Y1" s="340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27" customHeight="1" thickBot="1">
      <c r="A2" s="8" t="s">
        <v>5</v>
      </c>
      <c r="B2" s="9"/>
      <c r="C2" s="364"/>
      <c r="D2" s="339"/>
      <c r="E2" s="339"/>
      <c r="F2" s="340"/>
      <c r="G2" s="130"/>
      <c r="H2" s="132"/>
      <c r="I2" s="132"/>
      <c r="J2" s="132"/>
      <c r="K2" s="132"/>
      <c r="L2" s="132"/>
      <c r="M2" s="13"/>
      <c r="N2" s="86"/>
      <c r="O2" s="86" t="s">
        <v>5</v>
      </c>
      <c r="P2" s="344">
        <f>C2</f>
        <v>0</v>
      </c>
      <c r="Q2" s="339"/>
      <c r="R2" s="339"/>
      <c r="S2" s="340"/>
      <c r="T2" s="133"/>
      <c r="U2" s="134"/>
      <c r="V2" s="134"/>
      <c r="W2" s="134"/>
      <c r="X2" s="134"/>
      <c r="Y2" s="134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ht="54.75" customHeight="1" thickBot="1">
      <c r="A3" s="11" t="s">
        <v>6</v>
      </c>
      <c r="B3" s="127"/>
      <c r="C3" s="338"/>
      <c r="D3" s="339"/>
      <c r="E3" s="339"/>
      <c r="F3" s="340"/>
      <c r="G3" s="130"/>
      <c r="H3" s="352" t="s">
        <v>7</v>
      </c>
      <c r="I3" s="335"/>
      <c r="J3" s="135"/>
      <c r="K3" s="365" t="s">
        <v>8</v>
      </c>
      <c r="L3" s="340"/>
      <c r="M3" s="13"/>
      <c r="N3" s="87"/>
      <c r="O3" s="87" t="s">
        <v>6</v>
      </c>
      <c r="P3" s="348">
        <f>C3</f>
        <v>0</v>
      </c>
      <c r="Q3" s="339"/>
      <c r="R3" s="339"/>
      <c r="S3" s="340"/>
      <c r="T3" s="133"/>
      <c r="U3" s="136"/>
      <c r="V3" s="136"/>
      <c r="W3" s="134"/>
      <c r="X3" s="134"/>
      <c r="Y3" s="134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ht="25.5" customHeight="1" thickBot="1">
      <c r="A4" s="92" t="s">
        <v>9</v>
      </c>
      <c r="B4" s="10"/>
      <c r="C4" s="356"/>
      <c r="D4" s="357"/>
      <c r="E4" s="357"/>
      <c r="F4" s="358"/>
      <c r="G4" s="130"/>
      <c r="H4" s="132"/>
      <c r="I4" s="132"/>
      <c r="J4" s="132"/>
      <c r="K4" s="363" t="s">
        <v>10</v>
      </c>
      <c r="L4" s="340"/>
      <c r="M4" s="13"/>
      <c r="N4" s="88"/>
      <c r="O4" s="88" t="s">
        <v>9</v>
      </c>
      <c r="P4" s="344">
        <f>C4</f>
        <v>0</v>
      </c>
      <c r="Q4" s="339"/>
      <c r="R4" s="339"/>
      <c r="S4" s="340"/>
      <c r="T4" s="133"/>
      <c r="U4" s="134"/>
      <c r="V4" s="134"/>
      <c r="W4" s="134"/>
      <c r="X4" s="367" t="s">
        <v>10</v>
      </c>
      <c r="Y4" s="340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49.25" customHeight="1" thickBot="1">
      <c r="A5" s="1"/>
      <c r="B5" s="14" t="s">
        <v>11</v>
      </c>
      <c r="C5" s="2" t="s">
        <v>12</v>
      </c>
      <c r="D5" s="3" t="s">
        <v>13</v>
      </c>
      <c r="E5" s="137" t="s">
        <v>14</v>
      </c>
      <c r="F5" s="138" t="s">
        <v>15</v>
      </c>
      <c r="G5" s="139"/>
      <c r="H5" s="140" t="s">
        <v>16</v>
      </c>
      <c r="I5" s="141" t="s">
        <v>17</v>
      </c>
      <c r="J5" s="142" t="s">
        <v>18</v>
      </c>
      <c r="K5" s="143" t="s">
        <v>19</v>
      </c>
      <c r="L5" s="138" t="s">
        <v>20</v>
      </c>
      <c r="M5" s="15"/>
      <c r="N5" s="16"/>
      <c r="O5" s="17" t="s">
        <v>11</v>
      </c>
      <c r="P5" s="18" t="s">
        <v>12</v>
      </c>
      <c r="Q5" s="19" t="s">
        <v>13</v>
      </c>
      <c r="R5" s="144" t="s">
        <v>21</v>
      </c>
      <c r="S5" s="145" t="s">
        <v>22</v>
      </c>
      <c r="T5" s="146"/>
      <c r="U5" s="147" t="s">
        <v>23</v>
      </c>
      <c r="V5" s="148" t="s">
        <v>24</v>
      </c>
      <c r="W5" s="149" t="s">
        <v>25</v>
      </c>
      <c r="X5" s="149" t="s">
        <v>26</v>
      </c>
      <c r="Y5" s="149" t="s">
        <v>27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 ht="19.5" customHeight="1">
      <c r="A6" s="20">
        <v>1</v>
      </c>
      <c r="B6" s="4" t="s">
        <v>28</v>
      </c>
      <c r="C6" s="21"/>
      <c r="D6" s="22"/>
      <c r="E6" s="150"/>
      <c r="F6" s="151"/>
      <c r="G6" s="130"/>
      <c r="H6" s="152"/>
      <c r="I6" s="153"/>
      <c r="J6" s="154"/>
      <c r="K6" s="155"/>
      <c r="L6" s="151"/>
      <c r="M6" s="13"/>
      <c r="N6" s="23">
        <v>1</v>
      </c>
      <c r="O6" s="24" t="s">
        <v>28</v>
      </c>
      <c r="P6" s="25"/>
      <c r="Q6" s="26"/>
      <c r="R6" s="156"/>
      <c r="S6" s="157"/>
      <c r="T6" s="133"/>
      <c r="U6" s="158"/>
      <c r="V6" s="159"/>
      <c r="W6" s="159"/>
      <c r="X6" s="160"/>
      <c r="Y6" s="161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 ht="12.5" customHeight="1">
      <c r="A7" s="5" t="s">
        <v>29</v>
      </c>
      <c r="B7" s="27" t="s">
        <v>30</v>
      </c>
      <c r="C7" s="28"/>
      <c r="D7" s="29"/>
      <c r="E7" s="162"/>
      <c r="F7" s="163"/>
      <c r="G7" s="130"/>
      <c r="H7" s="164"/>
      <c r="I7" s="165"/>
      <c r="J7" s="166"/>
      <c r="K7" s="167"/>
      <c r="L7" s="163"/>
      <c r="M7" s="13"/>
      <c r="N7" s="30" t="s">
        <v>29</v>
      </c>
      <c r="O7" s="31" t="s">
        <v>30</v>
      </c>
      <c r="P7" s="32"/>
      <c r="Q7" s="33"/>
      <c r="R7" s="168"/>
      <c r="S7" s="169"/>
      <c r="T7" s="133"/>
      <c r="U7" s="170"/>
      <c r="V7" s="171"/>
      <c r="W7" s="171"/>
      <c r="X7" s="169"/>
      <c r="Y7" s="17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 ht="12" customHeight="1">
      <c r="A8" s="5" t="s">
        <v>31</v>
      </c>
      <c r="B8" s="6" t="s">
        <v>32</v>
      </c>
      <c r="C8" s="34" t="s">
        <v>33</v>
      </c>
      <c r="D8" s="35"/>
      <c r="E8" s="173"/>
      <c r="F8" s="174">
        <f>E8*D8</f>
        <v>0</v>
      </c>
      <c r="G8" s="130"/>
      <c r="H8" s="175"/>
      <c r="I8" s="176"/>
      <c r="J8" s="177"/>
      <c r="K8" s="178">
        <f>SUM(H8:J8)</f>
        <v>0</v>
      </c>
      <c r="L8" s="174">
        <f>F8-K8</f>
        <v>0</v>
      </c>
      <c r="M8" s="13"/>
      <c r="N8" s="30" t="s">
        <v>31</v>
      </c>
      <c r="O8" s="36" t="s">
        <v>32</v>
      </c>
      <c r="P8" s="37" t="s">
        <v>33</v>
      </c>
      <c r="Q8" s="89">
        <f>$D8</f>
        <v>0</v>
      </c>
      <c r="R8" s="179">
        <f>E8*$J$3</f>
        <v>0</v>
      </c>
      <c r="S8" s="180">
        <f>R8*Q8</f>
        <v>0</v>
      </c>
      <c r="T8" s="133"/>
      <c r="U8" s="181">
        <f t="shared" ref="U8:W9" si="0">H8*$J$3</f>
        <v>0</v>
      </c>
      <c r="V8" s="182">
        <f t="shared" si="0"/>
        <v>0</v>
      </c>
      <c r="W8" s="179">
        <f t="shared" si="0"/>
        <v>0</v>
      </c>
      <c r="X8" s="180">
        <f>SUM(U8:W8)</f>
        <v>0</v>
      </c>
      <c r="Y8" s="183">
        <f>S8-X8</f>
        <v>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 ht="12" customHeight="1">
      <c r="A9" s="5" t="s">
        <v>34</v>
      </c>
      <c r="B9" s="6" t="s">
        <v>32</v>
      </c>
      <c r="C9" s="34" t="s">
        <v>33</v>
      </c>
      <c r="D9" s="35"/>
      <c r="E9" s="173"/>
      <c r="F9" s="174">
        <f>E9*D9</f>
        <v>0</v>
      </c>
      <c r="G9" s="130"/>
      <c r="H9" s="175"/>
      <c r="I9" s="176"/>
      <c r="J9" s="177"/>
      <c r="K9" s="178">
        <f>SUM(H9:J9)</f>
        <v>0</v>
      </c>
      <c r="L9" s="174">
        <f>F9-K9</f>
        <v>0</v>
      </c>
      <c r="M9" s="13"/>
      <c r="N9" s="30" t="s">
        <v>34</v>
      </c>
      <c r="O9" s="36" t="s">
        <v>32</v>
      </c>
      <c r="P9" s="37" t="s">
        <v>33</v>
      </c>
      <c r="Q9" s="89">
        <f>$D9</f>
        <v>0</v>
      </c>
      <c r="R9" s="179">
        <f>E9*$J$3</f>
        <v>0</v>
      </c>
      <c r="S9" s="180">
        <f>R9*Q9</f>
        <v>0</v>
      </c>
      <c r="T9" s="133"/>
      <c r="U9" s="181">
        <f t="shared" si="0"/>
        <v>0</v>
      </c>
      <c r="V9" s="182">
        <f t="shared" si="0"/>
        <v>0</v>
      </c>
      <c r="W9" s="179">
        <f t="shared" si="0"/>
        <v>0</v>
      </c>
      <c r="X9" s="180">
        <f>SUM(U9:W9)</f>
        <v>0</v>
      </c>
      <c r="Y9" s="183">
        <f>S9-X9</f>
        <v>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ht="12.5" customHeight="1">
      <c r="A10" s="5" t="s">
        <v>35</v>
      </c>
      <c r="B10" s="27" t="s">
        <v>36</v>
      </c>
      <c r="C10" s="28"/>
      <c r="D10" s="29"/>
      <c r="E10" s="162"/>
      <c r="F10" s="184"/>
      <c r="G10" s="130"/>
      <c r="H10" s="185"/>
      <c r="I10" s="186"/>
      <c r="J10" s="187"/>
      <c r="K10" s="188"/>
      <c r="L10" s="184"/>
      <c r="M10" s="13"/>
      <c r="N10" s="30" t="s">
        <v>35</v>
      </c>
      <c r="O10" s="31" t="s">
        <v>36</v>
      </c>
      <c r="P10" s="32"/>
      <c r="Q10" s="32"/>
      <c r="R10" s="168"/>
      <c r="S10" s="169"/>
      <c r="T10" s="133"/>
      <c r="U10" s="189"/>
      <c r="V10" s="190"/>
      <c r="W10" s="168"/>
      <c r="X10" s="169"/>
      <c r="Y10" s="17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ht="12" customHeight="1">
      <c r="A11" s="5" t="s">
        <v>37</v>
      </c>
      <c r="B11" s="6" t="s">
        <v>38</v>
      </c>
      <c r="C11" s="34" t="s">
        <v>39</v>
      </c>
      <c r="D11" s="35"/>
      <c r="E11" s="173"/>
      <c r="F11" s="174">
        <f>E11*D11</f>
        <v>0</v>
      </c>
      <c r="G11" s="130"/>
      <c r="H11" s="175"/>
      <c r="I11" s="176"/>
      <c r="J11" s="177"/>
      <c r="K11" s="178">
        <f>SUM(H11:J11)</f>
        <v>0</v>
      </c>
      <c r="L11" s="174">
        <f>F11-K11</f>
        <v>0</v>
      </c>
      <c r="M11" s="13"/>
      <c r="N11" s="30" t="s">
        <v>37</v>
      </c>
      <c r="O11" s="36" t="s">
        <v>38</v>
      </c>
      <c r="P11" s="37" t="s">
        <v>39</v>
      </c>
      <c r="Q11" s="89">
        <f>$D11</f>
        <v>0</v>
      </c>
      <c r="R11" s="179">
        <f>E11*$J$3</f>
        <v>0</v>
      </c>
      <c r="S11" s="180">
        <f>R11*Q11</f>
        <v>0</v>
      </c>
      <c r="T11" s="133"/>
      <c r="U11" s="181">
        <f t="shared" ref="U11:W12" si="1">H11*$J$3</f>
        <v>0</v>
      </c>
      <c r="V11" s="182">
        <f t="shared" si="1"/>
        <v>0</v>
      </c>
      <c r="W11" s="179">
        <f t="shared" si="1"/>
        <v>0</v>
      </c>
      <c r="X11" s="180">
        <f>SUM(U11:W11)</f>
        <v>0</v>
      </c>
      <c r="Y11" s="183">
        <f>S11-X11</f>
        <v>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ht="12" customHeight="1">
      <c r="A12" s="5" t="s">
        <v>40</v>
      </c>
      <c r="B12" s="6" t="s">
        <v>38</v>
      </c>
      <c r="C12" s="34" t="s">
        <v>39</v>
      </c>
      <c r="D12" s="35"/>
      <c r="E12" s="173"/>
      <c r="F12" s="174">
        <f>E12*D12</f>
        <v>0</v>
      </c>
      <c r="G12" s="130"/>
      <c r="H12" s="175"/>
      <c r="I12" s="176"/>
      <c r="J12" s="177"/>
      <c r="K12" s="178">
        <f>SUM(H12:J12)</f>
        <v>0</v>
      </c>
      <c r="L12" s="174">
        <f>F12-K12</f>
        <v>0</v>
      </c>
      <c r="M12" s="13"/>
      <c r="N12" s="30" t="s">
        <v>40</v>
      </c>
      <c r="O12" s="36" t="s">
        <v>38</v>
      </c>
      <c r="P12" s="37" t="s">
        <v>39</v>
      </c>
      <c r="Q12" s="89">
        <f>$D12</f>
        <v>0</v>
      </c>
      <c r="R12" s="179">
        <f>E12*$J$3</f>
        <v>0</v>
      </c>
      <c r="S12" s="180">
        <f>R12*Q12</f>
        <v>0</v>
      </c>
      <c r="T12" s="133"/>
      <c r="U12" s="181">
        <f t="shared" si="1"/>
        <v>0</v>
      </c>
      <c r="V12" s="182">
        <f t="shared" si="1"/>
        <v>0</v>
      </c>
      <c r="W12" s="179">
        <f t="shared" si="1"/>
        <v>0</v>
      </c>
      <c r="X12" s="180">
        <f>SUM(U12:W12)</f>
        <v>0</v>
      </c>
      <c r="Y12" s="183">
        <f>S12-X12</f>
        <v>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12.5" customHeight="1">
      <c r="A13" s="5" t="s">
        <v>41</v>
      </c>
      <c r="B13" s="27" t="s">
        <v>42</v>
      </c>
      <c r="C13" s="28"/>
      <c r="D13" s="29"/>
      <c r="E13" s="162"/>
      <c r="F13" s="184"/>
      <c r="G13" s="130"/>
      <c r="H13" s="185"/>
      <c r="I13" s="186"/>
      <c r="J13" s="187"/>
      <c r="K13" s="188"/>
      <c r="L13" s="184"/>
      <c r="M13" s="13"/>
      <c r="N13" s="30" t="s">
        <v>41</v>
      </c>
      <c r="O13" s="31" t="s">
        <v>42</v>
      </c>
      <c r="P13" s="32"/>
      <c r="Q13" s="33"/>
      <c r="R13" s="168"/>
      <c r="S13" s="169"/>
      <c r="T13" s="133"/>
      <c r="U13" s="189"/>
      <c r="V13" s="190"/>
      <c r="W13" s="168"/>
      <c r="X13" s="169"/>
      <c r="Y13" s="17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ht="12" customHeight="1">
      <c r="A14" s="5" t="s">
        <v>43</v>
      </c>
      <c r="B14" s="6" t="s">
        <v>44</v>
      </c>
      <c r="C14" s="34" t="s">
        <v>39</v>
      </c>
      <c r="D14" s="35"/>
      <c r="E14" s="173"/>
      <c r="F14" s="174">
        <f>E14*D14</f>
        <v>0</v>
      </c>
      <c r="G14" s="130"/>
      <c r="H14" s="175"/>
      <c r="I14" s="176"/>
      <c r="J14" s="177"/>
      <c r="K14" s="178">
        <f>SUM(H14:J14)</f>
        <v>0</v>
      </c>
      <c r="L14" s="174">
        <f>F14-K14</f>
        <v>0</v>
      </c>
      <c r="M14" s="13"/>
      <c r="N14" s="30" t="s">
        <v>43</v>
      </c>
      <c r="O14" s="36" t="s">
        <v>44</v>
      </c>
      <c r="P14" s="37" t="s">
        <v>39</v>
      </c>
      <c r="Q14" s="89">
        <f>$D14</f>
        <v>0</v>
      </c>
      <c r="R14" s="179">
        <f>E14*$J$3</f>
        <v>0</v>
      </c>
      <c r="S14" s="180">
        <f>R14*Q14</f>
        <v>0</v>
      </c>
      <c r="T14" s="133"/>
      <c r="U14" s="181">
        <f t="shared" ref="U14:W15" si="2">H14*$J$3</f>
        <v>0</v>
      </c>
      <c r="V14" s="182">
        <f t="shared" si="2"/>
        <v>0</v>
      </c>
      <c r="W14" s="179">
        <f t="shared" si="2"/>
        <v>0</v>
      </c>
      <c r="X14" s="180">
        <f>SUM(U14:W14)</f>
        <v>0</v>
      </c>
      <c r="Y14" s="183">
        <f>S14-X14</f>
        <v>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 ht="12.5" customHeight="1" thickBot="1">
      <c r="A15" s="7" t="s">
        <v>45</v>
      </c>
      <c r="B15" s="6" t="s">
        <v>44</v>
      </c>
      <c r="C15" s="34" t="s">
        <v>39</v>
      </c>
      <c r="D15" s="35"/>
      <c r="E15" s="173"/>
      <c r="F15" s="191">
        <f>E15*D15</f>
        <v>0</v>
      </c>
      <c r="G15" s="130"/>
      <c r="H15" s="175"/>
      <c r="I15" s="176"/>
      <c r="J15" s="177"/>
      <c r="K15" s="192">
        <f>SUM(H15:J15)</f>
        <v>0</v>
      </c>
      <c r="L15" s="191">
        <f>F15-K15</f>
        <v>0</v>
      </c>
      <c r="M15" s="13"/>
      <c r="N15" s="38" t="s">
        <v>45</v>
      </c>
      <c r="O15" s="36" t="s">
        <v>44</v>
      </c>
      <c r="P15" s="37" t="s">
        <v>39</v>
      </c>
      <c r="Q15" s="89">
        <f>$D15</f>
        <v>0</v>
      </c>
      <c r="R15" s="179">
        <f>E15*$J$3</f>
        <v>0</v>
      </c>
      <c r="S15" s="193">
        <f>R15*Q15</f>
        <v>0</v>
      </c>
      <c r="T15" s="133"/>
      <c r="U15" s="181">
        <f t="shared" si="2"/>
        <v>0</v>
      </c>
      <c r="V15" s="182">
        <f t="shared" si="2"/>
        <v>0</v>
      </c>
      <c r="W15" s="179">
        <f t="shared" si="2"/>
        <v>0</v>
      </c>
      <c r="X15" s="193">
        <f>SUM(U15:W15)</f>
        <v>0</v>
      </c>
      <c r="Y15" s="194">
        <f>S15-X15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ht="21" customHeight="1" thickBot="1">
      <c r="A16" s="337" t="s">
        <v>46</v>
      </c>
      <c r="B16" s="336"/>
      <c r="C16" s="39"/>
      <c r="D16" s="39"/>
      <c r="E16" s="195"/>
      <c r="F16" s="196">
        <f>SUM(F8:F15)</f>
        <v>0</v>
      </c>
      <c r="G16" s="197"/>
      <c r="H16" s="198">
        <f>SUM(H8:H15)</f>
        <v>0</v>
      </c>
      <c r="I16" s="199">
        <f>SUM(I8:I15)</f>
        <v>0</v>
      </c>
      <c r="J16" s="200">
        <f>SUM(J8:J15)</f>
        <v>0</v>
      </c>
      <c r="K16" s="201">
        <f>SUM(K8:K15)</f>
        <v>0</v>
      </c>
      <c r="L16" s="196">
        <f>SUM(L8:L15)</f>
        <v>0</v>
      </c>
      <c r="M16" s="40"/>
      <c r="N16" s="346" t="s">
        <v>46</v>
      </c>
      <c r="O16" s="336"/>
      <c r="P16" s="41"/>
      <c r="Q16" s="41"/>
      <c r="R16" s="202"/>
      <c r="S16" s="203">
        <f>SUM(S8:S15)</f>
        <v>0</v>
      </c>
      <c r="T16" s="204"/>
      <c r="U16" s="205">
        <f>SUM(U8:U15)</f>
        <v>0</v>
      </c>
      <c r="V16" s="206">
        <f>SUM(V8:V15)</f>
        <v>0</v>
      </c>
      <c r="W16" s="206">
        <f>SUM(W8:W15)</f>
        <v>0</v>
      </c>
      <c r="X16" s="203">
        <f>SUM(X8:X15)</f>
        <v>0</v>
      </c>
      <c r="Y16" s="207">
        <f>SUM(Y8:Y15)</f>
        <v>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ht="12.5" customHeight="1">
      <c r="A17" s="42">
        <v>2</v>
      </c>
      <c r="B17" s="43" t="s">
        <v>47</v>
      </c>
      <c r="C17" s="21"/>
      <c r="D17" s="22"/>
      <c r="E17" s="150"/>
      <c r="F17" s="208"/>
      <c r="G17" s="197"/>
      <c r="H17" s="209"/>
      <c r="I17" s="210"/>
      <c r="J17" s="211"/>
      <c r="K17" s="212"/>
      <c r="L17" s="208"/>
      <c r="M17" s="40"/>
      <c r="N17" s="44">
        <v>2</v>
      </c>
      <c r="O17" s="45" t="s">
        <v>47</v>
      </c>
      <c r="P17" s="25"/>
      <c r="Q17" s="26"/>
      <c r="R17" s="156"/>
      <c r="S17" s="157"/>
      <c r="T17" s="204"/>
      <c r="U17" s="158"/>
      <c r="V17" s="159"/>
      <c r="W17" s="159"/>
      <c r="X17" s="157"/>
      <c r="Y17" s="161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ht="12" customHeight="1">
      <c r="A18" s="46" t="s">
        <v>48</v>
      </c>
      <c r="B18" s="6" t="s">
        <v>44</v>
      </c>
      <c r="C18" s="48" t="s">
        <v>49</v>
      </c>
      <c r="D18" s="35"/>
      <c r="E18" s="173"/>
      <c r="F18" s="174">
        <f>E18*D18</f>
        <v>0</v>
      </c>
      <c r="G18" s="197"/>
      <c r="H18" s="213"/>
      <c r="I18" s="214"/>
      <c r="J18" s="215"/>
      <c r="K18" s="216">
        <f>SUM(H18:J18)</f>
        <v>0</v>
      </c>
      <c r="L18" s="217">
        <f>F18-K18</f>
        <v>0</v>
      </c>
      <c r="M18" s="40"/>
      <c r="N18" s="49" t="s">
        <v>48</v>
      </c>
      <c r="O18" s="36" t="s">
        <v>44</v>
      </c>
      <c r="P18" s="51" t="s">
        <v>49</v>
      </c>
      <c r="Q18" s="89">
        <f>$D18</f>
        <v>0</v>
      </c>
      <c r="R18" s="179">
        <f>E18*$J$3</f>
        <v>0</v>
      </c>
      <c r="S18" s="218">
        <f>R18*Q18</f>
        <v>0</v>
      </c>
      <c r="T18" s="204"/>
      <c r="U18" s="181">
        <f t="shared" ref="U18:W19" si="3">H18*$J$3</f>
        <v>0</v>
      </c>
      <c r="V18" s="182">
        <f t="shared" si="3"/>
        <v>0</v>
      </c>
      <c r="W18" s="179">
        <f t="shared" si="3"/>
        <v>0</v>
      </c>
      <c r="X18" s="218">
        <f>SUM(U18:W18)</f>
        <v>0</v>
      </c>
      <c r="Y18" s="219">
        <f>S18-X18</f>
        <v>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ht="12.5" customHeight="1" thickBot="1">
      <c r="A19" s="52" t="s">
        <v>50</v>
      </c>
      <c r="B19" s="6" t="s">
        <v>44</v>
      </c>
      <c r="C19" s="48" t="s">
        <v>49</v>
      </c>
      <c r="D19" s="35"/>
      <c r="E19" s="173"/>
      <c r="F19" s="174">
        <f>E19*D19</f>
        <v>0</v>
      </c>
      <c r="G19" s="197"/>
      <c r="H19" s="213"/>
      <c r="I19" s="214"/>
      <c r="J19" s="215"/>
      <c r="K19" s="220">
        <f>SUM(H19:J19)</f>
        <v>0</v>
      </c>
      <c r="L19" s="221">
        <f>F19-K19</f>
        <v>0</v>
      </c>
      <c r="M19" s="40"/>
      <c r="N19" s="53" t="s">
        <v>50</v>
      </c>
      <c r="O19" s="36" t="s">
        <v>44</v>
      </c>
      <c r="P19" s="51" t="s">
        <v>49</v>
      </c>
      <c r="Q19" s="89">
        <f>$D19</f>
        <v>0</v>
      </c>
      <c r="R19" s="179">
        <f>E19*$J$3</f>
        <v>0</v>
      </c>
      <c r="S19" s="222">
        <f>R19*Q19</f>
        <v>0</v>
      </c>
      <c r="T19" s="204"/>
      <c r="U19" s="181">
        <f t="shared" si="3"/>
        <v>0</v>
      </c>
      <c r="V19" s="182">
        <f t="shared" si="3"/>
        <v>0</v>
      </c>
      <c r="W19" s="179">
        <f t="shared" si="3"/>
        <v>0</v>
      </c>
      <c r="X19" s="222">
        <f>SUM(U19:W19)</f>
        <v>0</v>
      </c>
      <c r="Y19" s="223">
        <f>S19-X19</f>
        <v>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ht="19.5" customHeight="1" thickBot="1">
      <c r="A20" s="337" t="s">
        <v>51</v>
      </c>
      <c r="B20" s="336"/>
      <c r="C20" s="39"/>
      <c r="D20" s="39"/>
      <c r="E20" s="195"/>
      <c r="F20" s="224">
        <f>SUM(F19,F18)</f>
        <v>0</v>
      </c>
      <c r="G20" s="197"/>
      <c r="H20" s="198">
        <f>SUM(H19,H18)</f>
        <v>0</v>
      </c>
      <c r="I20" s="199">
        <f>SUM(I19,I18)</f>
        <v>0</v>
      </c>
      <c r="J20" s="200">
        <f>SUM(J19,J18)</f>
        <v>0</v>
      </c>
      <c r="K20" s="201">
        <f>SUM(K19,K18)</f>
        <v>0</v>
      </c>
      <c r="L20" s="196">
        <f>SUM(L19,L18)</f>
        <v>0</v>
      </c>
      <c r="M20" s="40"/>
      <c r="N20" s="346" t="s">
        <v>51</v>
      </c>
      <c r="O20" s="336"/>
      <c r="P20" s="41"/>
      <c r="Q20" s="41"/>
      <c r="R20" s="202"/>
      <c r="S20" s="225">
        <f>SUM(S19,S18)</f>
        <v>0</v>
      </c>
      <c r="T20" s="204"/>
      <c r="U20" s="205">
        <f>SUM(U19,U18)</f>
        <v>0</v>
      </c>
      <c r="V20" s="206">
        <f>SUM(V19,V18)</f>
        <v>0</v>
      </c>
      <c r="W20" s="206">
        <f>SUM(W19,W18)</f>
        <v>0</v>
      </c>
      <c r="X20" s="203">
        <f>SUM(X19,X18)</f>
        <v>0</v>
      </c>
      <c r="Y20" s="207">
        <f>SUM(Y19,Y18)</f>
        <v>0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ht="12.5" customHeight="1">
      <c r="A21" s="42">
        <v>3</v>
      </c>
      <c r="B21" s="43" t="s">
        <v>52</v>
      </c>
      <c r="C21" s="21"/>
      <c r="D21" s="22"/>
      <c r="E21" s="150"/>
      <c r="F21" s="208"/>
      <c r="G21" s="197"/>
      <c r="H21" s="209"/>
      <c r="I21" s="210"/>
      <c r="J21" s="211"/>
      <c r="K21" s="212"/>
      <c r="L21" s="208"/>
      <c r="M21" s="40"/>
      <c r="N21" s="44">
        <v>3</v>
      </c>
      <c r="O21" s="45" t="s">
        <v>52</v>
      </c>
      <c r="P21" s="25"/>
      <c r="Q21" s="26"/>
      <c r="R21" s="156"/>
      <c r="S21" s="157"/>
      <c r="T21" s="204"/>
      <c r="U21" s="158"/>
      <c r="V21" s="159"/>
      <c r="W21" s="159"/>
      <c r="X21" s="157"/>
      <c r="Y21" s="161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ht="12" customHeight="1">
      <c r="A22" s="46" t="s">
        <v>53</v>
      </c>
      <c r="B22" s="6" t="s">
        <v>54</v>
      </c>
      <c r="C22" s="54"/>
      <c r="D22" s="35"/>
      <c r="E22" s="173"/>
      <c r="F22" s="174">
        <f>E22*D22</f>
        <v>0</v>
      </c>
      <c r="G22" s="197"/>
      <c r="H22" s="213"/>
      <c r="I22" s="214"/>
      <c r="J22" s="215"/>
      <c r="K22" s="216">
        <f>SUM(H22:J22)</f>
        <v>0</v>
      </c>
      <c r="L22" s="217">
        <f>F22-K22</f>
        <v>0</v>
      </c>
      <c r="M22" s="40"/>
      <c r="N22" s="49" t="s">
        <v>53</v>
      </c>
      <c r="O22" s="36" t="s">
        <v>54</v>
      </c>
      <c r="P22" s="55"/>
      <c r="Q22" s="89">
        <f>$D22</f>
        <v>0</v>
      </c>
      <c r="R22" s="179">
        <f>E22*$J$3</f>
        <v>0</v>
      </c>
      <c r="S22" s="218">
        <f>R22*Q22</f>
        <v>0</v>
      </c>
      <c r="T22" s="204"/>
      <c r="U22" s="181">
        <f t="shared" ref="U22:W25" si="4">H22*$J$3</f>
        <v>0</v>
      </c>
      <c r="V22" s="182">
        <f t="shared" si="4"/>
        <v>0</v>
      </c>
      <c r="W22" s="179">
        <f t="shared" si="4"/>
        <v>0</v>
      </c>
      <c r="X22" s="218">
        <f>SUM(U22:W22)</f>
        <v>0</v>
      </c>
      <c r="Y22" s="219">
        <f>S22-X22</f>
        <v>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ht="12" customHeight="1">
      <c r="A23" s="46" t="s">
        <v>55</v>
      </c>
      <c r="B23" s="6" t="s">
        <v>54</v>
      </c>
      <c r="C23" s="54"/>
      <c r="D23" s="35"/>
      <c r="E23" s="173"/>
      <c r="F23" s="174">
        <f>E23*D23</f>
        <v>0</v>
      </c>
      <c r="G23" s="197"/>
      <c r="H23" s="213"/>
      <c r="I23" s="214"/>
      <c r="J23" s="215"/>
      <c r="K23" s="216">
        <f>SUM(H23:J23)</f>
        <v>0</v>
      </c>
      <c r="L23" s="217">
        <f>F23-K23</f>
        <v>0</v>
      </c>
      <c r="M23" s="40"/>
      <c r="N23" s="49" t="s">
        <v>55</v>
      </c>
      <c r="O23" s="36" t="s">
        <v>54</v>
      </c>
      <c r="P23" s="55"/>
      <c r="Q23" s="89">
        <f>$D23</f>
        <v>0</v>
      </c>
      <c r="R23" s="179">
        <f>E23*$J$3</f>
        <v>0</v>
      </c>
      <c r="S23" s="218">
        <f>R23*Q23</f>
        <v>0</v>
      </c>
      <c r="T23" s="204"/>
      <c r="U23" s="181">
        <f t="shared" si="4"/>
        <v>0</v>
      </c>
      <c r="V23" s="182">
        <f t="shared" si="4"/>
        <v>0</v>
      </c>
      <c r="W23" s="179">
        <f t="shared" si="4"/>
        <v>0</v>
      </c>
      <c r="X23" s="218">
        <f>SUM(U23:W23)</f>
        <v>0</v>
      </c>
      <c r="Y23" s="219">
        <f>S23-X23</f>
        <v>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ht="12" customHeight="1">
      <c r="A24" s="46" t="s">
        <v>56</v>
      </c>
      <c r="B24" s="6" t="s">
        <v>57</v>
      </c>
      <c r="C24" s="54"/>
      <c r="D24" s="35"/>
      <c r="E24" s="173"/>
      <c r="F24" s="174">
        <f>E24*D24</f>
        <v>0</v>
      </c>
      <c r="G24" s="197"/>
      <c r="H24" s="213"/>
      <c r="I24" s="214"/>
      <c r="J24" s="215"/>
      <c r="K24" s="216">
        <f>SUM(H24:J24)</f>
        <v>0</v>
      </c>
      <c r="L24" s="217">
        <f>F24-K24</f>
        <v>0</v>
      </c>
      <c r="M24" s="40"/>
      <c r="N24" s="49" t="s">
        <v>56</v>
      </c>
      <c r="O24" s="36" t="s">
        <v>57</v>
      </c>
      <c r="P24" s="55"/>
      <c r="Q24" s="89">
        <f>$D24</f>
        <v>0</v>
      </c>
      <c r="R24" s="179">
        <f>E24*$J$3</f>
        <v>0</v>
      </c>
      <c r="S24" s="218">
        <f>R24*Q24</f>
        <v>0</v>
      </c>
      <c r="T24" s="204"/>
      <c r="U24" s="181">
        <f t="shared" si="4"/>
        <v>0</v>
      </c>
      <c r="V24" s="182">
        <f t="shared" si="4"/>
        <v>0</v>
      </c>
      <c r="W24" s="179">
        <f t="shared" si="4"/>
        <v>0</v>
      </c>
      <c r="X24" s="218">
        <f>SUM(U24:W24)</f>
        <v>0</v>
      </c>
      <c r="Y24" s="219">
        <f>S24-X24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ht="12.5" customHeight="1" thickBot="1">
      <c r="A25" s="46" t="s">
        <v>58</v>
      </c>
      <c r="B25" s="6" t="s">
        <v>57</v>
      </c>
      <c r="C25" s="56"/>
      <c r="D25" s="35"/>
      <c r="E25" s="173"/>
      <c r="F25" s="174">
        <f>E25*D25</f>
        <v>0</v>
      </c>
      <c r="G25" s="197"/>
      <c r="H25" s="213"/>
      <c r="I25" s="214"/>
      <c r="J25" s="215"/>
      <c r="K25" s="220">
        <f>SUM(H25:J25)</f>
        <v>0</v>
      </c>
      <c r="L25" s="221">
        <f>F25-K25</f>
        <v>0</v>
      </c>
      <c r="M25" s="40"/>
      <c r="N25" s="49" t="s">
        <v>58</v>
      </c>
      <c r="O25" s="36" t="s">
        <v>57</v>
      </c>
      <c r="P25" s="57"/>
      <c r="Q25" s="89">
        <f>$D25</f>
        <v>0</v>
      </c>
      <c r="R25" s="179">
        <f>E25*$J$3</f>
        <v>0</v>
      </c>
      <c r="S25" s="222">
        <f>R25*Q25</f>
        <v>0</v>
      </c>
      <c r="T25" s="204"/>
      <c r="U25" s="181">
        <f t="shared" si="4"/>
        <v>0</v>
      </c>
      <c r="V25" s="182">
        <f t="shared" si="4"/>
        <v>0</v>
      </c>
      <c r="W25" s="179">
        <f t="shared" si="4"/>
        <v>0</v>
      </c>
      <c r="X25" s="222">
        <f>SUM(U25:W25)</f>
        <v>0</v>
      </c>
      <c r="Y25" s="223">
        <f>S25-X25</f>
        <v>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ht="20.25" customHeight="1" thickBot="1">
      <c r="A26" s="355" t="s">
        <v>59</v>
      </c>
      <c r="B26" s="335"/>
      <c r="C26" s="39"/>
      <c r="D26" s="39"/>
      <c r="E26" s="195"/>
      <c r="F26" s="196">
        <f>SUM(F22:F25)</f>
        <v>0</v>
      </c>
      <c r="G26" s="197"/>
      <c r="H26" s="198">
        <f>SUM(H22:H25)</f>
        <v>0</v>
      </c>
      <c r="I26" s="199">
        <f>SUM(I22:I25)</f>
        <v>0</v>
      </c>
      <c r="J26" s="200">
        <f>SUM(J22:J25)</f>
        <v>0</v>
      </c>
      <c r="K26" s="201">
        <f>SUM(K22:K25)</f>
        <v>0</v>
      </c>
      <c r="L26" s="196">
        <f>SUM(L22:L25)</f>
        <v>0</v>
      </c>
      <c r="M26" s="40"/>
      <c r="N26" s="345" t="s">
        <v>59</v>
      </c>
      <c r="O26" s="335"/>
      <c r="P26" s="41"/>
      <c r="Q26" s="41"/>
      <c r="R26" s="202"/>
      <c r="S26" s="203">
        <f>SUM(S22:S25)</f>
        <v>0</v>
      </c>
      <c r="T26" s="204"/>
      <c r="U26" s="205">
        <f>SUM(U22:U25)</f>
        <v>0</v>
      </c>
      <c r="V26" s="206">
        <f>SUM(V22:V25)</f>
        <v>0</v>
      </c>
      <c r="W26" s="206">
        <f>SUM(W22:W25)</f>
        <v>0</v>
      </c>
      <c r="X26" s="203">
        <f>SUM(X22:X25)</f>
        <v>0</v>
      </c>
      <c r="Y26" s="207">
        <f>SUM(Y22:Y25)</f>
        <v>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 ht="12.5" customHeight="1">
      <c r="A27" s="42">
        <v>4</v>
      </c>
      <c r="B27" s="43" t="s">
        <v>60</v>
      </c>
      <c r="C27" s="21"/>
      <c r="D27" s="22"/>
      <c r="E27" s="150"/>
      <c r="F27" s="208"/>
      <c r="G27" s="197"/>
      <c r="H27" s="209"/>
      <c r="I27" s="210"/>
      <c r="J27" s="211"/>
      <c r="K27" s="212"/>
      <c r="L27" s="208"/>
      <c r="M27" s="40"/>
      <c r="N27" s="44">
        <v>4</v>
      </c>
      <c r="O27" s="45" t="s">
        <v>60</v>
      </c>
      <c r="P27" s="25"/>
      <c r="Q27" s="26"/>
      <c r="R27" s="156"/>
      <c r="S27" s="157"/>
      <c r="T27" s="204"/>
      <c r="U27" s="158"/>
      <c r="V27" s="159"/>
      <c r="W27" s="159"/>
      <c r="X27" s="157"/>
      <c r="Y27" s="161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 ht="12" customHeight="1">
      <c r="A28" s="46" t="s">
        <v>61</v>
      </c>
      <c r="B28" s="47" t="s">
        <v>62</v>
      </c>
      <c r="C28" s="54" t="s">
        <v>63</v>
      </c>
      <c r="D28" s="35"/>
      <c r="E28" s="173"/>
      <c r="F28" s="174">
        <f>E28*D28</f>
        <v>0</v>
      </c>
      <c r="G28" s="197"/>
      <c r="H28" s="213"/>
      <c r="I28" s="214"/>
      <c r="J28" s="215"/>
      <c r="K28" s="216"/>
      <c r="L28" s="217">
        <f>F28-K28</f>
        <v>0</v>
      </c>
      <c r="M28" s="40"/>
      <c r="N28" s="49" t="s">
        <v>61</v>
      </c>
      <c r="O28" s="50" t="s">
        <v>62</v>
      </c>
      <c r="P28" s="55" t="s">
        <v>63</v>
      </c>
      <c r="Q28" s="89">
        <f>D28</f>
        <v>0</v>
      </c>
      <c r="R28" s="179">
        <f>E28*$J$3</f>
        <v>0</v>
      </c>
      <c r="S28" s="218">
        <f>R28*Q28</f>
        <v>0</v>
      </c>
      <c r="T28" s="204"/>
      <c r="U28" s="181">
        <f t="shared" ref="U28:W32" si="5">H28*$J$3</f>
        <v>0</v>
      </c>
      <c r="V28" s="182">
        <f t="shared" si="5"/>
        <v>0</v>
      </c>
      <c r="W28" s="179">
        <f t="shared" si="5"/>
        <v>0</v>
      </c>
      <c r="X28" s="218">
        <f>SUM(U28:W28)</f>
        <v>0</v>
      </c>
      <c r="Y28" s="219">
        <f>S28-X28</f>
        <v>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 ht="12" customHeight="1">
      <c r="A29" s="46" t="s">
        <v>64</v>
      </c>
      <c r="B29" s="47" t="s">
        <v>65</v>
      </c>
      <c r="C29" s="54" t="s">
        <v>39</v>
      </c>
      <c r="D29" s="35"/>
      <c r="E29" s="173"/>
      <c r="F29" s="174">
        <f>E29*D29</f>
        <v>0</v>
      </c>
      <c r="G29" s="197"/>
      <c r="H29" s="213"/>
      <c r="I29" s="214"/>
      <c r="J29" s="215"/>
      <c r="K29" s="216"/>
      <c r="L29" s="217">
        <f>F29-K29</f>
        <v>0</v>
      </c>
      <c r="M29" s="40"/>
      <c r="N29" s="49" t="s">
        <v>64</v>
      </c>
      <c r="O29" s="50" t="s">
        <v>65</v>
      </c>
      <c r="P29" s="55" t="s">
        <v>39</v>
      </c>
      <c r="Q29" s="89">
        <f>$D29</f>
        <v>0</v>
      </c>
      <c r="R29" s="179">
        <f>E29*$J$3</f>
        <v>0</v>
      </c>
      <c r="S29" s="218">
        <f>R29*Q29</f>
        <v>0</v>
      </c>
      <c r="T29" s="204"/>
      <c r="U29" s="181">
        <f t="shared" si="5"/>
        <v>0</v>
      </c>
      <c r="V29" s="182">
        <f t="shared" si="5"/>
        <v>0</v>
      </c>
      <c r="W29" s="179">
        <f t="shared" si="5"/>
        <v>0</v>
      </c>
      <c r="X29" s="218">
        <f>SUM(U29:W29)</f>
        <v>0</v>
      </c>
      <c r="Y29" s="219">
        <f>S29-X29</f>
        <v>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 ht="12" customHeight="1">
      <c r="A30" s="46" t="s">
        <v>66</v>
      </c>
      <c r="B30" s="47" t="s">
        <v>67</v>
      </c>
      <c r="C30" s="54"/>
      <c r="D30" s="35"/>
      <c r="E30" s="173"/>
      <c r="F30" s="174">
        <f>E30*D30</f>
        <v>0</v>
      </c>
      <c r="G30" s="197"/>
      <c r="H30" s="213"/>
      <c r="I30" s="214"/>
      <c r="J30" s="215"/>
      <c r="K30" s="216"/>
      <c r="L30" s="217">
        <f>F30-K30</f>
        <v>0</v>
      </c>
      <c r="M30" s="40"/>
      <c r="N30" s="49" t="s">
        <v>66</v>
      </c>
      <c r="O30" s="50" t="s">
        <v>67</v>
      </c>
      <c r="P30" s="55"/>
      <c r="Q30" s="89">
        <f>$D30</f>
        <v>0</v>
      </c>
      <c r="R30" s="179">
        <f>E30*$J$3</f>
        <v>0</v>
      </c>
      <c r="S30" s="218">
        <f>R30*Q30</f>
        <v>0</v>
      </c>
      <c r="T30" s="204"/>
      <c r="U30" s="181">
        <f t="shared" si="5"/>
        <v>0</v>
      </c>
      <c r="V30" s="182">
        <f t="shared" si="5"/>
        <v>0</v>
      </c>
      <c r="W30" s="179">
        <f t="shared" si="5"/>
        <v>0</v>
      </c>
      <c r="X30" s="218">
        <f>SUM(U30:W30)</f>
        <v>0</v>
      </c>
      <c r="Y30" s="219">
        <f>S30-X30</f>
        <v>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 ht="12" customHeight="1">
      <c r="A31" s="46" t="s">
        <v>68</v>
      </c>
      <c r="B31" s="47" t="s">
        <v>67</v>
      </c>
      <c r="C31" s="54"/>
      <c r="D31" s="35"/>
      <c r="E31" s="173"/>
      <c r="F31" s="174">
        <f>E31*D31</f>
        <v>0</v>
      </c>
      <c r="G31" s="197"/>
      <c r="H31" s="213"/>
      <c r="I31" s="214"/>
      <c r="J31" s="215"/>
      <c r="K31" s="216"/>
      <c r="L31" s="217">
        <f>F31-K31</f>
        <v>0</v>
      </c>
      <c r="M31" s="40"/>
      <c r="N31" s="49" t="s">
        <v>68</v>
      </c>
      <c r="O31" s="50" t="s">
        <v>67</v>
      </c>
      <c r="P31" s="55"/>
      <c r="Q31" s="89">
        <f>$D31</f>
        <v>0</v>
      </c>
      <c r="R31" s="179">
        <f>E31*$J$3</f>
        <v>0</v>
      </c>
      <c r="S31" s="218">
        <f>R31*Q31</f>
        <v>0</v>
      </c>
      <c r="T31" s="204"/>
      <c r="U31" s="181">
        <f t="shared" si="5"/>
        <v>0</v>
      </c>
      <c r="V31" s="182">
        <f t="shared" si="5"/>
        <v>0</v>
      </c>
      <c r="W31" s="179">
        <f t="shared" si="5"/>
        <v>0</v>
      </c>
      <c r="X31" s="218">
        <f>SUM(U31:W31)</f>
        <v>0</v>
      </c>
      <c r="Y31" s="219">
        <f>S31-X31</f>
        <v>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 ht="12.5" customHeight="1" thickBot="1">
      <c r="A32" s="52" t="s">
        <v>69</v>
      </c>
      <c r="B32" s="47" t="s">
        <v>67</v>
      </c>
      <c r="C32" s="56"/>
      <c r="D32" s="35"/>
      <c r="E32" s="173"/>
      <c r="F32" s="174">
        <f>E32*D32</f>
        <v>0</v>
      </c>
      <c r="G32" s="197"/>
      <c r="H32" s="213"/>
      <c r="I32" s="214"/>
      <c r="J32" s="215"/>
      <c r="K32" s="220"/>
      <c r="L32" s="221">
        <f>F32-K32</f>
        <v>0</v>
      </c>
      <c r="M32" s="40"/>
      <c r="N32" s="53" t="s">
        <v>69</v>
      </c>
      <c r="O32" s="50" t="s">
        <v>67</v>
      </c>
      <c r="P32" s="57"/>
      <c r="Q32" s="89">
        <f>$D32</f>
        <v>0</v>
      </c>
      <c r="R32" s="179">
        <f>E32*$J$3</f>
        <v>0</v>
      </c>
      <c r="S32" s="222">
        <f>R32*Q32</f>
        <v>0</v>
      </c>
      <c r="T32" s="204"/>
      <c r="U32" s="181">
        <f t="shared" si="5"/>
        <v>0</v>
      </c>
      <c r="V32" s="182">
        <f t="shared" si="5"/>
        <v>0</v>
      </c>
      <c r="W32" s="179">
        <f t="shared" si="5"/>
        <v>0</v>
      </c>
      <c r="X32" s="222">
        <f>SUM(U32:W32)</f>
        <v>0</v>
      </c>
      <c r="Y32" s="223">
        <f>S32-X32</f>
        <v>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 ht="21.75" customHeight="1" thickBot="1">
      <c r="A33" s="359" t="s">
        <v>70</v>
      </c>
      <c r="B33" s="360"/>
      <c r="C33" s="90"/>
      <c r="D33" s="39"/>
      <c r="E33" s="195"/>
      <c r="F33" s="196">
        <f>SUM(F28:F32)</f>
        <v>0</v>
      </c>
      <c r="G33" s="197"/>
      <c r="H33" s="198">
        <f>SUM(H28:H32)</f>
        <v>0</v>
      </c>
      <c r="I33" s="199">
        <f>SUM(I28:I32)</f>
        <v>0</v>
      </c>
      <c r="J33" s="200">
        <f>SUM(J28:J32)</f>
        <v>0</v>
      </c>
      <c r="K33" s="201">
        <f>SUM(K28:K32)</f>
        <v>0</v>
      </c>
      <c r="L33" s="196">
        <f>SUM(L28:L32)</f>
        <v>0</v>
      </c>
      <c r="M33" s="40"/>
      <c r="N33" s="345" t="s">
        <v>70</v>
      </c>
      <c r="O33" s="335"/>
      <c r="P33" s="41"/>
      <c r="Q33" s="41"/>
      <c r="R33" s="202"/>
      <c r="S33" s="203">
        <f>SUM(S28:S32)</f>
        <v>0</v>
      </c>
      <c r="T33" s="204"/>
      <c r="U33" s="205">
        <f>SUM(U28:U32)</f>
        <v>0</v>
      </c>
      <c r="V33" s="206">
        <f>SUM(V28:V32)</f>
        <v>0</v>
      </c>
      <c r="W33" s="206">
        <f>SUM(W28:W32)</f>
        <v>0</v>
      </c>
      <c r="X33" s="203">
        <f>SUM(X28:X32)</f>
        <v>0</v>
      </c>
      <c r="Y33" s="207">
        <f>SUM(Y28:Y32)</f>
        <v>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 ht="23.25" customHeight="1" thickBot="1">
      <c r="A34" s="351" t="s">
        <v>71</v>
      </c>
      <c r="B34" s="339"/>
      <c r="C34" s="340"/>
      <c r="D34" s="39"/>
      <c r="E34" s="195"/>
      <c r="F34" s="196"/>
      <c r="G34" s="197"/>
      <c r="H34" s="198"/>
      <c r="I34" s="199"/>
      <c r="J34" s="200"/>
      <c r="K34" s="201"/>
      <c r="L34" s="196"/>
      <c r="M34" s="40"/>
      <c r="N34" s="346" t="s">
        <v>71</v>
      </c>
      <c r="O34" s="335"/>
      <c r="P34" s="336"/>
      <c r="Q34" s="41"/>
      <c r="R34" s="202"/>
      <c r="S34" s="203"/>
      <c r="T34" s="204"/>
      <c r="U34" s="205">
        <f>(U16+U20+U26+U33)*10%</f>
        <v>0</v>
      </c>
      <c r="V34" s="206">
        <f>(V16+V20+V26+V33)*10%</f>
        <v>0</v>
      </c>
      <c r="W34" s="206">
        <f>(W16+W20+W26+W33)*10%</f>
        <v>0</v>
      </c>
      <c r="X34" s="203">
        <f>(X16+X20+X26+X33)*10%</f>
        <v>0</v>
      </c>
      <c r="Y34" s="207">
        <f>(Y16+Y20+Y26+Y33)*10%</f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 s="83" customFormat="1" ht="25.5" customHeight="1" thickBot="1">
      <c r="A35" s="368" t="s">
        <v>72</v>
      </c>
      <c r="B35" s="369"/>
      <c r="C35" s="91"/>
      <c r="D35" s="58"/>
      <c r="E35" s="226"/>
      <c r="F35" s="227">
        <f>SUM(F34,F33,F26,F20,F16)</f>
        <v>0</v>
      </c>
      <c r="G35" s="228"/>
      <c r="H35" s="229">
        <f>SUM(H34,H33,H26,H20,H16)</f>
        <v>0</v>
      </c>
      <c r="I35" s="230">
        <f>SUM(I34,I33,I26,I20,I16)</f>
        <v>0</v>
      </c>
      <c r="J35" s="231">
        <f>SUM(J34,J33,J26,J20,J16)</f>
        <v>0</v>
      </c>
      <c r="K35" s="232">
        <f>SUM(K34,K33,K26,K20,K16)</f>
        <v>0</v>
      </c>
      <c r="L35" s="227">
        <f>SUM(L34,L33,L26,L20,L16)</f>
        <v>0</v>
      </c>
      <c r="M35" s="59"/>
      <c r="N35" s="347" t="s">
        <v>72</v>
      </c>
      <c r="O35" s="335"/>
      <c r="P35" s="60"/>
      <c r="Q35" s="61"/>
      <c r="R35" s="233"/>
      <c r="S35" s="234">
        <f>SUM(S34,S33,S26,S20,S16)</f>
        <v>0</v>
      </c>
      <c r="T35" s="235"/>
      <c r="U35" s="236">
        <f>SUM(U34,U33,U26,U20,U16)</f>
        <v>0</v>
      </c>
      <c r="V35" s="237">
        <f>SUM(V34,V33,V26,V20,V16)</f>
        <v>0</v>
      </c>
      <c r="W35" s="237">
        <f>SUM(W34,W33,W26,W20,W16)</f>
        <v>0</v>
      </c>
      <c r="X35" s="234">
        <f>SUM(X34,X33,X26,X20,X16)</f>
        <v>0</v>
      </c>
      <c r="Y35" s="238">
        <f>SUM(Y34,Y33,Y26,Y20,Y16)</f>
        <v>0</v>
      </c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</row>
    <row r="36" spans="1:36" ht="13.25" customHeight="1" thickBot="1">
      <c r="A36" s="62"/>
      <c r="B36" s="63"/>
      <c r="C36" s="64"/>
      <c r="D36" s="65"/>
      <c r="E36" s="239"/>
      <c r="F36" s="240"/>
      <c r="G36" s="197"/>
      <c r="H36" s="241"/>
      <c r="I36" s="242"/>
      <c r="J36" s="243"/>
      <c r="K36" s="244"/>
      <c r="L36" s="245"/>
      <c r="M36" s="40"/>
      <c r="N36" s="66"/>
      <c r="O36" s="67"/>
      <c r="P36" s="68"/>
      <c r="Q36" s="69"/>
      <c r="R36" s="246"/>
      <c r="S36" s="247"/>
      <c r="T36" s="204"/>
      <c r="U36" s="248"/>
      <c r="V36" s="249"/>
      <c r="W36" s="250"/>
      <c r="X36" s="247"/>
      <c r="Y36" s="251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1:36" ht="22.5" customHeight="1" thickBot="1">
      <c r="A37" s="343" t="s">
        <v>73</v>
      </c>
      <c r="B37" s="333"/>
      <c r="C37" s="70" t="s">
        <v>74</v>
      </c>
      <c r="D37" s="70" t="s">
        <v>75</v>
      </c>
      <c r="E37" s="252" t="s">
        <v>76</v>
      </c>
      <c r="F37" s="253" t="s">
        <v>77</v>
      </c>
      <c r="G37" s="254"/>
      <c r="H37" s="255" t="s">
        <v>78</v>
      </c>
      <c r="I37" s="256" t="s">
        <v>79</v>
      </c>
      <c r="J37" s="257" t="s">
        <v>80</v>
      </c>
      <c r="K37" s="258" t="s">
        <v>81</v>
      </c>
      <c r="L37" s="259" t="s">
        <v>82</v>
      </c>
      <c r="M37" s="71"/>
      <c r="N37" s="332" t="s">
        <v>73</v>
      </c>
      <c r="O37" s="333"/>
      <c r="P37" s="72" t="s">
        <v>74</v>
      </c>
      <c r="Q37" s="72" t="s">
        <v>75</v>
      </c>
      <c r="R37" s="260" t="s">
        <v>76</v>
      </c>
      <c r="S37" s="261" t="s">
        <v>83</v>
      </c>
      <c r="T37" s="262"/>
      <c r="U37" s="263" t="s">
        <v>23</v>
      </c>
      <c r="V37" s="264" t="s">
        <v>24</v>
      </c>
      <c r="W37" s="265" t="s">
        <v>25</v>
      </c>
      <c r="X37" s="265" t="s">
        <v>84</v>
      </c>
      <c r="Y37" s="266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1:36" ht="16.5" customHeight="1">
      <c r="A38" s="342" t="s">
        <v>85</v>
      </c>
      <c r="B38" s="339"/>
      <c r="C38" s="339"/>
      <c r="D38" s="340"/>
      <c r="E38" s="267" t="e">
        <f t="shared" ref="E38:E44" si="6">F38/$F$45</f>
        <v>#DIV/0!</v>
      </c>
      <c r="F38" s="268"/>
      <c r="G38" s="197"/>
      <c r="H38" s="269"/>
      <c r="I38" s="270"/>
      <c r="J38" s="269"/>
      <c r="K38" s="271">
        <f t="shared" ref="K38:K44" si="7">SUM(H38:J38)</f>
        <v>0</v>
      </c>
      <c r="L38" s="272">
        <f t="shared" ref="L38:L44" si="8">F38-K38</f>
        <v>0</v>
      </c>
      <c r="M38" s="40"/>
      <c r="N38" s="341" t="s">
        <v>85</v>
      </c>
      <c r="O38" s="339"/>
      <c r="P38" s="339"/>
      <c r="Q38" s="340"/>
      <c r="R38" s="73" t="e">
        <f t="shared" ref="R38:R44" si="9">S38/$S$45</f>
        <v>#DIV/0!</v>
      </c>
      <c r="S38" s="273">
        <f t="shared" ref="S38:S44" si="10">F38*$J$3</f>
        <v>0</v>
      </c>
      <c r="T38" s="204"/>
      <c r="U38" s="181">
        <f t="shared" ref="U38:W44" si="11">H38*$J$3</f>
        <v>0</v>
      </c>
      <c r="V38" s="182">
        <f t="shared" si="11"/>
        <v>0</v>
      </c>
      <c r="W38" s="179">
        <f t="shared" si="11"/>
        <v>0</v>
      </c>
      <c r="X38" s="274">
        <f t="shared" ref="X38:X44" si="12">SUM(U38:W38)</f>
        <v>0</v>
      </c>
      <c r="Y38" s="275">
        <f t="shared" ref="Y38:Y44" si="13">S38-X38</f>
        <v>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1:36" ht="12.75" customHeight="1">
      <c r="A39" s="342" t="s">
        <v>86</v>
      </c>
      <c r="B39" s="340"/>
      <c r="C39" s="276"/>
      <c r="D39" s="276"/>
      <c r="E39" s="267" t="e">
        <f t="shared" si="6"/>
        <v>#DIV/0!</v>
      </c>
      <c r="F39" s="268"/>
      <c r="G39" s="197"/>
      <c r="H39" s="269"/>
      <c r="I39" s="270"/>
      <c r="J39" s="269"/>
      <c r="K39" s="271">
        <f t="shared" si="7"/>
        <v>0</v>
      </c>
      <c r="L39" s="272">
        <f t="shared" si="8"/>
        <v>0</v>
      </c>
      <c r="M39" s="40"/>
      <c r="N39" s="341" t="s">
        <v>86</v>
      </c>
      <c r="O39" s="340"/>
      <c r="P39" s="277"/>
      <c r="Q39" s="277"/>
      <c r="R39" s="73" t="e">
        <f t="shared" si="9"/>
        <v>#DIV/0!</v>
      </c>
      <c r="S39" s="273">
        <f t="shared" si="10"/>
        <v>0</v>
      </c>
      <c r="T39" s="204"/>
      <c r="U39" s="181">
        <f t="shared" si="11"/>
        <v>0</v>
      </c>
      <c r="V39" s="182">
        <f t="shared" si="11"/>
        <v>0</v>
      </c>
      <c r="W39" s="179">
        <f t="shared" si="11"/>
        <v>0</v>
      </c>
      <c r="X39" s="274">
        <f t="shared" si="12"/>
        <v>0</v>
      </c>
      <c r="Y39" s="275">
        <f t="shared" si="13"/>
        <v>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1:36" ht="12.75" customHeight="1">
      <c r="A40" s="342" t="s">
        <v>86</v>
      </c>
      <c r="B40" s="340"/>
      <c r="C40" s="276"/>
      <c r="D40" s="276"/>
      <c r="E40" s="267" t="e">
        <f t="shared" si="6"/>
        <v>#DIV/0!</v>
      </c>
      <c r="F40" s="268"/>
      <c r="G40" s="197"/>
      <c r="H40" s="269"/>
      <c r="I40" s="270"/>
      <c r="J40" s="269"/>
      <c r="K40" s="271">
        <f t="shared" si="7"/>
        <v>0</v>
      </c>
      <c r="L40" s="272">
        <f t="shared" si="8"/>
        <v>0</v>
      </c>
      <c r="M40" s="40"/>
      <c r="N40" s="341" t="s">
        <v>86</v>
      </c>
      <c r="O40" s="340"/>
      <c r="P40" s="277"/>
      <c r="Q40" s="277"/>
      <c r="R40" s="73" t="e">
        <f t="shared" si="9"/>
        <v>#DIV/0!</v>
      </c>
      <c r="S40" s="273">
        <f t="shared" si="10"/>
        <v>0</v>
      </c>
      <c r="T40" s="204"/>
      <c r="U40" s="181">
        <f t="shared" si="11"/>
        <v>0</v>
      </c>
      <c r="V40" s="182">
        <f t="shared" si="11"/>
        <v>0</v>
      </c>
      <c r="W40" s="179">
        <f t="shared" si="11"/>
        <v>0</v>
      </c>
      <c r="X40" s="274">
        <f t="shared" si="12"/>
        <v>0</v>
      </c>
      <c r="Y40" s="275">
        <f t="shared" si="13"/>
        <v>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1:36" ht="12.75" customHeight="1">
      <c r="A41" s="342" t="s">
        <v>86</v>
      </c>
      <c r="B41" s="340"/>
      <c r="C41" s="276"/>
      <c r="D41" s="276"/>
      <c r="E41" s="267" t="e">
        <f t="shared" si="6"/>
        <v>#DIV/0!</v>
      </c>
      <c r="F41" s="268"/>
      <c r="G41" s="197"/>
      <c r="H41" s="269"/>
      <c r="I41" s="270"/>
      <c r="J41" s="269"/>
      <c r="K41" s="271">
        <f t="shared" si="7"/>
        <v>0</v>
      </c>
      <c r="L41" s="272">
        <f t="shared" si="8"/>
        <v>0</v>
      </c>
      <c r="M41" s="40"/>
      <c r="N41" s="341" t="s">
        <v>86</v>
      </c>
      <c r="O41" s="340"/>
      <c r="P41" s="277"/>
      <c r="Q41" s="277"/>
      <c r="R41" s="73" t="e">
        <f t="shared" si="9"/>
        <v>#DIV/0!</v>
      </c>
      <c r="S41" s="273">
        <f t="shared" si="10"/>
        <v>0</v>
      </c>
      <c r="T41" s="204"/>
      <c r="U41" s="181">
        <f t="shared" si="11"/>
        <v>0</v>
      </c>
      <c r="V41" s="182">
        <f t="shared" si="11"/>
        <v>0</v>
      </c>
      <c r="W41" s="179">
        <f t="shared" si="11"/>
        <v>0</v>
      </c>
      <c r="X41" s="274">
        <f t="shared" si="12"/>
        <v>0</v>
      </c>
      <c r="Y41" s="275">
        <f t="shared" si="13"/>
        <v>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1:36" ht="12.75" customHeight="1">
      <c r="A42" s="342" t="s">
        <v>86</v>
      </c>
      <c r="B42" s="340"/>
      <c r="C42" s="276"/>
      <c r="D42" s="276"/>
      <c r="E42" s="267" t="e">
        <f t="shared" si="6"/>
        <v>#DIV/0!</v>
      </c>
      <c r="F42" s="268"/>
      <c r="G42" s="197"/>
      <c r="H42" s="269"/>
      <c r="I42" s="270"/>
      <c r="J42" s="269"/>
      <c r="K42" s="271">
        <f t="shared" si="7"/>
        <v>0</v>
      </c>
      <c r="L42" s="272">
        <f t="shared" si="8"/>
        <v>0</v>
      </c>
      <c r="M42" s="40"/>
      <c r="N42" s="341" t="s">
        <v>86</v>
      </c>
      <c r="O42" s="340"/>
      <c r="P42" s="277"/>
      <c r="Q42" s="277"/>
      <c r="R42" s="73" t="e">
        <f t="shared" si="9"/>
        <v>#DIV/0!</v>
      </c>
      <c r="S42" s="273">
        <f t="shared" si="10"/>
        <v>0</v>
      </c>
      <c r="T42" s="204"/>
      <c r="U42" s="181">
        <f t="shared" si="11"/>
        <v>0</v>
      </c>
      <c r="V42" s="182">
        <f t="shared" si="11"/>
        <v>0</v>
      </c>
      <c r="W42" s="179">
        <f t="shared" si="11"/>
        <v>0</v>
      </c>
      <c r="X42" s="274">
        <f t="shared" si="12"/>
        <v>0</v>
      </c>
      <c r="Y42" s="275">
        <f t="shared" si="13"/>
        <v>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1:36" ht="12.75" customHeight="1">
      <c r="A43" s="342" t="s">
        <v>87</v>
      </c>
      <c r="B43" s="340"/>
      <c r="C43" s="276"/>
      <c r="D43" s="276"/>
      <c r="E43" s="267" t="e">
        <f t="shared" si="6"/>
        <v>#DIV/0!</v>
      </c>
      <c r="F43" s="268"/>
      <c r="G43" s="197"/>
      <c r="H43" s="269"/>
      <c r="I43" s="270"/>
      <c r="J43" s="269"/>
      <c r="K43" s="271">
        <f t="shared" si="7"/>
        <v>0</v>
      </c>
      <c r="L43" s="272">
        <f t="shared" si="8"/>
        <v>0</v>
      </c>
      <c r="M43" s="40"/>
      <c r="N43" s="341" t="s">
        <v>87</v>
      </c>
      <c r="O43" s="340"/>
      <c r="P43" s="277"/>
      <c r="Q43" s="277"/>
      <c r="R43" s="73" t="e">
        <f t="shared" si="9"/>
        <v>#DIV/0!</v>
      </c>
      <c r="S43" s="273">
        <f t="shared" si="10"/>
        <v>0</v>
      </c>
      <c r="T43" s="204"/>
      <c r="U43" s="181">
        <f t="shared" si="11"/>
        <v>0</v>
      </c>
      <c r="V43" s="182">
        <f t="shared" si="11"/>
        <v>0</v>
      </c>
      <c r="W43" s="179">
        <f t="shared" si="11"/>
        <v>0</v>
      </c>
      <c r="X43" s="274">
        <f t="shared" si="12"/>
        <v>0</v>
      </c>
      <c r="Y43" s="275">
        <f t="shared" si="13"/>
        <v>0</v>
      </c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1:36" ht="13.5" customHeight="1" thickBot="1">
      <c r="A44" s="342" t="s">
        <v>87</v>
      </c>
      <c r="B44" s="340"/>
      <c r="C44" s="276"/>
      <c r="D44" s="276"/>
      <c r="E44" s="278" t="e">
        <f t="shared" si="6"/>
        <v>#DIV/0!</v>
      </c>
      <c r="F44" s="268"/>
      <c r="G44" s="197"/>
      <c r="H44" s="269"/>
      <c r="I44" s="270"/>
      <c r="J44" s="269"/>
      <c r="K44" s="279">
        <f t="shared" si="7"/>
        <v>0</v>
      </c>
      <c r="L44" s="280">
        <f t="shared" si="8"/>
        <v>0</v>
      </c>
      <c r="M44" s="40"/>
      <c r="N44" s="341" t="s">
        <v>87</v>
      </c>
      <c r="O44" s="340"/>
      <c r="P44" s="277"/>
      <c r="Q44" s="277"/>
      <c r="R44" s="73" t="e">
        <f t="shared" si="9"/>
        <v>#DIV/0!</v>
      </c>
      <c r="S44" s="273">
        <f t="shared" si="10"/>
        <v>0</v>
      </c>
      <c r="T44" s="204"/>
      <c r="U44" s="181">
        <f t="shared" si="11"/>
        <v>0</v>
      </c>
      <c r="V44" s="182">
        <f t="shared" si="11"/>
        <v>0</v>
      </c>
      <c r="W44" s="179">
        <f t="shared" si="11"/>
        <v>0</v>
      </c>
      <c r="X44" s="281">
        <f t="shared" si="12"/>
        <v>0</v>
      </c>
      <c r="Y44" s="282">
        <f t="shared" si="13"/>
        <v>0</v>
      </c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1:36" s="83" customFormat="1" ht="24" customHeight="1" thickBot="1">
      <c r="A45" s="354" t="s">
        <v>88</v>
      </c>
      <c r="B45" s="335"/>
      <c r="C45" s="335"/>
      <c r="D45" s="336"/>
      <c r="E45" s="283" t="e">
        <f>SUM(E38:E44)</f>
        <v>#DIV/0!</v>
      </c>
      <c r="F45" s="227">
        <f>SUM(F38:F44)</f>
        <v>0</v>
      </c>
      <c r="G45" s="284"/>
      <c r="H45" s="229">
        <f>SUM(H38:H44)</f>
        <v>0</v>
      </c>
      <c r="I45" s="230">
        <f>SUM(I38:I44)</f>
        <v>0</v>
      </c>
      <c r="J45" s="231">
        <f>SUM(J38:J44)</f>
        <v>0</v>
      </c>
      <c r="K45" s="232">
        <f>SUM(K38:K44)</f>
        <v>0</v>
      </c>
      <c r="L45" s="227">
        <f>SUM(L38:L44)</f>
        <v>0</v>
      </c>
      <c r="M45" s="59"/>
      <c r="N45" s="334" t="s">
        <v>88</v>
      </c>
      <c r="O45" s="335"/>
      <c r="P45" s="335"/>
      <c r="Q45" s="336"/>
      <c r="R45" s="74" t="e">
        <f>SUM(R38:R44)</f>
        <v>#DIV/0!</v>
      </c>
      <c r="S45" s="234">
        <f>SUM(S38:S44)</f>
        <v>0</v>
      </c>
      <c r="T45" s="235"/>
      <c r="U45" s="236">
        <f>SUM(U38:U44)</f>
        <v>0</v>
      </c>
      <c r="V45" s="285">
        <f>SUM(V38:V44)</f>
        <v>0</v>
      </c>
      <c r="W45" s="237">
        <f>SUM(W38:W44)</f>
        <v>0</v>
      </c>
      <c r="X45" s="234">
        <f>SUM(X38:X44)</f>
        <v>0</v>
      </c>
      <c r="Y45" s="238">
        <f>SUM(Y38:Y44)</f>
        <v>0</v>
      </c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</row>
    <row r="46" spans="1:36" ht="12" customHeight="1" thickBot="1">
      <c r="A46" s="40"/>
      <c r="B46" s="75"/>
      <c r="C46" s="76" t="s">
        <v>89</v>
      </c>
      <c r="D46" s="77"/>
      <c r="E46" s="286"/>
      <c r="F46" s="287"/>
      <c r="G46" s="288"/>
      <c r="H46" s="289"/>
      <c r="I46" s="290"/>
      <c r="J46" s="291"/>
      <c r="K46" s="292"/>
      <c r="L46" s="293"/>
      <c r="M46" s="40"/>
      <c r="N46" s="78"/>
      <c r="O46" s="79"/>
      <c r="P46" s="80" t="s">
        <v>89</v>
      </c>
      <c r="Q46" s="81"/>
      <c r="R46" s="294"/>
      <c r="S46" s="295"/>
      <c r="T46" s="204"/>
      <c r="U46" s="296"/>
      <c r="V46" s="297"/>
      <c r="W46" s="298"/>
      <c r="X46" s="295"/>
      <c r="Y46" s="29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 ht="21" customHeight="1" thickBot="1">
      <c r="A47" s="349" t="s">
        <v>90</v>
      </c>
      <c r="B47" s="335"/>
      <c r="C47" s="335"/>
      <c r="D47" s="335"/>
      <c r="E47" s="335"/>
      <c r="F47" s="300">
        <f>+F45-F35</f>
        <v>0</v>
      </c>
      <c r="G47" s="288"/>
      <c r="H47" s="301">
        <f>+H45-H35</f>
        <v>0</v>
      </c>
      <c r="I47" s="302">
        <f>+I45-I35</f>
        <v>0</v>
      </c>
      <c r="J47" s="303">
        <f>+J45-J35</f>
        <v>0</v>
      </c>
      <c r="K47" s="304">
        <f>+K45-K35</f>
        <v>0</v>
      </c>
      <c r="L47" s="300">
        <f>+L45-L35</f>
        <v>0</v>
      </c>
      <c r="M47" s="40"/>
      <c r="N47" s="361" t="s">
        <v>90</v>
      </c>
      <c r="O47" s="335"/>
      <c r="P47" s="335"/>
      <c r="Q47" s="335"/>
      <c r="R47" s="335"/>
      <c r="S47" s="305">
        <f>+S45-S35</f>
        <v>0</v>
      </c>
      <c r="T47" s="204"/>
      <c r="U47" s="306">
        <f>+U45-U35</f>
        <v>0</v>
      </c>
      <c r="V47" s="307">
        <f>+V45-V35</f>
        <v>0</v>
      </c>
      <c r="W47" s="308">
        <f>+W45-W35</f>
        <v>0</v>
      </c>
      <c r="X47" s="305">
        <f>+X45-X35</f>
        <v>0</v>
      </c>
      <c r="Y47" s="309">
        <f>+Y45-Y35</f>
        <v>0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1:36">
      <c r="A48" s="12"/>
      <c r="B48" s="12"/>
      <c r="C48" s="12"/>
      <c r="D48" s="12"/>
      <c r="E48" s="310"/>
      <c r="F48" s="310"/>
      <c r="G48" s="311"/>
      <c r="H48" s="310"/>
      <c r="I48" s="310"/>
      <c r="J48" s="310"/>
      <c r="K48" s="310"/>
      <c r="L48" s="310"/>
      <c r="M48" s="84"/>
      <c r="N48" s="84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1:36">
      <c r="A49" s="12"/>
      <c r="B49" s="12"/>
      <c r="C49" s="12"/>
      <c r="D49" s="12"/>
      <c r="E49" s="310"/>
      <c r="F49" s="310"/>
      <c r="G49" s="311"/>
      <c r="H49" s="310"/>
      <c r="I49" s="310"/>
      <c r="J49" s="310"/>
      <c r="K49" s="310"/>
      <c r="L49" s="310"/>
      <c r="M49" s="84"/>
      <c r="N49" s="84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1:36">
      <c r="A50" s="12"/>
      <c r="B50" s="12"/>
      <c r="C50" s="12"/>
      <c r="D50" s="12"/>
      <c r="E50" s="310"/>
      <c r="F50" s="310"/>
      <c r="G50" s="311"/>
      <c r="H50" s="310"/>
      <c r="I50" s="310"/>
      <c r="J50" s="310"/>
      <c r="K50" s="310"/>
      <c r="L50" s="310"/>
      <c r="M50" s="84"/>
      <c r="N50" s="84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1:36">
      <c r="A51" s="12"/>
      <c r="B51" s="12"/>
      <c r="C51" s="12"/>
      <c r="D51" s="12"/>
      <c r="E51" s="310"/>
      <c r="F51" s="310"/>
      <c r="G51" s="311"/>
      <c r="H51" s="310"/>
      <c r="I51" s="310"/>
      <c r="J51" s="310"/>
      <c r="K51" s="310"/>
      <c r="L51" s="310"/>
      <c r="M51" s="84"/>
      <c r="N51" s="84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1:36">
      <c r="A52" s="12"/>
      <c r="B52" s="12"/>
      <c r="C52" s="12"/>
      <c r="D52" s="12"/>
      <c r="E52" s="310"/>
      <c r="F52" s="310"/>
      <c r="G52" s="311"/>
      <c r="H52" s="310"/>
      <c r="I52" s="310"/>
      <c r="J52" s="310"/>
      <c r="K52" s="310"/>
      <c r="L52" s="310"/>
      <c r="M52" s="84"/>
      <c r="N52" s="84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1:36">
      <c r="A53" s="12"/>
      <c r="B53" s="12"/>
      <c r="C53" s="12"/>
      <c r="D53" s="12"/>
      <c r="E53" s="310"/>
      <c r="F53" s="310"/>
      <c r="G53" s="311"/>
      <c r="H53" s="310"/>
      <c r="I53" s="310"/>
      <c r="J53" s="310"/>
      <c r="K53" s="310"/>
      <c r="L53" s="310"/>
      <c r="M53" s="84"/>
      <c r="N53" s="84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1:36">
      <c r="A54" s="12"/>
      <c r="B54" s="12"/>
      <c r="C54" s="12"/>
      <c r="D54" s="12"/>
      <c r="E54" s="310"/>
      <c r="F54" s="310"/>
      <c r="G54" s="311"/>
      <c r="H54" s="310"/>
      <c r="I54" s="310"/>
      <c r="J54" s="310"/>
      <c r="K54" s="310"/>
      <c r="L54" s="310"/>
      <c r="M54" s="84"/>
      <c r="N54" s="84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1:36">
      <c r="A55" s="12"/>
      <c r="B55" s="12"/>
      <c r="C55" s="12"/>
      <c r="D55" s="12"/>
      <c r="E55" s="310"/>
      <c r="F55" s="310"/>
      <c r="G55" s="311"/>
      <c r="H55" s="310"/>
      <c r="I55" s="310"/>
      <c r="J55" s="310"/>
      <c r="K55" s="310"/>
      <c r="L55" s="310"/>
      <c r="M55" s="84"/>
      <c r="N55" s="84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1:36">
      <c r="A56" s="12"/>
      <c r="B56" s="12"/>
      <c r="C56" s="12"/>
      <c r="D56" s="12"/>
      <c r="E56" s="310"/>
      <c r="F56" s="310"/>
      <c r="G56" s="311"/>
      <c r="H56" s="310"/>
      <c r="I56" s="310"/>
      <c r="J56" s="310"/>
      <c r="K56" s="310"/>
      <c r="L56" s="310"/>
      <c r="M56" s="84"/>
      <c r="N56" s="84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1:36">
      <c r="A57" s="12"/>
      <c r="B57" s="12"/>
      <c r="C57" s="12"/>
      <c r="D57" s="12"/>
      <c r="E57" s="310"/>
      <c r="F57" s="310"/>
      <c r="G57" s="311"/>
      <c r="H57" s="310"/>
      <c r="I57" s="310"/>
      <c r="J57" s="310"/>
      <c r="K57" s="310"/>
      <c r="L57" s="310"/>
      <c r="M57" s="84"/>
      <c r="N57" s="84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6">
      <c r="A58" s="12"/>
      <c r="B58" s="12"/>
      <c r="C58" s="12"/>
      <c r="D58" s="12"/>
      <c r="E58" s="310"/>
      <c r="F58" s="310"/>
      <c r="G58" s="311"/>
      <c r="H58" s="310"/>
      <c r="I58" s="310"/>
      <c r="J58" s="310"/>
      <c r="K58" s="310"/>
      <c r="L58" s="310"/>
      <c r="M58" s="84"/>
      <c r="N58" s="84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6">
      <c r="A59" s="12"/>
      <c r="B59" s="12"/>
      <c r="C59" s="12"/>
      <c r="D59" s="12"/>
      <c r="E59" s="310"/>
      <c r="F59" s="310"/>
      <c r="G59" s="311"/>
      <c r="H59" s="310"/>
      <c r="I59" s="310"/>
      <c r="J59" s="310"/>
      <c r="K59" s="310"/>
      <c r="L59" s="310"/>
      <c r="M59" s="84"/>
      <c r="N59" s="84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6">
      <c r="A60" s="12"/>
      <c r="B60" s="12"/>
      <c r="C60" s="12"/>
      <c r="D60" s="12"/>
      <c r="E60" s="310"/>
      <c r="F60" s="310"/>
      <c r="G60" s="311"/>
      <c r="H60" s="310"/>
      <c r="I60" s="310"/>
      <c r="J60" s="310"/>
      <c r="K60" s="310"/>
      <c r="L60" s="310"/>
      <c r="M60" s="84"/>
      <c r="N60" s="84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6">
      <c r="A61" s="12"/>
      <c r="B61" s="12"/>
      <c r="C61" s="12"/>
      <c r="D61" s="12"/>
      <c r="E61" s="310"/>
      <c r="F61" s="310"/>
      <c r="G61" s="311"/>
      <c r="H61" s="310"/>
      <c r="I61" s="310"/>
      <c r="J61" s="310"/>
      <c r="K61" s="310"/>
      <c r="L61" s="310"/>
      <c r="M61" s="84"/>
      <c r="N61" s="84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6">
      <c r="A62" s="12"/>
      <c r="B62" s="12"/>
      <c r="C62" s="12"/>
      <c r="D62" s="12"/>
      <c r="E62" s="310"/>
      <c r="F62" s="310"/>
      <c r="G62" s="311"/>
      <c r="H62" s="310"/>
      <c r="I62" s="310"/>
      <c r="J62" s="310"/>
      <c r="K62" s="310"/>
      <c r="L62" s="310"/>
      <c r="M62" s="84"/>
      <c r="N62" s="84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6">
      <c r="A63" s="12"/>
      <c r="B63" s="12"/>
      <c r="C63" s="12"/>
      <c r="D63" s="12"/>
      <c r="E63" s="310"/>
      <c r="F63" s="310"/>
      <c r="G63" s="311"/>
      <c r="H63" s="310"/>
      <c r="I63" s="310"/>
      <c r="J63" s="310"/>
      <c r="K63" s="310"/>
      <c r="L63" s="310"/>
      <c r="M63" s="84"/>
      <c r="N63" s="84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6">
      <c r="A64" s="12"/>
      <c r="B64" s="12"/>
      <c r="C64" s="12"/>
      <c r="D64" s="12"/>
      <c r="E64" s="310"/>
      <c r="F64" s="310"/>
      <c r="G64" s="311"/>
      <c r="H64" s="310"/>
      <c r="I64" s="310"/>
      <c r="J64" s="310"/>
      <c r="K64" s="310"/>
      <c r="L64" s="310"/>
      <c r="M64" s="84"/>
      <c r="N64" s="84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12"/>
      <c r="B65" s="12"/>
      <c r="C65" s="12"/>
      <c r="D65" s="12"/>
      <c r="E65" s="310"/>
      <c r="F65" s="310"/>
      <c r="G65" s="311"/>
      <c r="H65" s="310"/>
      <c r="I65" s="310"/>
      <c r="J65" s="310"/>
      <c r="K65" s="310"/>
      <c r="L65" s="310"/>
      <c r="M65" s="84"/>
      <c r="N65" s="84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12"/>
      <c r="B66" s="12"/>
      <c r="C66" s="12"/>
      <c r="D66" s="12"/>
      <c r="E66" s="310"/>
      <c r="F66" s="310"/>
      <c r="G66" s="311"/>
      <c r="H66" s="310"/>
      <c r="I66" s="310"/>
      <c r="J66" s="310"/>
      <c r="K66" s="310"/>
      <c r="L66" s="310"/>
      <c r="M66" s="84"/>
      <c r="N66" s="84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12"/>
      <c r="B67" s="12"/>
      <c r="C67" s="12"/>
      <c r="D67" s="12"/>
      <c r="E67" s="310"/>
      <c r="F67" s="310"/>
      <c r="G67" s="311"/>
      <c r="H67" s="310"/>
      <c r="I67" s="310"/>
      <c r="J67" s="310"/>
      <c r="K67" s="310"/>
      <c r="L67" s="310"/>
      <c r="M67" s="84"/>
      <c r="N67" s="84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12"/>
      <c r="B68" s="12"/>
      <c r="C68" s="12"/>
      <c r="D68" s="12"/>
      <c r="E68" s="310"/>
      <c r="F68" s="310"/>
      <c r="G68" s="311"/>
      <c r="H68" s="310"/>
      <c r="I68" s="310"/>
      <c r="J68" s="310"/>
      <c r="K68" s="310"/>
      <c r="L68" s="310"/>
      <c r="M68" s="84"/>
      <c r="N68" s="84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12"/>
      <c r="B69" s="12"/>
      <c r="C69" s="12"/>
      <c r="D69" s="12"/>
      <c r="E69" s="310"/>
      <c r="F69" s="310"/>
      <c r="G69" s="311"/>
      <c r="H69" s="310"/>
      <c r="I69" s="310"/>
      <c r="J69" s="310"/>
      <c r="K69" s="310"/>
      <c r="L69" s="310"/>
      <c r="M69" s="84"/>
      <c r="N69" s="84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12"/>
      <c r="B70" s="12"/>
      <c r="C70" s="12"/>
      <c r="D70" s="12"/>
      <c r="E70" s="310"/>
      <c r="F70" s="310"/>
      <c r="G70" s="311"/>
      <c r="H70" s="310"/>
      <c r="I70" s="310"/>
      <c r="J70" s="310"/>
      <c r="K70" s="310"/>
      <c r="L70" s="310"/>
      <c r="M70" s="84"/>
      <c r="N70" s="84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12"/>
      <c r="B71" s="12"/>
      <c r="C71" s="12"/>
      <c r="D71" s="12"/>
      <c r="E71" s="310"/>
      <c r="F71" s="310"/>
      <c r="G71" s="311"/>
      <c r="H71" s="310"/>
      <c r="I71" s="310"/>
      <c r="J71" s="310"/>
      <c r="K71" s="310"/>
      <c r="L71" s="310"/>
      <c r="M71" s="84"/>
      <c r="N71" s="84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12"/>
      <c r="B72" s="12"/>
      <c r="C72" s="12"/>
      <c r="D72" s="12"/>
      <c r="E72" s="310"/>
      <c r="F72" s="310"/>
      <c r="G72" s="311"/>
      <c r="H72" s="310"/>
      <c r="I72" s="310"/>
      <c r="J72" s="310"/>
      <c r="K72" s="310"/>
      <c r="L72" s="310"/>
      <c r="M72" s="84"/>
      <c r="N72" s="84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12"/>
      <c r="B73" s="12"/>
      <c r="C73" s="12"/>
      <c r="D73" s="12"/>
      <c r="E73" s="310"/>
      <c r="F73" s="310"/>
      <c r="G73" s="311"/>
      <c r="H73" s="310"/>
      <c r="I73" s="310"/>
      <c r="J73" s="310"/>
      <c r="K73" s="310"/>
      <c r="L73" s="310"/>
      <c r="M73" s="84"/>
      <c r="N73" s="84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12"/>
      <c r="B74" s="12"/>
      <c r="C74" s="12"/>
      <c r="D74" s="12"/>
      <c r="E74" s="310"/>
      <c r="F74" s="310"/>
      <c r="G74" s="311"/>
      <c r="H74" s="310"/>
      <c r="I74" s="310"/>
      <c r="J74" s="310"/>
      <c r="K74" s="310"/>
      <c r="L74" s="310"/>
      <c r="M74" s="84"/>
      <c r="N74" s="84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12"/>
      <c r="B75" s="12"/>
      <c r="C75" s="12"/>
      <c r="D75" s="12"/>
      <c r="E75" s="310"/>
      <c r="F75" s="310"/>
      <c r="G75" s="311"/>
      <c r="H75" s="310"/>
      <c r="I75" s="310"/>
      <c r="J75" s="310"/>
      <c r="K75" s="310"/>
      <c r="L75" s="310"/>
      <c r="M75" s="84"/>
      <c r="N75" s="84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12"/>
      <c r="B76" s="12"/>
      <c r="C76" s="12"/>
      <c r="D76" s="12"/>
      <c r="E76" s="310"/>
      <c r="F76" s="310"/>
      <c r="G76" s="311"/>
      <c r="H76" s="310"/>
      <c r="I76" s="310"/>
      <c r="J76" s="310"/>
      <c r="K76" s="310"/>
      <c r="L76" s="310"/>
      <c r="M76" s="84"/>
      <c r="N76" s="84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12"/>
      <c r="B77" s="12"/>
      <c r="C77" s="12"/>
      <c r="D77" s="12"/>
      <c r="E77" s="310"/>
      <c r="F77" s="310"/>
      <c r="G77" s="311"/>
      <c r="H77" s="310"/>
      <c r="I77" s="310"/>
      <c r="J77" s="310"/>
      <c r="K77" s="310"/>
      <c r="L77" s="310"/>
      <c r="M77" s="84"/>
      <c r="N77" s="84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12"/>
      <c r="B78" s="12"/>
      <c r="C78" s="12"/>
      <c r="D78" s="12"/>
      <c r="E78" s="310"/>
      <c r="F78" s="310"/>
      <c r="G78" s="311"/>
      <c r="H78" s="310"/>
      <c r="I78" s="310"/>
      <c r="J78" s="310"/>
      <c r="K78" s="310"/>
      <c r="L78" s="310"/>
      <c r="M78" s="84"/>
      <c r="N78" s="84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12"/>
      <c r="B79" s="12"/>
      <c r="C79" s="12"/>
      <c r="D79" s="12"/>
      <c r="E79" s="310"/>
      <c r="F79" s="310"/>
      <c r="G79" s="311"/>
      <c r="H79" s="310"/>
      <c r="I79" s="310"/>
      <c r="J79" s="310"/>
      <c r="K79" s="310"/>
      <c r="L79" s="310"/>
      <c r="M79" s="84"/>
      <c r="N79" s="84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12"/>
      <c r="B80" s="12"/>
      <c r="C80" s="12"/>
      <c r="D80" s="12"/>
      <c r="E80" s="310"/>
      <c r="F80" s="310"/>
      <c r="G80" s="311"/>
      <c r="H80" s="310"/>
      <c r="I80" s="310"/>
      <c r="J80" s="310"/>
      <c r="K80" s="310"/>
      <c r="L80" s="310"/>
      <c r="M80" s="84"/>
      <c r="N80" s="84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12"/>
      <c r="B81" s="12"/>
      <c r="C81" s="12"/>
      <c r="D81" s="12"/>
      <c r="E81" s="310"/>
      <c r="F81" s="310"/>
      <c r="G81" s="311"/>
      <c r="H81" s="310"/>
      <c r="I81" s="310"/>
      <c r="J81" s="310"/>
      <c r="K81" s="310"/>
      <c r="L81" s="310"/>
      <c r="M81" s="84"/>
      <c r="N81" s="84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12"/>
      <c r="B82" s="12"/>
      <c r="C82" s="12"/>
      <c r="D82" s="12"/>
      <c r="E82" s="310"/>
      <c r="F82" s="310"/>
      <c r="G82" s="311"/>
      <c r="H82" s="310"/>
      <c r="I82" s="310"/>
      <c r="J82" s="310"/>
      <c r="K82" s="310"/>
      <c r="L82" s="310"/>
      <c r="M82" s="84"/>
      <c r="N82" s="84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12"/>
      <c r="B83" s="12"/>
      <c r="C83" s="12"/>
      <c r="D83" s="12"/>
      <c r="E83" s="310"/>
      <c r="F83" s="310"/>
      <c r="G83" s="311"/>
      <c r="H83" s="310"/>
      <c r="I83" s="310"/>
      <c r="J83" s="310"/>
      <c r="K83" s="310"/>
      <c r="L83" s="310"/>
      <c r="M83" s="84"/>
      <c r="N83" s="84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12"/>
      <c r="B84" s="12"/>
      <c r="C84" s="12"/>
      <c r="D84" s="12"/>
      <c r="E84" s="310"/>
      <c r="F84" s="310"/>
      <c r="G84" s="311"/>
      <c r="H84" s="310"/>
      <c r="I84" s="310"/>
      <c r="J84" s="310"/>
      <c r="K84" s="310"/>
      <c r="L84" s="310"/>
      <c r="M84" s="84"/>
      <c r="N84" s="84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12"/>
      <c r="B85" s="12"/>
      <c r="C85" s="12"/>
      <c r="D85" s="12"/>
      <c r="E85" s="310"/>
      <c r="F85" s="310"/>
      <c r="G85" s="311"/>
      <c r="H85" s="310"/>
      <c r="I85" s="310"/>
      <c r="J85" s="310"/>
      <c r="K85" s="310"/>
      <c r="L85" s="310"/>
      <c r="M85" s="84"/>
      <c r="N85" s="84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12"/>
      <c r="B86" s="12"/>
      <c r="C86" s="12"/>
      <c r="D86" s="12"/>
      <c r="E86" s="310"/>
      <c r="F86" s="310"/>
      <c r="G86" s="311"/>
      <c r="H86" s="310"/>
      <c r="I86" s="310"/>
      <c r="J86" s="310"/>
      <c r="K86" s="310"/>
      <c r="L86" s="310"/>
      <c r="M86" s="84"/>
      <c r="N86" s="84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12"/>
      <c r="B87" s="12"/>
      <c r="C87" s="12"/>
      <c r="D87" s="12"/>
      <c r="E87" s="310"/>
      <c r="F87" s="310"/>
      <c r="G87" s="311"/>
      <c r="H87" s="310"/>
      <c r="I87" s="310"/>
      <c r="J87" s="310"/>
      <c r="K87" s="310"/>
      <c r="L87" s="310"/>
      <c r="M87" s="84"/>
      <c r="N87" s="84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12"/>
      <c r="B88" s="12"/>
      <c r="C88" s="12"/>
      <c r="D88" s="12"/>
      <c r="E88" s="310"/>
      <c r="F88" s="310"/>
      <c r="G88" s="311"/>
      <c r="H88" s="310"/>
      <c r="I88" s="310"/>
      <c r="J88" s="310"/>
      <c r="K88" s="310"/>
      <c r="L88" s="310"/>
      <c r="M88" s="84"/>
      <c r="N88" s="84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12"/>
      <c r="B89" s="12"/>
      <c r="C89" s="12"/>
      <c r="D89" s="12"/>
      <c r="E89" s="310"/>
      <c r="F89" s="310"/>
      <c r="G89" s="311"/>
      <c r="H89" s="310"/>
      <c r="I89" s="310"/>
      <c r="J89" s="310"/>
      <c r="K89" s="310"/>
      <c r="L89" s="310"/>
      <c r="M89" s="84"/>
      <c r="N89" s="84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2"/>
      <c r="B90" s="12"/>
      <c r="C90" s="12"/>
      <c r="D90" s="12"/>
      <c r="E90" s="310"/>
      <c r="F90" s="310"/>
      <c r="G90" s="311"/>
      <c r="H90" s="310"/>
      <c r="I90" s="310"/>
      <c r="J90" s="310"/>
      <c r="K90" s="310"/>
      <c r="L90" s="310"/>
      <c r="M90" s="84"/>
      <c r="N90" s="84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12"/>
      <c r="B91" s="12"/>
      <c r="C91" s="12"/>
      <c r="D91" s="12"/>
      <c r="E91" s="310"/>
      <c r="F91" s="310"/>
      <c r="G91" s="311"/>
      <c r="H91" s="310"/>
      <c r="I91" s="310"/>
      <c r="J91" s="310"/>
      <c r="K91" s="310"/>
      <c r="L91" s="310"/>
      <c r="M91" s="84"/>
      <c r="N91" s="84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12"/>
      <c r="B92" s="12"/>
      <c r="C92" s="12"/>
      <c r="D92" s="12"/>
      <c r="E92" s="310"/>
      <c r="F92" s="310"/>
      <c r="G92" s="311"/>
      <c r="H92" s="310"/>
      <c r="I92" s="310"/>
      <c r="J92" s="310"/>
      <c r="K92" s="310"/>
      <c r="L92" s="310"/>
      <c r="M92" s="84"/>
      <c r="N92" s="84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12"/>
      <c r="B93" s="12"/>
      <c r="C93" s="12"/>
      <c r="D93" s="12"/>
      <c r="E93" s="310"/>
      <c r="F93" s="310"/>
      <c r="G93" s="311"/>
      <c r="H93" s="310"/>
      <c r="I93" s="310"/>
      <c r="J93" s="310"/>
      <c r="K93" s="310"/>
      <c r="L93" s="310"/>
      <c r="M93" s="84"/>
      <c r="N93" s="84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12"/>
      <c r="B94" s="12"/>
      <c r="C94" s="12"/>
      <c r="D94" s="12"/>
      <c r="E94" s="310"/>
      <c r="F94" s="310"/>
      <c r="G94" s="311"/>
      <c r="H94" s="310"/>
      <c r="I94" s="310"/>
      <c r="J94" s="310"/>
      <c r="K94" s="310"/>
      <c r="L94" s="310"/>
      <c r="M94" s="84"/>
      <c r="N94" s="84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12"/>
      <c r="B95" s="12"/>
      <c r="C95" s="12"/>
      <c r="D95" s="12"/>
      <c r="E95" s="310"/>
      <c r="F95" s="310"/>
      <c r="G95" s="311"/>
      <c r="H95" s="310"/>
      <c r="I95" s="310"/>
      <c r="J95" s="310"/>
      <c r="K95" s="310"/>
      <c r="L95" s="310"/>
      <c r="M95" s="84"/>
      <c r="N95" s="84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12"/>
      <c r="B96" s="12"/>
      <c r="C96" s="12"/>
      <c r="D96" s="12"/>
      <c r="E96" s="310"/>
      <c r="F96" s="310"/>
      <c r="G96" s="311"/>
      <c r="H96" s="310"/>
      <c r="I96" s="310"/>
      <c r="J96" s="310"/>
      <c r="K96" s="310"/>
      <c r="L96" s="310"/>
      <c r="M96" s="84"/>
      <c r="N96" s="84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12"/>
      <c r="B97" s="12"/>
      <c r="C97" s="12"/>
      <c r="D97" s="12"/>
      <c r="E97" s="310"/>
      <c r="F97" s="310"/>
      <c r="G97" s="311"/>
      <c r="H97" s="310"/>
      <c r="I97" s="310"/>
      <c r="J97" s="310"/>
      <c r="K97" s="310"/>
      <c r="L97" s="310"/>
      <c r="M97" s="84"/>
      <c r="N97" s="84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12"/>
      <c r="B98" s="12"/>
      <c r="C98" s="12"/>
      <c r="D98" s="12"/>
      <c r="E98" s="310"/>
      <c r="F98" s="310"/>
      <c r="G98" s="311"/>
      <c r="H98" s="310"/>
      <c r="I98" s="310"/>
      <c r="J98" s="310"/>
      <c r="K98" s="310"/>
      <c r="L98" s="310"/>
      <c r="M98" s="84"/>
      <c r="N98" s="84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12"/>
      <c r="B99" s="12"/>
      <c r="C99" s="12"/>
      <c r="D99" s="12"/>
      <c r="E99" s="310"/>
      <c r="F99" s="310"/>
      <c r="G99" s="311"/>
      <c r="H99" s="310"/>
      <c r="I99" s="310"/>
      <c r="J99" s="310"/>
      <c r="K99" s="310"/>
      <c r="L99" s="310"/>
      <c r="M99" s="84"/>
      <c r="N99" s="84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12"/>
      <c r="B100" s="12"/>
      <c r="C100" s="12"/>
      <c r="D100" s="12"/>
      <c r="E100" s="310"/>
      <c r="F100" s="310"/>
      <c r="G100" s="311"/>
      <c r="H100" s="310"/>
      <c r="I100" s="310"/>
      <c r="J100" s="310"/>
      <c r="K100" s="310"/>
      <c r="L100" s="310"/>
      <c r="M100" s="84"/>
      <c r="N100" s="84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12"/>
      <c r="B101" s="12"/>
      <c r="C101" s="12"/>
      <c r="D101" s="12"/>
      <c r="E101" s="310"/>
      <c r="F101" s="310"/>
      <c r="G101" s="311"/>
      <c r="H101" s="310"/>
      <c r="I101" s="310"/>
      <c r="J101" s="310"/>
      <c r="K101" s="310"/>
      <c r="L101" s="310"/>
      <c r="M101" s="84"/>
      <c r="N101" s="84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>
      <c r="A102" s="12"/>
      <c r="B102" s="12"/>
      <c r="C102" s="12"/>
      <c r="D102" s="12"/>
      <c r="E102" s="310"/>
      <c r="F102" s="310"/>
      <c r="G102" s="311"/>
      <c r="H102" s="310"/>
      <c r="I102" s="310"/>
      <c r="J102" s="310"/>
      <c r="K102" s="310"/>
      <c r="L102" s="310"/>
      <c r="M102" s="84"/>
      <c r="N102" s="84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>
      <c r="A103" s="12"/>
      <c r="B103" s="12"/>
      <c r="C103" s="12"/>
      <c r="D103" s="12"/>
      <c r="E103" s="310"/>
      <c r="F103" s="310"/>
      <c r="G103" s="311"/>
      <c r="H103" s="310"/>
      <c r="I103" s="310"/>
      <c r="J103" s="310"/>
      <c r="K103" s="310"/>
      <c r="L103" s="310"/>
      <c r="M103" s="84"/>
      <c r="N103" s="84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>
      <c r="A104" s="12"/>
      <c r="B104" s="12"/>
      <c r="C104" s="12"/>
      <c r="D104" s="12"/>
      <c r="E104" s="310"/>
      <c r="F104" s="310"/>
      <c r="G104" s="311"/>
      <c r="H104" s="310"/>
      <c r="I104" s="310"/>
      <c r="J104" s="310"/>
      <c r="K104" s="310"/>
      <c r="L104" s="310"/>
      <c r="M104" s="84"/>
      <c r="N104" s="84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>
      <c r="A105" s="12"/>
      <c r="B105" s="12"/>
      <c r="C105" s="12"/>
      <c r="D105" s="12"/>
      <c r="E105" s="310"/>
      <c r="F105" s="310"/>
      <c r="G105" s="311"/>
      <c r="H105" s="310"/>
      <c r="I105" s="310"/>
      <c r="J105" s="310"/>
      <c r="K105" s="310"/>
      <c r="L105" s="310"/>
      <c r="M105" s="84"/>
      <c r="N105" s="84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>
      <c r="A106" s="12"/>
      <c r="B106" s="12"/>
      <c r="C106" s="12"/>
      <c r="D106" s="12"/>
      <c r="E106" s="310"/>
      <c r="F106" s="310"/>
      <c r="G106" s="311"/>
      <c r="H106" s="310"/>
      <c r="I106" s="310"/>
      <c r="J106" s="310"/>
      <c r="K106" s="310"/>
      <c r="L106" s="310"/>
      <c r="M106" s="84"/>
      <c r="N106" s="84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>
      <c r="A107" s="12"/>
      <c r="B107" s="12"/>
      <c r="C107" s="12"/>
      <c r="D107" s="12"/>
      <c r="E107" s="310"/>
      <c r="F107" s="310"/>
      <c r="G107" s="311"/>
      <c r="H107" s="310"/>
      <c r="I107" s="310"/>
      <c r="J107" s="310"/>
      <c r="K107" s="310"/>
      <c r="L107" s="310"/>
      <c r="M107" s="84"/>
      <c r="N107" s="84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>
      <c r="A108" s="12"/>
      <c r="B108" s="12"/>
      <c r="C108" s="12"/>
      <c r="D108" s="12"/>
      <c r="E108" s="310"/>
      <c r="F108" s="310"/>
      <c r="G108" s="311"/>
      <c r="H108" s="310"/>
      <c r="I108" s="310"/>
      <c r="J108" s="310"/>
      <c r="K108" s="310"/>
      <c r="L108" s="310"/>
      <c r="M108" s="84"/>
      <c r="N108" s="84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>
      <c r="A109" s="12"/>
      <c r="B109" s="12"/>
      <c r="C109" s="12"/>
      <c r="D109" s="12"/>
      <c r="E109" s="310"/>
      <c r="F109" s="310"/>
      <c r="G109" s="311"/>
      <c r="H109" s="310"/>
      <c r="I109" s="310"/>
      <c r="J109" s="310"/>
      <c r="K109" s="310"/>
      <c r="L109" s="310"/>
      <c r="M109" s="84"/>
      <c r="N109" s="84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>
      <c r="A110" s="12"/>
      <c r="B110" s="12"/>
      <c r="C110" s="12"/>
      <c r="D110" s="12"/>
      <c r="E110" s="310"/>
      <c r="F110" s="310"/>
      <c r="G110" s="311"/>
      <c r="H110" s="310"/>
      <c r="I110" s="310"/>
      <c r="J110" s="310"/>
      <c r="K110" s="310"/>
      <c r="L110" s="310"/>
      <c r="M110" s="84"/>
      <c r="N110" s="84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>
      <c r="A111" s="12"/>
      <c r="B111" s="12"/>
      <c r="C111" s="12"/>
      <c r="D111" s="12"/>
      <c r="E111" s="310"/>
      <c r="F111" s="310"/>
      <c r="G111" s="311"/>
      <c r="H111" s="310"/>
      <c r="I111" s="310"/>
      <c r="J111" s="310"/>
      <c r="K111" s="310"/>
      <c r="L111" s="310"/>
      <c r="M111" s="84"/>
      <c r="N111" s="84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12"/>
      <c r="B112" s="12"/>
      <c r="C112" s="12"/>
      <c r="D112" s="12"/>
      <c r="E112" s="310"/>
      <c r="F112" s="310"/>
      <c r="G112" s="311"/>
      <c r="H112" s="310"/>
      <c r="I112" s="310"/>
      <c r="J112" s="310"/>
      <c r="K112" s="310"/>
      <c r="L112" s="310"/>
      <c r="M112" s="84"/>
      <c r="N112" s="84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12"/>
      <c r="B113" s="12"/>
      <c r="C113" s="12"/>
      <c r="D113" s="12"/>
      <c r="E113" s="310"/>
      <c r="F113" s="310"/>
      <c r="G113" s="311"/>
      <c r="H113" s="310"/>
      <c r="I113" s="310"/>
      <c r="J113" s="310"/>
      <c r="K113" s="310"/>
      <c r="L113" s="310"/>
      <c r="M113" s="84"/>
      <c r="N113" s="84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>
      <c r="A114" s="12"/>
      <c r="B114" s="12"/>
      <c r="C114" s="12"/>
      <c r="D114" s="12"/>
      <c r="E114" s="310"/>
      <c r="F114" s="310"/>
      <c r="G114" s="311"/>
      <c r="H114" s="310"/>
      <c r="I114" s="310"/>
      <c r="J114" s="310"/>
      <c r="K114" s="310"/>
      <c r="L114" s="310"/>
      <c r="M114" s="84"/>
      <c r="N114" s="84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12"/>
      <c r="B115" s="12"/>
      <c r="C115" s="12"/>
      <c r="D115" s="12"/>
      <c r="E115" s="310"/>
      <c r="F115" s="310"/>
      <c r="G115" s="311"/>
      <c r="H115" s="310"/>
      <c r="I115" s="310"/>
      <c r="J115" s="310"/>
      <c r="K115" s="310"/>
      <c r="L115" s="310"/>
      <c r="M115" s="84"/>
      <c r="N115" s="84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>
      <c r="A116" s="12"/>
      <c r="B116" s="12"/>
      <c r="C116" s="12"/>
      <c r="D116" s="12"/>
      <c r="E116" s="310"/>
      <c r="F116" s="310"/>
      <c r="G116" s="311"/>
      <c r="H116" s="310"/>
      <c r="I116" s="310"/>
      <c r="J116" s="310"/>
      <c r="K116" s="310"/>
      <c r="L116" s="310"/>
      <c r="M116" s="84"/>
      <c r="N116" s="84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>
      <c r="A117" s="12"/>
      <c r="B117" s="12"/>
      <c r="C117" s="12"/>
      <c r="D117" s="12"/>
      <c r="E117" s="310"/>
      <c r="F117" s="310"/>
      <c r="G117" s="311"/>
      <c r="H117" s="310"/>
      <c r="I117" s="310"/>
      <c r="J117" s="310"/>
      <c r="K117" s="310"/>
      <c r="L117" s="310"/>
      <c r="M117" s="84"/>
      <c r="N117" s="84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>
      <c r="A118" s="12"/>
      <c r="B118" s="12"/>
      <c r="C118" s="12"/>
      <c r="D118" s="12"/>
      <c r="E118" s="310"/>
      <c r="F118" s="310"/>
      <c r="G118" s="311"/>
      <c r="H118" s="310"/>
      <c r="I118" s="310"/>
      <c r="J118" s="310"/>
      <c r="K118" s="310"/>
      <c r="L118" s="310"/>
      <c r="M118" s="84"/>
      <c r="N118" s="84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>
      <c r="A119" s="12"/>
      <c r="B119" s="12"/>
      <c r="C119" s="12"/>
      <c r="D119" s="12"/>
      <c r="E119" s="310"/>
      <c r="F119" s="310"/>
      <c r="G119" s="311"/>
      <c r="H119" s="310"/>
      <c r="I119" s="310"/>
      <c r="J119" s="310"/>
      <c r="K119" s="310"/>
      <c r="L119" s="310"/>
      <c r="M119" s="84"/>
      <c r="N119" s="84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>
      <c r="A120" s="12"/>
      <c r="B120" s="12"/>
      <c r="C120" s="12"/>
      <c r="D120" s="12"/>
      <c r="E120" s="310"/>
      <c r="F120" s="310"/>
      <c r="G120" s="311"/>
      <c r="H120" s="310"/>
      <c r="I120" s="310"/>
      <c r="J120" s="310"/>
      <c r="K120" s="310"/>
      <c r="L120" s="310"/>
      <c r="M120" s="84"/>
      <c r="N120" s="84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>
      <c r="A121" s="12"/>
      <c r="B121" s="12"/>
      <c r="C121" s="12"/>
      <c r="D121" s="12"/>
      <c r="E121" s="310"/>
      <c r="F121" s="310"/>
      <c r="G121" s="311"/>
      <c r="H121" s="310"/>
      <c r="I121" s="310"/>
      <c r="J121" s="310"/>
      <c r="K121" s="310"/>
      <c r="L121" s="310"/>
      <c r="M121" s="84"/>
      <c r="N121" s="84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>
      <c r="A122" s="12"/>
      <c r="B122" s="12"/>
      <c r="C122" s="12"/>
      <c r="D122" s="12"/>
      <c r="E122" s="310"/>
      <c r="F122" s="310"/>
      <c r="G122" s="311"/>
      <c r="H122" s="310"/>
      <c r="I122" s="310"/>
      <c r="J122" s="310"/>
      <c r="K122" s="310"/>
      <c r="L122" s="310"/>
      <c r="M122" s="84"/>
      <c r="N122" s="84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>
      <c r="A123" s="12"/>
      <c r="B123" s="12"/>
      <c r="C123" s="12"/>
      <c r="D123" s="12"/>
      <c r="E123" s="310"/>
      <c r="F123" s="310"/>
      <c r="G123" s="311"/>
      <c r="H123" s="310"/>
      <c r="I123" s="310"/>
      <c r="J123" s="310"/>
      <c r="K123" s="310"/>
      <c r="L123" s="310"/>
      <c r="M123" s="84"/>
      <c r="N123" s="84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>
      <c r="A124" s="12"/>
      <c r="B124" s="12"/>
      <c r="C124" s="12"/>
      <c r="D124" s="12"/>
      <c r="E124" s="310"/>
      <c r="F124" s="310"/>
      <c r="G124" s="311"/>
      <c r="H124" s="310"/>
      <c r="I124" s="310"/>
      <c r="J124" s="310"/>
      <c r="K124" s="310"/>
      <c r="L124" s="310"/>
      <c r="M124" s="84"/>
      <c r="N124" s="84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>
      <c r="A125" s="12"/>
      <c r="B125" s="12"/>
      <c r="C125" s="12"/>
      <c r="D125" s="12"/>
      <c r="E125" s="310"/>
      <c r="F125" s="310"/>
      <c r="G125" s="311"/>
      <c r="H125" s="310"/>
      <c r="I125" s="310"/>
      <c r="J125" s="310"/>
      <c r="K125" s="310"/>
      <c r="L125" s="310"/>
      <c r="M125" s="84"/>
      <c r="N125" s="84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>
      <c r="A126" s="12"/>
      <c r="B126" s="12"/>
      <c r="C126" s="12"/>
      <c r="D126" s="12"/>
      <c r="E126" s="310"/>
      <c r="F126" s="310"/>
      <c r="G126" s="311"/>
      <c r="H126" s="310"/>
      <c r="I126" s="310"/>
      <c r="J126" s="310"/>
      <c r="K126" s="310"/>
      <c r="L126" s="310"/>
      <c r="M126" s="84"/>
      <c r="N126" s="84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>
      <c r="A127" s="12"/>
      <c r="B127" s="12"/>
      <c r="C127" s="12"/>
      <c r="D127" s="12"/>
      <c r="E127" s="310"/>
      <c r="F127" s="310"/>
      <c r="G127" s="311"/>
      <c r="H127" s="310"/>
      <c r="I127" s="310"/>
      <c r="J127" s="310"/>
      <c r="K127" s="310"/>
      <c r="L127" s="310"/>
      <c r="M127" s="84"/>
      <c r="N127" s="84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>
      <c r="A128" s="12"/>
      <c r="B128" s="12"/>
      <c r="C128" s="12"/>
      <c r="D128" s="12"/>
      <c r="E128" s="310"/>
      <c r="F128" s="310"/>
      <c r="G128" s="311"/>
      <c r="H128" s="310"/>
      <c r="I128" s="310"/>
      <c r="J128" s="310"/>
      <c r="K128" s="310"/>
      <c r="L128" s="310"/>
      <c r="M128" s="84"/>
      <c r="N128" s="84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>
      <c r="A129" s="12"/>
      <c r="B129" s="12"/>
      <c r="C129" s="12"/>
      <c r="D129" s="12"/>
      <c r="E129" s="310"/>
      <c r="F129" s="310"/>
      <c r="G129" s="311"/>
      <c r="H129" s="310"/>
      <c r="I129" s="310"/>
      <c r="J129" s="310"/>
      <c r="K129" s="310"/>
      <c r="L129" s="310"/>
      <c r="M129" s="84"/>
      <c r="N129" s="84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>
      <c r="A130" s="12"/>
      <c r="B130" s="12"/>
      <c r="C130" s="12"/>
      <c r="D130" s="12"/>
      <c r="E130" s="310"/>
      <c r="F130" s="310"/>
      <c r="G130" s="311"/>
      <c r="H130" s="310"/>
      <c r="I130" s="310"/>
      <c r="J130" s="310"/>
      <c r="K130" s="310"/>
      <c r="L130" s="310"/>
      <c r="M130" s="84"/>
      <c r="N130" s="84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>
      <c r="A131" s="12"/>
      <c r="B131" s="12"/>
      <c r="C131" s="12"/>
      <c r="D131" s="12"/>
      <c r="E131" s="310"/>
      <c r="F131" s="310"/>
      <c r="G131" s="311"/>
      <c r="H131" s="310"/>
      <c r="I131" s="310"/>
      <c r="J131" s="310"/>
      <c r="K131" s="310"/>
      <c r="L131" s="310"/>
      <c r="M131" s="84"/>
      <c r="N131" s="84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>
      <c r="A132" s="12"/>
      <c r="B132" s="12"/>
      <c r="C132" s="12"/>
      <c r="D132" s="12"/>
      <c r="E132" s="310"/>
      <c r="F132" s="310"/>
      <c r="G132" s="311"/>
      <c r="H132" s="310"/>
      <c r="I132" s="310"/>
      <c r="J132" s="310"/>
      <c r="K132" s="310"/>
      <c r="L132" s="310"/>
      <c r="M132" s="84"/>
      <c r="N132" s="84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>
      <c r="A133" s="12"/>
      <c r="B133" s="12"/>
      <c r="C133" s="12"/>
      <c r="D133" s="12"/>
      <c r="E133" s="310"/>
      <c r="F133" s="310"/>
      <c r="G133" s="311"/>
      <c r="H133" s="310"/>
      <c r="I133" s="310"/>
      <c r="J133" s="310"/>
      <c r="K133" s="310"/>
      <c r="L133" s="310"/>
      <c r="M133" s="84"/>
      <c r="N133" s="84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>
      <c r="A134" s="12"/>
      <c r="B134" s="12"/>
      <c r="C134" s="12"/>
      <c r="D134" s="12"/>
      <c r="E134" s="310"/>
      <c r="F134" s="310"/>
      <c r="G134" s="311"/>
      <c r="H134" s="310"/>
      <c r="I134" s="310"/>
      <c r="J134" s="310"/>
      <c r="K134" s="310"/>
      <c r="L134" s="310"/>
      <c r="M134" s="84"/>
      <c r="N134" s="84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>
      <c r="A135" s="12"/>
      <c r="B135" s="12"/>
      <c r="C135" s="12"/>
      <c r="D135" s="12"/>
      <c r="E135" s="310"/>
      <c r="F135" s="310"/>
      <c r="G135" s="311"/>
      <c r="H135" s="310"/>
      <c r="I135" s="310"/>
      <c r="J135" s="310"/>
      <c r="K135" s="310"/>
      <c r="L135" s="310"/>
      <c r="M135" s="84"/>
      <c r="N135" s="84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>
      <c r="A136" s="12"/>
      <c r="B136" s="12"/>
      <c r="C136" s="12"/>
      <c r="D136" s="12"/>
      <c r="E136" s="310"/>
      <c r="F136" s="310"/>
      <c r="G136" s="311"/>
      <c r="H136" s="310"/>
      <c r="I136" s="310"/>
      <c r="J136" s="310"/>
      <c r="K136" s="310"/>
      <c r="L136" s="310"/>
      <c r="M136" s="84"/>
      <c r="N136" s="84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>
      <c r="A137" s="12"/>
      <c r="B137" s="12"/>
      <c r="C137" s="12"/>
      <c r="D137" s="12"/>
      <c r="E137" s="310"/>
      <c r="F137" s="310"/>
      <c r="G137" s="311"/>
      <c r="H137" s="310"/>
      <c r="I137" s="310"/>
      <c r="J137" s="310"/>
      <c r="K137" s="310"/>
      <c r="L137" s="310"/>
      <c r="M137" s="84"/>
      <c r="N137" s="84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>
      <c r="A138" s="12"/>
      <c r="B138" s="12"/>
      <c r="C138" s="12"/>
      <c r="D138" s="12"/>
      <c r="E138" s="310"/>
      <c r="F138" s="310"/>
      <c r="G138" s="311"/>
      <c r="H138" s="310"/>
      <c r="I138" s="310"/>
      <c r="J138" s="310"/>
      <c r="K138" s="310"/>
      <c r="L138" s="310"/>
      <c r="M138" s="84"/>
      <c r="N138" s="84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>
      <c r="A139" s="12"/>
      <c r="B139" s="12"/>
      <c r="C139" s="12"/>
      <c r="D139" s="12"/>
      <c r="E139" s="310"/>
      <c r="F139" s="310"/>
      <c r="G139" s="311"/>
      <c r="H139" s="310"/>
      <c r="I139" s="310"/>
      <c r="J139" s="310"/>
      <c r="K139" s="310"/>
      <c r="L139" s="310"/>
      <c r="M139" s="84"/>
      <c r="N139" s="84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>
      <c r="A140" s="12"/>
      <c r="B140" s="12"/>
      <c r="C140" s="12"/>
      <c r="D140" s="12"/>
      <c r="E140" s="310"/>
      <c r="F140" s="310"/>
      <c r="G140" s="311"/>
      <c r="H140" s="310"/>
      <c r="I140" s="310"/>
      <c r="J140" s="310"/>
      <c r="K140" s="310"/>
      <c r="L140" s="310"/>
      <c r="M140" s="84"/>
      <c r="N140" s="84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>
      <c r="A141" s="12"/>
      <c r="B141" s="12"/>
      <c r="C141" s="12"/>
      <c r="D141" s="12"/>
      <c r="E141" s="310"/>
      <c r="F141" s="310"/>
      <c r="G141" s="311"/>
      <c r="H141" s="310"/>
      <c r="I141" s="310"/>
      <c r="J141" s="310"/>
      <c r="K141" s="310"/>
      <c r="L141" s="310"/>
      <c r="M141" s="84"/>
      <c r="N141" s="84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>
      <c r="A142" s="12"/>
      <c r="B142" s="12"/>
      <c r="C142" s="12"/>
      <c r="D142" s="12"/>
      <c r="E142" s="310"/>
      <c r="F142" s="310"/>
      <c r="G142" s="311"/>
      <c r="H142" s="310"/>
      <c r="I142" s="310"/>
      <c r="J142" s="310"/>
      <c r="K142" s="310"/>
      <c r="L142" s="310"/>
      <c r="M142" s="84"/>
      <c r="N142" s="84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>
      <c r="A143" s="12"/>
      <c r="B143" s="12"/>
      <c r="C143" s="12"/>
      <c r="D143" s="12"/>
      <c r="E143" s="310"/>
      <c r="F143" s="310"/>
      <c r="G143" s="311"/>
      <c r="H143" s="310"/>
      <c r="I143" s="310"/>
      <c r="J143" s="310"/>
      <c r="K143" s="310"/>
      <c r="L143" s="310"/>
      <c r="M143" s="84"/>
      <c r="N143" s="84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>
      <c r="A144" s="12"/>
      <c r="B144" s="12"/>
      <c r="C144" s="12"/>
      <c r="D144" s="12"/>
      <c r="E144" s="310"/>
      <c r="F144" s="310"/>
      <c r="G144" s="311"/>
      <c r="H144" s="310"/>
      <c r="I144" s="310"/>
      <c r="J144" s="310"/>
      <c r="K144" s="310"/>
      <c r="L144" s="310"/>
      <c r="M144" s="84"/>
      <c r="N144" s="84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>
      <c r="A145" s="12"/>
      <c r="B145" s="12"/>
      <c r="C145" s="12"/>
      <c r="D145" s="12"/>
      <c r="E145" s="310"/>
      <c r="F145" s="310"/>
      <c r="G145" s="311"/>
      <c r="H145" s="310"/>
      <c r="I145" s="310"/>
      <c r="J145" s="310"/>
      <c r="K145" s="310"/>
      <c r="L145" s="310"/>
      <c r="M145" s="84"/>
      <c r="N145" s="84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>
      <c r="A146" s="12"/>
      <c r="B146" s="12"/>
      <c r="C146" s="12"/>
      <c r="D146" s="12"/>
      <c r="E146" s="310"/>
      <c r="F146" s="310"/>
      <c r="G146" s="311"/>
      <c r="H146" s="310"/>
      <c r="I146" s="310"/>
      <c r="J146" s="310"/>
      <c r="K146" s="310"/>
      <c r="L146" s="310"/>
      <c r="M146" s="84"/>
      <c r="N146" s="84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>
      <c r="A147" s="12"/>
      <c r="B147" s="12"/>
      <c r="C147" s="12"/>
      <c r="D147" s="12"/>
      <c r="E147" s="310"/>
      <c r="F147" s="310"/>
      <c r="G147" s="311"/>
      <c r="H147" s="310"/>
      <c r="I147" s="310"/>
      <c r="J147" s="310"/>
      <c r="K147" s="310"/>
      <c r="L147" s="310"/>
      <c r="M147" s="84"/>
      <c r="N147" s="84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>
      <c r="A148" s="12"/>
      <c r="B148" s="12"/>
      <c r="C148" s="12"/>
      <c r="D148" s="12"/>
      <c r="E148" s="310"/>
      <c r="F148" s="310"/>
      <c r="G148" s="311"/>
      <c r="H148" s="310"/>
      <c r="I148" s="310"/>
      <c r="J148" s="310"/>
      <c r="K148" s="310"/>
      <c r="L148" s="310"/>
      <c r="M148" s="84"/>
      <c r="N148" s="84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>
      <c r="A149" s="12"/>
      <c r="B149" s="12"/>
      <c r="C149" s="12"/>
      <c r="D149" s="12"/>
      <c r="E149" s="310"/>
      <c r="F149" s="310"/>
      <c r="G149" s="311"/>
      <c r="H149" s="310"/>
      <c r="I149" s="310"/>
      <c r="J149" s="310"/>
      <c r="K149" s="310"/>
      <c r="L149" s="310"/>
      <c r="M149" s="84"/>
      <c r="N149" s="84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>
      <c r="A150" s="12"/>
      <c r="B150" s="12"/>
      <c r="C150" s="12"/>
      <c r="D150" s="12"/>
      <c r="E150" s="310"/>
      <c r="F150" s="310"/>
      <c r="G150" s="311"/>
      <c r="H150" s="310"/>
      <c r="I150" s="310"/>
      <c r="J150" s="310"/>
      <c r="K150" s="310"/>
      <c r="L150" s="310"/>
      <c r="M150" s="84"/>
      <c r="N150" s="84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>
      <c r="A151" s="12"/>
      <c r="B151" s="12"/>
      <c r="C151" s="12"/>
      <c r="D151" s="12"/>
      <c r="E151" s="310"/>
      <c r="F151" s="310"/>
      <c r="G151" s="311"/>
      <c r="H151" s="310"/>
      <c r="I151" s="310"/>
      <c r="J151" s="310"/>
      <c r="K151" s="310"/>
      <c r="L151" s="310"/>
      <c r="M151" s="84"/>
      <c r="N151" s="84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>
      <c r="A152" s="12"/>
      <c r="B152" s="12"/>
      <c r="C152" s="12"/>
      <c r="D152" s="12"/>
      <c r="E152" s="310"/>
      <c r="F152" s="310"/>
      <c r="G152" s="311"/>
      <c r="H152" s="310"/>
      <c r="I152" s="310"/>
      <c r="J152" s="310"/>
      <c r="K152" s="310"/>
      <c r="L152" s="310"/>
      <c r="M152" s="84"/>
      <c r="N152" s="84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>
      <c r="A153" s="12"/>
      <c r="B153" s="12"/>
      <c r="C153" s="12"/>
      <c r="D153" s="12"/>
      <c r="E153" s="310"/>
      <c r="F153" s="310"/>
      <c r="G153" s="311"/>
      <c r="H153" s="310"/>
      <c r="I153" s="310"/>
      <c r="J153" s="310"/>
      <c r="K153" s="310"/>
      <c r="L153" s="310"/>
      <c r="M153" s="84"/>
      <c r="N153" s="84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>
      <c r="A154" s="12"/>
      <c r="B154" s="12"/>
      <c r="C154" s="12"/>
      <c r="D154" s="12"/>
      <c r="E154" s="310"/>
      <c r="F154" s="310"/>
      <c r="G154" s="311"/>
      <c r="H154" s="310"/>
      <c r="I154" s="310"/>
      <c r="J154" s="310"/>
      <c r="K154" s="310"/>
      <c r="L154" s="310"/>
      <c r="M154" s="84"/>
      <c r="N154" s="84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>
      <c r="A155" s="12"/>
      <c r="B155" s="12"/>
      <c r="C155" s="12"/>
      <c r="D155" s="12"/>
      <c r="E155" s="310"/>
      <c r="F155" s="310"/>
      <c r="G155" s="311"/>
      <c r="H155" s="310"/>
      <c r="I155" s="310"/>
      <c r="J155" s="310"/>
      <c r="K155" s="310"/>
      <c r="L155" s="310"/>
      <c r="M155" s="84"/>
      <c r="N155" s="84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>
      <c r="A156" s="12"/>
      <c r="B156" s="12"/>
      <c r="C156" s="12"/>
      <c r="D156" s="12"/>
      <c r="E156" s="310"/>
      <c r="F156" s="310"/>
      <c r="G156" s="311"/>
      <c r="H156" s="310"/>
      <c r="I156" s="310"/>
      <c r="J156" s="310"/>
      <c r="K156" s="310"/>
      <c r="L156" s="310"/>
      <c r="M156" s="84"/>
      <c r="N156" s="84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>
      <c r="A157" s="12"/>
      <c r="B157" s="12"/>
      <c r="C157" s="12"/>
      <c r="D157" s="12"/>
      <c r="E157" s="310"/>
      <c r="F157" s="310"/>
      <c r="G157" s="311"/>
      <c r="H157" s="310"/>
      <c r="I157" s="310"/>
      <c r="J157" s="310"/>
      <c r="K157" s="310"/>
      <c r="L157" s="310"/>
      <c r="M157" s="84"/>
      <c r="N157" s="84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>
      <c r="A158" s="12"/>
      <c r="B158" s="12"/>
      <c r="C158" s="12"/>
      <c r="D158" s="12"/>
      <c r="E158" s="310"/>
      <c r="F158" s="310"/>
      <c r="G158" s="311"/>
      <c r="H158" s="310"/>
      <c r="I158" s="310"/>
      <c r="J158" s="310"/>
      <c r="K158" s="310"/>
      <c r="L158" s="310"/>
      <c r="M158" s="84"/>
      <c r="N158" s="84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>
      <c r="A159" s="12"/>
      <c r="B159" s="12"/>
      <c r="C159" s="12"/>
      <c r="D159" s="12"/>
      <c r="E159" s="310"/>
      <c r="F159" s="310"/>
      <c r="G159" s="311"/>
      <c r="H159" s="310"/>
      <c r="I159" s="310"/>
      <c r="J159" s="310"/>
      <c r="K159" s="310"/>
      <c r="L159" s="310"/>
      <c r="M159" s="84"/>
      <c r="N159" s="84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>
      <c r="A160" s="12"/>
      <c r="B160" s="12"/>
      <c r="C160" s="12"/>
      <c r="D160" s="12"/>
      <c r="E160" s="310"/>
      <c r="F160" s="310"/>
      <c r="G160" s="311"/>
      <c r="H160" s="310"/>
      <c r="I160" s="310"/>
      <c r="J160" s="310"/>
      <c r="K160" s="310"/>
      <c r="L160" s="310"/>
      <c r="M160" s="84"/>
      <c r="N160" s="84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>
      <c r="A161" s="12"/>
      <c r="B161" s="12"/>
      <c r="C161" s="12"/>
      <c r="D161" s="12"/>
      <c r="E161" s="310"/>
      <c r="F161" s="310"/>
      <c r="G161" s="311"/>
      <c r="H161" s="310"/>
      <c r="I161" s="310"/>
      <c r="J161" s="310"/>
      <c r="K161" s="310"/>
      <c r="L161" s="310"/>
      <c r="M161" s="84"/>
      <c r="N161" s="84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>
      <c r="A162" s="12"/>
      <c r="B162" s="12"/>
      <c r="C162" s="12"/>
      <c r="D162" s="12"/>
      <c r="E162" s="310"/>
      <c r="F162" s="310"/>
      <c r="G162" s="311"/>
      <c r="H162" s="310"/>
      <c r="I162" s="310"/>
      <c r="J162" s="310"/>
      <c r="K162" s="310"/>
      <c r="L162" s="310"/>
      <c r="M162" s="84"/>
      <c r="N162" s="84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>
      <c r="A163" s="12"/>
      <c r="B163" s="12"/>
      <c r="C163" s="12"/>
      <c r="D163" s="12"/>
      <c r="E163" s="310"/>
      <c r="F163" s="310"/>
      <c r="G163" s="311"/>
      <c r="H163" s="310"/>
      <c r="I163" s="310"/>
      <c r="J163" s="310"/>
      <c r="K163" s="310"/>
      <c r="L163" s="310"/>
      <c r="M163" s="84"/>
      <c r="N163" s="84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>
      <c r="A164" s="12"/>
      <c r="B164" s="12"/>
      <c r="C164" s="12"/>
      <c r="D164" s="12"/>
      <c r="E164" s="310"/>
      <c r="F164" s="310"/>
      <c r="G164" s="311"/>
      <c r="H164" s="310"/>
      <c r="I164" s="310"/>
      <c r="J164" s="310"/>
      <c r="K164" s="310"/>
      <c r="L164" s="310"/>
      <c r="M164" s="84"/>
      <c r="N164" s="84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>
      <c r="A165" s="12"/>
      <c r="B165" s="12"/>
      <c r="C165" s="12"/>
      <c r="D165" s="12"/>
      <c r="E165" s="310"/>
      <c r="F165" s="310"/>
      <c r="G165" s="311"/>
      <c r="H165" s="310"/>
      <c r="I165" s="310"/>
      <c r="J165" s="310"/>
      <c r="K165" s="310"/>
      <c r="L165" s="310"/>
      <c r="M165" s="84"/>
      <c r="N165" s="84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>
      <c r="A166" s="12"/>
      <c r="B166" s="12"/>
      <c r="C166" s="12"/>
      <c r="D166" s="12"/>
      <c r="E166" s="310"/>
      <c r="F166" s="310"/>
      <c r="G166" s="311"/>
      <c r="H166" s="310"/>
      <c r="I166" s="310"/>
      <c r="J166" s="310"/>
      <c r="K166" s="310"/>
      <c r="L166" s="310"/>
      <c r="M166" s="84"/>
      <c r="N166" s="84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>
      <c r="A167" s="12"/>
      <c r="B167" s="12"/>
      <c r="C167" s="12"/>
      <c r="D167" s="12"/>
      <c r="E167" s="310"/>
      <c r="F167" s="310"/>
      <c r="G167" s="311"/>
      <c r="H167" s="310"/>
      <c r="I167" s="310"/>
      <c r="J167" s="310"/>
      <c r="K167" s="310"/>
      <c r="L167" s="310"/>
      <c r="M167" s="84"/>
      <c r="N167" s="84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>
      <c r="A168" s="12"/>
      <c r="B168" s="12"/>
      <c r="C168" s="12"/>
      <c r="D168" s="12"/>
      <c r="E168" s="310"/>
      <c r="F168" s="310"/>
      <c r="G168" s="311"/>
      <c r="H168" s="310"/>
      <c r="I168" s="310"/>
      <c r="J168" s="310"/>
      <c r="K168" s="310"/>
      <c r="L168" s="310"/>
      <c r="M168" s="84"/>
      <c r="N168" s="84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>
      <c r="A169" s="12"/>
      <c r="B169" s="12"/>
      <c r="C169" s="12"/>
      <c r="D169" s="12"/>
      <c r="E169" s="310"/>
      <c r="F169" s="310"/>
      <c r="G169" s="311"/>
      <c r="H169" s="310"/>
      <c r="I169" s="310"/>
      <c r="J169" s="310"/>
      <c r="K169" s="310"/>
      <c r="L169" s="310"/>
      <c r="M169" s="84"/>
      <c r="N169" s="84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>
      <c r="A170" s="12"/>
      <c r="B170" s="12"/>
      <c r="C170" s="12"/>
      <c r="D170" s="12"/>
      <c r="E170" s="310"/>
      <c r="F170" s="310"/>
      <c r="G170" s="311"/>
      <c r="H170" s="310"/>
      <c r="I170" s="310"/>
      <c r="J170" s="310"/>
      <c r="K170" s="310"/>
      <c r="L170" s="310"/>
      <c r="M170" s="84"/>
      <c r="N170" s="84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>
      <c r="A171" s="12"/>
      <c r="B171" s="12"/>
      <c r="C171" s="12"/>
      <c r="D171" s="12"/>
      <c r="E171" s="310"/>
      <c r="F171" s="310"/>
      <c r="G171" s="311"/>
      <c r="H171" s="310"/>
      <c r="I171" s="310"/>
      <c r="J171" s="310"/>
      <c r="K171" s="310"/>
      <c r="L171" s="310"/>
      <c r="M171" s="84"/>
      <c r="N171" s="84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>
      <c r="A172" s="12"/>
      <c r="B172" s="12"/>
      <c r="C172" s="12"/>
      <c r="D172" s="12"/>
      <c r="E172" s="310"/>
      <c r="F172" s="310"/>
      <c r="G172" s="311"/>
      <c r="H172" s="310"/>
      <c r="I172" s="310"/>
      <c r="J172" s="310"/>
      <c r="K172" s="310"/>
      <c r="L172" s="310"/>
      <c r="M172" s="84"/>
      <c r="N172" s="84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>
      <c r="A173" s="12"/>
      <c r="B173" s="12"/>
      <c r="C173" s="12"/>
      <c r="D173" s="12"/>
      <c r="E173" s="310"/>
      <c r="F173" s="310"/>
      <c r="G173" s="311"/>
      <c r="H173" s="310"/>
      <c r="I173" s="310"/>
      <c r="J173" s="310"/>
      <c r="K173" s="310"/>
      <c r="L173" s="310"/>
      <c r="M173" s="84"/>
      <c r="N173" s="84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>
      <c r="A174" s="12"/>
      <c r="B174" s="12"/>
      <c r="C174" s="12"/>
      <c r="D174" s="12"/>
      <c r="E174" s="310"/>
      <c r="F174" s="310"/>
      <c r="G174" s="311"/>
      <c r="H174" s="310"/>
      <c r="I174" s="310"/>
      <c r="J174" s="310"/>
      <c r="K174" s="310"/>
      <c r="L174" s="310"/>
      <c r="M174" s="84"/>
      <c r="N174" s="84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>
      <c r="A175" s="12"/>
      <c r="B175" s="12"/>
      <c r="C175" s="12"/>
      <c r="D175" s="12"/>
      <c r="E175" s="310"/>
      <c r="F175" s="310"/>
      <c r="G175" s="311"/>
      <c r="H175" s="310"/>
      <c r="I175" s="310"/>
      <c r="J175" s="310"/>
      <c r="K175" s="310"/>
      <c r="L175" s="310"/>
      <c r="M175" s="84"/>
      <c r="N175" s="84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>
      <c r="A176" s="12"/>
      <c r="B176" s="12"/>
      <c r="C176" s="12"/>
      <c r="D176" s="12"/>
      <c r="E176" s="310"/>
      <c r="F176" s="310"/>
      <c r="G176" s="311"/>
      <c r="H176" s="310"/>
      <c r="I176" s="310"/>
      <c r="J176" s="310"/>
      <c r="K176" s="310"/>
      <c r="L176" s="310"/>
      <c r="M176" s="84"/>
      <c r="N176" s="84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>
      <c r="A177" s="12"/>
      <c r="B177" s="12"/>
      <c r="C177" s="12"/>
      <c r="D177" s="12"/>
      <c r="E177" s="310"/>
      <c r="F177" s="310"/>
      <c r="G177" s="311"/>
      <c r="H177" s="310"/>
      <c r="I177" s="310"/>
      <c r="J177" s="310"/>
      <c r="K177" s="310"/>
      <c r="L177" s="310"/>
      <c r="M177" s="84"/>
      <c r="N177" s="84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>
      <c r="A178" s="12"/>
      <c r="B178" s="12"/>
      <c r="C178" s="12"/>
      <c r="D178" s="12"/>
      <c r="E178" s="310"/>
      <c r="F178" s="310"/>
      <c r="G178" s="311"/>
      <c r="H178" s="310"/>
      <c r="I178" s="310"/>
      <c r="J178" s="310"/>
      <c r="K178" s="310"/>
      <c r="L178" s="310"/>
      <c r="M178" s="84"/>
      <c r="N178" s="84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>
      <c r="A179" s="12"/>
      <c r="B179" s="12"/>
      <c r="C179" s="12"/>
      <c r="D179" s="12"/>
      <c r="E179" s="310"/>
      <c r="F179" s="310"/>
      <c r="G179" s="311"/>
      <c r="H179" s="310"/>
      <c r="I179" s="310"/>
      <c r="J179" s="310"/>
      <c r="K179" s="310"/>
      <c r="L179" s="310"/>
      <c r="M179" s="84"/>
      <c r="N179" s="84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>
      <c r="A180" s="12"/>
      <c r="B180" s="12"/>
      <c r="C180" s="12"/>
      <c r="D180" s="12"/>
      <c r="E180" s="310"/>
      <c r="F180" s="310"/>
      <c r="G180" s="311"/>
      <c r="H180" s="310"/>
      <c r="I180" s="310"/>
      <c r="J180" s="310"/>
      <c r="K180" s="310"/>
      <c r="L180" s="310"/>
      <c r="M180" s="84"/>
      <c r="N180" s="84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>
      <c r="A181" s="12"/>
      <c r="B181" s="12"/>
      <c r="C181" s="12"/>
      <c r="D181" s="12"/>
      <c r="E181" s="310"/>
      <c r="F181" s="310"/>
      <c r="G181" s="311"/>
      <c r="H181" s="310"/>
      <c r="I181" s="310"/>
      <c r="J181" s="310"/>
      <c r="K181" s="310"/>
      <c r="L181" s="310"/>
      <c r="M181" s="84"/>
      <c r="N181" s="84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>
      <c r="A182" s="12"/>
      <c r="B182" s="12"/>
      <c r="C182" s="12"/>
      <c r="D182" s="12"/>
      <c r="E182" s="310"/>
      <c r="F182" s="310"/>
      <c r="G182" s="311"/>
      <c r="H182" s="310"/>
      <c r="I182" s="310"/>
      <c r="J182" s="310"/>
      <c r="K182" s="310"/>
      <c r="L182" s="310"/>
      <c r="M182" s="84"/>
      <c r="N182" s="84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>
      <c r="A183" s="12"/>
      <c r="B183" s="12"/>
      <c r="C183" s="12"/>
      <c r="D183" s="12"/>
      <c r="E183" s="310"/>
      <c r="F183" s="310"/>
      <c r="G183" s="311"/>
      <c r="H183" s="310"/>
      <c r="I183" s="310"/>
      <c r="J183" s="310"/>
      <c r="K183" s="310"/>
      <c r="L183" s="310"/>
      <c r="M183" s="84"/>
      <c r="N183" s="84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>
      <c r="A184" s="12"/>
      <c r="B184" s="12"/>
      <c r="C184" s="12"/>
      <c r="D184" s="12"/>
      <c r="E184" s="310"/>
      <c r="F184" s="310"/>
      <c r="G184" s="311"/>
      <c r="H184" s="310"/>
      <c r="I184" s="310"/>
      <c r="J184" s="310"/>
      <c r="K184" s="310"/>
      <c r="L184" s="310"/>
      <c r="M184" s="84"/>
      <c r="N184" s="84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>
      <c r="A185" s="12"/>
      <c r="B185" s="12"/>
      <c r="C185" s="12"/>
      <c r="D185" s="12"/>
      <c r="E185" s="310"/>
      <c r="F185" s="310"/>
      <c r="G185" s="311"/>
      <c r="H185" s="310"/>
      <c r="I185" s="310"/>
      <c r="J185" s="310"/>
      <c r="K185" s="310"/>
      <c r="L185" s="310"/>
      <c r="M185" s="84"/>
      <c r="N185" s="84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>
      <c r="A186" s="12"/>
      <c r="B186" s="12"/>
      <c r="C186" s="12"/>
      <c r="D186" s="12"/>
      <c r="E186" s="310"/>
      <c r="F186" s="310"/>
      <c r="G186" s="311"/>
      <c r="H186" s="310"/>
      <c r="I186" s="310"/>
      <c r="J186" s="310"/>
      <c r="K186" s="310"/>
      <c r="L186" s="310"/>
      <c r="M186" s="84"/>
      <c r="N186" s="84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>
      <c r="A187" s="12"/>
      <c r="B187" s="12"/>
      <c r="C187" s="12"/>
      <c r="D187" s="12"/>
      <c r="E187" s="310"/>
      <c r="F187" s="310"/>
      <c r="G187" s="311"/>
      <c r="H187" s="310"/>
      <c r="I187" s="310"/>
      <c r="J187" s="310"/>
      <c r="K187" s="310"/>
      <c r="L187" s="310"/>
      <c r="M187" s="84"/>
      <c r="N187" s="84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>
      <c r="A188" s="12"/>
      <c r="B188" s="12"/>
      <c r="C188" s="12"/>
      <c r="D188" s="12"/>
      <c r="E188" s="310"/>
      <c r="F188" s="310"/>
      <c r="G188" s="311"/>
      <c r="H188" s="310"/>
      <c r="I188" s="310"/>
      <c r="J188" s="310"/>
      <c r="K188" s="310"/>
      <c r="L188" s="310"/>
      <c r="M188" s="84"/>
      <c r="N188" s="84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>
      <c r="A189" s="12"/>
      <c r="B189" s="12"/>
      <c r="C189" s="12"/>
      <c r="D189" s="12"/>
      <c r="E189" s="310"/>
      <c r="F189" s="310"/>
      <c r="G189" s="311"/>
      <c r="H189" s="310"/>
      <c r="I189" s="310"/>
      <c r="J189" s="310"/>
      <c r="K189" s="310"/>
      <c r="L189" s="310"/>
      <c r="M189" s="84"/>
      <c r="N189" s="84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>
      <c r="A190" s="12"/>
      <c r="B190" s="12"/>
      <c r="C190" s="12"/>
      <c r="D190" s="12"/>
      <c r="E190" s="310"/>
      <c r="F190" s="310"/>
      <c r="G190" s="311"/>
      <c r="H190" s="310"/>
      <c r="I190" s="310"/>
      <c r="J190" s="310"/>
      <c r="K190" s="310"/>
      <c r="L190" s="310"/>
      <c r="M190" s="84"/>
      <c r="N190" s="84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>
      <c r="A191" s="12"/>
      <c r="B191" s="12"/>
      <c r="C191" s="12"/>
      <c r="D191" s="12"/>
      <c r="E191" s="310"/>
      <c r="F191" s="310"/>
      <c r="G191" s="311"/>
      <c r="H191" s="310"/>
      <c r="I191" s="310"/>
      <c r="J191" s="310"/>
      <c r="K191" s="310"/>
      <c r="L191" s="310"/>
      <c r="M191" s="84"/>
      <c r="N191" s="84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>
      <c r="A192" s="12"/>
      <c r="B192" s="12"/>
      <c r="C192" s="12"/>
      <c r="D192" s="12"/>
      <c r="E192" s="310"/>
      <c r="F192" s="310"/>
      <c r="G192" s="311"/>
      <c r="H192" s="310"/>
      <c r="I192" s="310"/>
      <c r="J192" s="310"/>
      <c r="K192" s="310"/>
      <c r="L192" s="310"/>
      <c r="M192" s="84"/>
      <c r="N192" s="84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>
      <c r="A193" s="12"/>
      <c r="B193" s="12"/>
      <c r="C193" s="12"/>
      <c r="D193" s="12"/>
      <c r="E193" s="310"/>
      <c r="F193" s="310"/>
      <c r="G193" s="311"/>
      <c r="H193" s="310"/>
      <c r="I193" s="310"/>
      <c r="J193" s="310"/>
      <c r="K193" s="310"/>
      <c r="L193" s="310"/>
      <c r="M193" s="84"/>
      <c r="N193" s="84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>
      <c r="A194" s="12"/>
      <c r="B194" s="12"/>
      <c r="C194" s="12"/>
      <c r="D194" s="12"/>
      <c r="E194" s="310"/>
      <c r="F194" s="310"/>
      <c r="G194" s="311"/>
      <c r="H194" s="310"/>
      <c r="I194" s="310"/>
      <c r="J194" s="310"/>
      <c r="K194" s="310"/>
      <c r="L194" s="310"/>
      <c r="M194" s="84"/>
      <c r="N194" s="84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>
      <c r="A195" s="12"/>
      <c r="B195" s="12"/>
      <c r="C195" s="12"/>
      <c r="D195" s="12"/>
      <c r="E195" s="310"/>
      <c r="F195" s="310"/>
      <c r="G195" s="311"/>
      <c r="H195" s="310"/>
      <c r="I195" s="310"/>
      <c r="J195" s="310"/>
      <c r="K195" s="310"/>
      <c r="L195" s="310"/>
      <c r="M195" s="84"/>
      <c r="N195" s="84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>
      <c r="A196" s="12"/>
      <c r="B196" s="12"/>
      <c r="C196" s="12"/>
      <c r="D196" s="12"/>
      <c r="E196" s="310"/>
      <c r="F196" s="310"/>
      <c r="G196" s="311"/>
      <c r="H196" s="310"/>
      <c r="I196" s="310"/>
      <c r="J196" s="310"/>
      <c r="K196" s="310"/>
      <c r="L196" s="310"/>
      <c r="M196" s="84"/>
      <c r="N196" s="84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>
      <c r="A197" s="12"/>
      <c r="B197" s="12"/>
      <c r="C197" s="12"/>
      <c r="D197" s="12"/>
      <c r="E197" s="310"/>
      <c r="F197" s="310"/>
      <c r="G197" s="311"/>
      <c r="H197" s="310"/>
      <c r="I197" s="310"/>
      <c r="J197" s="310"/>
      <c r="K197" s="310"/>
      <c r="L197" s="310"/>
      <c r="M197" s="84"/>
      <c r="N197" s="84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>
      <c r="A198" s="12"/>
      <c r="B198" s="12"/>
      <c r="C198" s="12"/>
      <c r="D198" s="12"/>
      <c r="E198" s="310"/>
      <c r="F198" s="310"/>
      <c r="G198" s="311"/>
      <c r="H198" s="310"/>
      <c r="I198" s="310"/>
      <c r="J198" s="310"/>
      <c r="K198" s="310"/>
      <c r="L198" s="310"/>
      <c r="M198" s="84"/>
      <c r="N198" s="84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>
      <c r="A199" s="12"/>
      <c r="B199" s="12"/>
      <c r="C199" s="12"/>
      <c r="D199" s="12"/>
      <c r="E199" s="310"/>
      <c r="F199" s="310"/>
      <c r="G199" s="311"/>
      <c r="H199" s="310"/>
      <c r="I199" s="310"/>
      <c r="J199" s="310"/>
      <c r="K199" s="310"/>
      <c r="L199" s="310"/>
      <c r="M199" s="84"/>
      <c r="N199" s="84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>
      <c r="A200" s="12"/>
      <c r="B200" s="12"/>
      <c r="C200" s="12"/>
      <c r="D200" s="12"/>
      <c r="E200" s="310"/>
      <c r="F200" s="310"/>
      <c r="G200" s="311"/>
      <c r="H200" s="310"/>
      <c r="I200" s="310"/>
      <c r="J200" s="310"/>
      <c r="K200" s="310"/>
      <c r="L200" s="310"/>
      <c r="M200" s="84"/>
      <c r="N200" s="84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>
      <c r="A201" s="12"/>
      <c r="B201" s="12"/>
      <c r="C201" s="12"/>
      <c r="D201" s="12"/>
      <c r="E201" s="310"/>
      <c r="F201" s="310"/>
      <c r="G201" s="311"/>
      <c r="H201" s="310"/>
      <c r="I201" s="310"/>
      <c r="J201" s="310"/>
      <c r="K201" s="310"/>
      <c r="L201" s="310"/>
      <c r="M201" s="84"/>
      <c r="N201" s="84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>
      <c r="A202" s="12"/>
      <c r="B202" s="12"/>
      <c r="C202" s="12"/>
      <c r="D202" s="12"/>
      <c r="E202" s="310"/>
      <c r="F202" s="310"/>
      <c r="G202" s="311"/>
      <c r="H202" s="310"/>
      <c r="I202" s="310"/>
      <c r="J202" s="310"/>
      <c r="K202" s="310"/>
      <c r="L202" s="310"/>
      <c r="M202" s="84"/>
      <c r="N202" s="84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>
      <c r="A203" s="12"/>
      <c r="B203" s="12"/>
      <c r="C203" s="12"/>
      <c r="D203" s="12"/>
      <c r="E203" s="310"/>
      <c r="F203" s="310"/>
      <c r="G203" s="311"/>
      <c r="H203" s="310"/>
      <c r="I203" s="310"/>
      <c r="J203" s="310"/>
      <c r="K203" s="310"/>
      <c r="L203" s="310"/>
      <c r="M203" s="84"/>
      <c r="N203" s="84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>
      <c r="A204" s="12"/>
      <c r="B204" s="12"/>
      <c r="C204" s="12"/>
      <c r="D204" s="12"/>
      <c r="E204" s="310"/>
      <c r="F204" s="310"/>
      <c r="G204" s="311"/>
      <c r="H204" s="310"/>
      <c r="I204" s="310"/>
      <c r="J204" s="310"/>
      <c r="K204" s="310"/>
      <c r="L204" s="310"/>
      <c r="M204" s="84"/>
      <c r="N204" s="84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>
      <c r="A205" s="12"/>
      <c r="B205" s="12"/>
      <c r="C205" s="12"/>
      <c r="D205" s="12"/>
      <c r="E205" s="310"/>
      <c r="F205" s="310"/>
      <c r="G205" s="311"/>
      <c r="H205" s="310"/>
      <c r="I205" s="310"/>
      <c r="J205" s="310"/>
      <c r="K205" s="310"/>
      <c r="L205" s="310"/>
      <c r="M205" s="84"/>
      <c r="N205" s="84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>
      <c r="A206" s="12"/>
      <c r="B206" s="12"/>
      <c r="C206" s="12"/>
      <c r="D206" s="12"/>
      <c r="E206" s="310"/>
      <c r="F206" s="310"/>
      <c r="G206" s="311"/>
      <c r="H206" s="310"/>
      <c r="I206" s="310"/>
      <c r="J206" s="310"/>
      <c r="K206" s="310"/>
      <c r="L206" s="310"/>
      <c r="M206" s="84"/>
      <c r="N206" s="84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>
      <c r="A207" s="12"/>
      <c r="B207" s="12"/>
      <c r="C207" s="12"/>
      <c r="D207" s="12"/>
      <c r="E207" s="310"/>
      <c r="F207" s="310"/>
      <c r="G207" s="311"/>
      <c r="H207" s="310"/>
      <c r="I207" s="310"/>
      <c r="J207" s="310"/>
      <c r="K207" s="310"/>
      <c r="L207" s="310"/>
      <c r="M207" s="84"/>
      <c r="N207" s="84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>
      <c r="A208" s="12"/>
      <c r="B208" s="12"/>
      <c r="C208" s="12"/>
      <c r="D208" s="12"/>
      <c r="E208" s="310"/>
      <c r="F208" s="310"/>
      <c r="G208" s="311"/>
      <c r="H208" s="310"/>
      <c r="I208" s="310"/>
      <c r="J208" s="310"/>
      <c r="K208" s="310"/>
      <c r="L208" s="310"/>
      <c r="M208" s="84"/>
      <c r="N208" s="84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>
      <c r="A209" s="12"/>
      <c r="B209" s="12"/>
      <c r="C209" s="12"/>
      <c r="D209" s="12"/>
      <c r="E209" s="310"/>
      <c r="F209" s="310"/>
      <c r="G209" s="311"/>
      <c r="H209" s="310"/>
      <c r="I209" s="310"/>
      <c r="J209" s="310"/>
      <c r="K209" s="310"/>
      <c r="L209" s="310"/>
      <c r="M209" s="84"/>
      <c r="N209" s="84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>
      <c r="A210" s="12"/>
      <c r="B210" s="12"/>
      <c r="C210" s="12"/>
      <c r="D210" s="12"/>
      <c r="E210" s="310"/>
      <c r="F210" s="310"/>
      <c r="G210" s="311"/>
      <c r="H210" s="310"/>
      <c r="I210" s="310"/>
      <c r="J210" s="310"/>
      <c r="K210" s="310"/>
      <c r="L210" s="310"/>
      <c r="M210" s="84"/>
      <c r="N210" s="84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>
      <c r="A211" s="12"/>
      <c r="B211" s="12"/>
      <c r="C211" s="12"/>
      <c r="D211" s="12"/>
      <c r="E211" s="310"/>
      <c r="F211" s="310"/>
      <c r="G211" s="311"/>
      <c r="H211" s="310"/>
      <c r="I211" s="310"/>
      <c r="J211" s="310"/>
      <c r="K211" s="310"/>
      <c r="L211" s="310"/>
      <c r="M211" s="84"/>
      <c r="N211" s="84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>
      <c r="A212" s="12"/>
      <c r="B212" s="12"/>
      <c r="C212" s="12"/>
      <c r="D212" s="12"/>
      <c r="E212" s="310"/>
      <c r="F212" s="310"/>
      <c r="G212" s="311"/>
      <c r="H212" s="310"/>
      <c r="I212" s="310"/>
      <c r="J212" s="310"/>
      <c r="K212" s="310"/>
      <c r="L212" s="310"/>
      <c r="M212" s="84"/>
      <c r="N212" s="84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>
      <c r="A213" s="12"/>
      <c r="B213" s="12"/>
      <c r="C213" s="12"/>
      <c r="D213" s="12"/>
      <c r="E213" s="310"/>
      <c r="F213" s="310"/>
      <c r="G213" s="311"/>
      <c r="H213" s="310"/>
      <c r="I213" s="310"/>
      <c r="J213" s="310"/>
      <c r="K213" s="310"/>
      <c r="L213" s="310"/>
      <c r="M213" s="84"/>
      <c r="N213" s="84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>
      <c r="A214" s="12"/>
      <c r="B214" s="12"/>
      <c r="C214" s="12"/>
      <c r="D214" s="12"/>
      <c r="E214" s="310"/>
      <c r="F214" s="310"/>
      <c r="G214" s="311"/>
      <c r="H214" s="310"/>
      <c r="I214" s="310"/>
      <c r="J214" s="310"/>
      <c r="K214" s="310"/>
      <c r="L214" s="310"/>
      <c r="M214" s="84"/>
      <c r="N214" s="84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>
      <c r="A215" s="12"/>
      <c r="B215" s="12"/>
      <c r="C215" s="12"/>
      <c r="D215" s="12"/>
      <c r="E215" s="310"/>
      <c r="F215" s="310"/>
      <c r="G215" s="311"/>
      <c r="H215" s="310"/>
      <c r="I215" s="310"/>
      <c r="J215" s="310"/>
      <c r="K215" s="310"/>
      <c r="L215" s="310"/>
      <c r="M215" s="84"/>
      <c r="N215" s="84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>
      <c r="A216" s="12"/>
      <c r="B216" s="12"/>
      <c r="C216" s="12"/>
      <c r="D216" s="12"/>
      <c r="E216" s="310"/>
      <c r="F216" s="310"/>
      <c r="G216" s="311"/>
      <c r="H216" s="310"/>
      <c r="I216" s="310"/>
      <c r="J216" s="310"/>
      <c r="K216" s="310"/>
      <c r="L216" s="310"/>
      <c r="M216" s="84"/>
      <c r="N216" s="84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>
      <c r="A217" s="12"/>
      <c r="B217" s="12"/>
      <c r="C217" s="12"/>
      <c r="D217" s="12"/>
      <c r="E217" s="310"/>
      <c r="F217" s="310"/>
      <c r="G217" s="311"/>
      <c r="H217" s="310"/>
      <c r="I217" s="310"/>
      <c r="J217" s="310"/>
      <c r="K217" s="310"/>
      <c r="L217" s="310"/>
      <c r="M217" s="84"/>
      <c r="N217" s="84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>
      <c r="A218" s="12"/>
      <c r="B218" s="12"/>
      <c r="C218" s="12"/>
      <c r="D218" s="12"/>
      <c r="E218" s="310"/>
      <c r="F218" s="310"/>
      <c r="G218" s="311"/>
      <c r="H218" s="310"/>
      <c r="I218" s="310"/>
      <c r="J218" s="310"/>
      <c r="K218" s="310"/>
      <c r="L218" s="310"/>
      <c r="M218" s="84"/>
      <c r="N218" s="84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>
      <c r="A219" s="12"/>
      <c r="B219" s="12"/>
      <c r="C219" s="12"/>
      <c r="D219" s="12"/>
      <c r="E219" s="310"/>
      <c r="F219" s="310"/>
      <c r="G219" s="311"/>
      <c r="H219" s="310"/>
      <c r="I219" s="310"/>
      <c r="J219" s="310"/>
      <c r="K219" s="310"/>
      <c r="L219" s="310"/>
      <c r="M219" s="84"/>
      <c r="N219" s="84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>
      <c r="A220" s="12"/>
      <c r="B220" s="12"/>
      <c r="C220" s="12"/>
      <c r="D220" s="12"/>
      <c r="E220" s="310"/>
      <c r="F220" s="310"/>
      <c r="G220" s="311"/>
      <c r="H220" s="310"/>
      <c r="I220" s="310"/>
      <c r="J220" s="310"/>
      <c r="K220" s="310"/>
      <c r="L220" s="310"/>
      <c r="M220" s="84"/>
      <c r="N220" s="84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>
      <c r="A221" s="12"/>
      <c r="B221" s="12"/>
      <c r="C221" s="12"/>
      <c r="D221" s="12"/>
      <c r="E221" s="310"/>
      <c r="F221" s="310"/>
      <c r="G221" s="311"/>
      <c r="H221" s="310"/>
      <c r="I221" s="310"/>
      <c r="J221" s="310"/>
      <c r="K221" s="310"/>
      <c r="L221" s="310"/>
      <c r="M221" s="84"/>
      <c r="N221" s="84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1:33">
      <c r="A222" s="12"/>
      <c r="B222" s="12"/>
      <c r="C222" s="12"/>
      <c r="D222" s="12"/>
      <c r="E222" s="310"/>
      <c r="F222" s="310"/>
      <c r="G222" s="311"/>
      <c r="H222" s="310"/>
      <c r="I222" s="310"/>
      <c r="J222" s="310"/>
      <c r="K222" s="310"/>
      <c r="L222" s="310"/>
      <c r="M222" s="84"/>
      <c r="N222" s="84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>
      <c r="A223" s="12"/>
      <c r="B223" s="12"/>
      <c r="C223" s="12"/>
      <c r="D223" s="12"/>
      <c r="E223" s="310"/>
      <c r="F223" s="310"/>
      <c r="G223" s="311"/>
      <c r="H223" s="310"/>
      <c r="I223" s="310"/>
      <c r="J223" s="310"/>
      <c r="K223" s="310"/>
      <c r="L223" s="310"/>
      <c r="M223" s="84"/>
      <c r="N223" s="84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>
      <c r="A224" s="12"/>
      <c r="B224" s="12"/>
      <c r="C224" s="12"/>
      <c r="D224" s="12"/>
      <c r="E224" s="310"/>
      <c r="F224" s="310"/>
      <c r="G224" s="311"/>
      <c r="H224" s="310"/>
      <c r="I224" s="310"/>
      <c r="J224" s="310"/>
      <c r="K224" s="310"/>
      <c r="L224" s="310"/>
      <c r="M224" s="84"/>
      <c r="N224" s="84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>
      <c r="A225" s="12"/>
      <c r="B225" s="12"/>
      <c r="C225" s="12"/>
      <c r="D225" s="12"/>
      <c r="E225" s="310"/>
      <c r="F225" s="310"/>
      <c r="G225" s="311"/>
      <c r="H225" s="310"/>
      <c r="I225" s="310"/>
      <c r="J225" s="310"/>
      <c r="K225" s="310"/>
      <c r="L225" s="310"/>
      <c r="M225" s="84"/>
      <c r="N225" s="84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>
      <c r="A226" s="12"/>
      <c r="B226" s="12"/>
      <c r="C226" s="12"/>
      <c r="D226" s="12"/>
      <c r="E226" s="310"/>
      <c r="F226" s="310"/>
      <c r="G226" s="311"/>
      <c r="H226" s="310"/>
      <c r="I226" s="310"/>
      <c r="J226" s="310"/>
      <c r="K226" s="310"/>
      <c r="L226" s="310"/>
      <c r="M226" s="84"/>
      <c r="N226" s="84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>
      <c r="A227" s="12"/>
      <c r="B227" s="12"/>
      <c r="C227" s="12"/>
      <c r="D227" s="12"/>
      <c r="E227" s="310"/>
      <c r="F227" s="310"/>
      <c r="G227" s="311"/>
      <c r="H227" s="310"/>
      <c r="I227" s="310"/>
      <c r="J227" s="310"/>
      <c r="K227" s="310"/>
      <c r="L227" s="310"/>
      <c r="M227" s="84"/>
      <c r="N227" s="84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>
      <c r="A228" s="12"/>
      <c r="B228" s="12"/>
      <c r="C228" s="12"/>
      <c r="D228" s="12"/>
      <c r="E228" s="310"/>
      <c r="F228" s="310"/>
      <c r="G228" s="311"/>
      <c r="H228" s="310"/>
      <c r="I228" s="310"/>
      <c r="J228" s="310"/>
      <c r="K228" s="310"/>
      <c r="L228" s="310"/>
      <c r="M228" s="84"/>
      <c r="N228" s="84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>
      <c r="A229" s="12"/>
      <c r="B229" s="12"/>
      <c r="C229" s="12"/>
      <c r="D229" s="12"/>
      <c r="E229" s="310"/>
      <c r="F229" s="310"/>
      <c r="G229" s="311"/>
      <c r="H229" s="310"/>
      <c r="I229" s="310"/>
      <c r="J229" s="310"/>
      <c r="K229" s="310"/>
      <c r="L229" s="310"/>
      <c r="M229" s="84"/>
      <c r="N229" s="84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>
      <c r="A230" s="12"/>
      <c r="B230" s="12"/>
      <c r="C230" s="12"/>
      <c r="D230" s="12"/>
      <c r="E230" s="310"/>
      <c r="F230" s="310"/>
      <c r="G230" s="311"/>
      <c r="H230" s="310"/>
      <c r="I230" s="310"/>
      <c r="J230" s="310"/>
      <c r="K230" s="310"/>
      <c r="L230" s="310"/>
      <c r="M230" s="84"/>
      <c r="N230" s="84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>
      <c r="A231" s="12"/>
      <c r="B231" s="12"/>
      <c r="C231" s="12"/>
      <c r="D231" s="12"/>
      <c r="E231" s="310"/>
      <c r="F231" s="310"/>
      <c r="G231" s="311"/>
      <c r="H231" s="310"/>
      <c r="I231" s="310"/>
      <c r="J231" s="310"/>
      <c r="K231" s="310"/>
      <c r="L231" s="310"/>
      <c r="M231" s="84"/>
      <c r="N231" s="84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>
      <c r="A232" s="12"/>
      <c r="B232" s="12"/>
      <c r="C232" s="12"/>
      <c r="D232" s="12"/>
      <c r="E232" s="310"/>
      <c r="F232" s="310"/>
      <c r="G232" s="311"/>
      <c r="H232" s="310"/>
      <c r="I232" s="310"/>
      <c r="J232" s="310"/>
      <c r="K232" s="310"/>
      <c r="L232" s="310"/>
      <c r="M232" s="84"/>
      <c r="N232" s="84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>
      <c r="A233" s="12"/>
      <c r="B233" s="12"/>
      <c r="C233" s="12"/>
      <c r="D233" s="12"/>
      <c r="E233" s="310"/>
      <c r="F233" s="310"/>
      <c r="G233" s="311"/>
      <c r="H233" s="310"/>
      <c r="I233" s="310"/>
      <c r="J233" s="310"/>
      <c r="K233" s="310"/>
      <c r="L233" s="310"/>
      <c r="M233" s="84"/>
      <c r="N233" s="84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>
      <c r="A234" s="12"/>
      <c r="B234" s="12"/>
      <c r="C234" s="12"/>
      <c r="D234" s="12"/>
      <c r="E234" s="310"/>
      <c r="F234" s="310"/>
      <c r="G234" s="311"/>
      <c r="H234" s="310"/>
      <c r="I234" s="310"/>
      <c r="J234" s="310"/>
      <c r="K234" s="310"/>
      <c r="L234" s="310"/>
      <c r="M234" s="84"/>
      <c r="N234" s="84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>
      <c r="A235" s="12"/>
      <c r="B235" s="12"/>
      <c r="C235" s="12"/>
      <c r="D235" s="12"/>
      <c r="E235" s="310"/>
      <c r="F235" s="310"/>
      <c r="G235" s="311"/>
      <c r="H235" s="310"/>
      <c r="I235" s="310"/>
      <c r="J235" s="310"/>
      <c r="K235" s="310"/>
      <c r="L235" s="310"/>
      <c r="M235" s="84"/>
      <c r="N235" s="84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>
      <c r="A236" s="12"/>
      <c r="B236" s="12"/>
      <c r="C236" s="12"/>
      <c r="D236" s="12"/>
      <c r="E236" s="310"/>
      <c r="F236" s="310"/>
      <c r="G236" s="311"/>
      <c r="H236" s="310"/>
      <c r="I236" s="310"/>
      <c r="J236" s="310"/>
      <c r="K236" s="310"/>
      <c r="L236" s="310"/>
      <c r="M236" s="84"/>
      <c r="N236" s="84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>
      <c r="A237" s="12"/>
      <c r="B237" s="12"/>
      <c r="C237" s="12"/>
      <c r="D237" s="12"/>
      <c r="E237" s="310"/>
      <c r="F237" s="310"/>
      <c r="G237" s="311"/>
      <c r="H237" s="310"/>
      <c r="I237" s="310"/>
      <c r="J237" s="310"/>
      <c r="K237" s="310"/>
      <c r="L237" s="310"/>
      <c r="M237" s="84"/>
      <c r="N237" s="84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>
      <c r="A238" s="12"/>
      <c r="B238" s="12"/>
      <c r="C238" s="12"/>
      <c r="D238" s="12"/>
      <c r="E238" s="310"/>
      <c r="F238" s="310"/>
      <c r="G238" s="311"/>
      <c r="H238" s="310"/>
      <c r="I238" s="310"/>
      <c r="J238" s="310"/>
      <c r="K238" s="310"/>
      <c r="L238" s="310"/>
      <c r="M238" s="84"/>
      <c r="N238" s="84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>
      <c r="A239" s="12"/>
      <c r="B239" s="12"/>
      <c r="C239" s="12"/>
      <c r="D239" s="12"/>
      <c r="E239" s="310"/>
      <c r="F239" s="310"/>
      <c r="G239" s="311"/>
      <c r="H239" s="310"/>
      <c r="I239" s="310"/>
      <c r="J239" s="310"/>
      <c r="K239" s="310"/>
      <c r="L239" s="310"/>
      <c r="M239" s="84"/>
      <c r="N239" s="84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>
      <c r="A240" s="12"/>
      <c r="B240" s="12"/>
      <c r="C240" s="12"/>
      <c r="D240" s="12"/>
      <c r="E240" s="310"/>
      <c r="F240" s="310"/>
      <c r="G240" s="311"/>
      <c r="H240" s="310"/>
      <c r="I240" s="310"/>
      <c r="J240" s="310"/>
      <c r="K240" s="310"/>
      <c r="L240" s="310"/>
      <c r="M240" s="84"/>
      <c r="N240" s="84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>
      <c r="A241" s="12"/>
      <c r="B241" s="12"/>
      <c r="C241" s="12"/>
      <c r="D241" s="12"/>
      <c r="E241" s="310"/>
      <c r="F241" s="310"/>
      <c r="G241" s="311"/>
      <c r="H241" s="310"/>
      <c r="I241" s="310"/>
      <c r="J241" s="310"/>
      <c r="K241" s="310"/>
      <c r="L241" s="310"/>
      <c r="M241" s="84"/>
      <c r="N241" s="84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>
      <c r="A242" s="12"/>
      <c r="B242" s="12"/>
      <c r="C242" s="12"/>
      <c r="D242" s="12"/>
      <c r="E242" s="310"/>
      <c r="F242" s="310"/>
      <c r="G242" s="311"/>
      <c r="H242" s="310"/>
      <c r="I242" s="310"/>
      <c r="J242" s="310"/>
      <c r="K242" s="310"/>
      <c r="L242" s="310"/>
      <c r="M242" s="84"/>
      <c r="N242" s="84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>
      <c r="A243" s="12"/>
      <c r="B243" s="12"/>
      <c r="C243" s="12"/>
      <c r="D243" s="12"/>
      <c r="E243" s="310"/>
      <c r="F243" s="310"/>
      <c r="G243" s="311"/>
      <c r="H243" s="310"/>
      <c r="I243" s="310"/>
      <c r="J243" s="310"/>
      <c r="K243" s="310"/>
      <c r="L243" s="310"/>
      <c r="M243" s="84"/>
      <c r="N243" s="84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>
      <c r="A244" s="12"/>
      <c r="B244" s="12"/>
      <c r="C244" s="12"/>
      <c r="D244" s="12"/>
      <c r="E244" s="310"/>
      <c r="F244" s="310"/>
      <c r="G244" s="311"/>
      <c r="H244" s="310"/>
      <c r="I244" s="310"/>
      <c r="J244" s="310"/>
      <c r="K244" s="310"/>
      <c r="L244" s="310"/>
      <c r="M244" s="84"/>
      <c r="N244" s="84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>
      <c r="A245" s="12"/>
      <c r="B245" s="12"/>
      <c r="C245" s="12"/>
      <c r="D245" s="12"/>
      <c r="E245" s="310"/>
      <c r="F245" s="310"/>
      <c r="G245" s="311"/>
      <c r="H245" s="310"/>
      <c r="I245" s="310"/>
      <c r="J245" s="310"/>
      <c r="K245" s="310"/>
      <c r="L245" s="310"/>
      <c r="M245" s="84"/>
      <c r="N245" s="84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>
      <c r="A246" s="12"/>
      <c r="B246" s="12"/>
      <c r="C246" s="12"/>
      <c r="D246" s="12"/>
      <c r="E246" s="310"/>
      <c r="F246" s="310"/>
      <c r="G246" s="311"/>
      <c r="H246" s="310"/>
      <c r="I246" s="310"/>
      <c r="J246" s="310"/>
      <c r="K246" s="310"/>
      <c r="L246" s="310"/>
      <c r="M246" s="84"/>
      <c r="N246" s="84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>
      <c r="A247" s="12"/>
      <c r="B247" s="12"/>
      <c r="C247" s="12"/>
      <c r="D247" s="12"/>
      <c r="E247" s="310"/>
      <c r="F247" s="310"/>
      <c r="G247" s="311"/>
      <c r="H247" s="310"/>
      <c r="I247" s="310"/>
      <c r="J247" s="310"/>
      <c r="K247" s="310"/>
      <c r="L247" s="310"/>
      <c r="M247" s="84"/>
      <c r="N247" s="84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>
      <c r="A248" s="12"/>
      <c r="B248" s="12"/>
      <c r="C248" s="12"/>
      <c r="D248" s="12"/>
      <c r="E248" s="310"/>
      <c r="F248" s="310"/>
      <c r="G248" s="311"/>
      <c r="H248" s="310"/>
      <c r="I248" s="310"/>
      <c r="J248" s="310"/>
      <c r="K248" s="310"/>
      <c r="L248" s="310"/>
      <c r="M248" s="84"/>
      <c r="N248" s="84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>
      <c r="A249" s="12"/>
      <c r="B249" s="12"/>
      <c r="C249" s="12"/>
      <c r="D249" s="12"/>
      <c r="E249" s="310"/>
      <c r="F249" s="310"/>
      <c r="G249" s="311"/>
      <c r="H249" s="310"/>
      <c r="I249" s="310"/>
      <c r="J249" s="310"/>
      <c r="K249" s="310"/>
      <c r="L249" s="310"/>
      <c r="M249" s="84"/>
      <c r="N249" s="84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>
      <c r="A250" s="12"/>
      <c r="B250" s="12"/>
      <c r="C250" s="12"/>
      <c r="D250" s="12"/>
      <c r="E250" s="310"/>
      <c r="F250" s="310"/>
      <c r="G250" s="311"/>
      <c r="H250" s="310"/>
      <c r="I250" s="310"/>
      <c r="J250" s="310"/>
      <c r="K250" s="310"/>
      <c r="L250" s="310"/>
      <c r="M250" s="84"/>
      <c r="N250" s="84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>
      <c r="A251" s="12"/>
      <c r="B251" s="12"/>
      <c r="C251" s="12"/>
      <c r="D251" s="12"/>
      <c r="E251" s="310"/>
      <c r="F251" s="310"/>
      <c r="G251" s="311"/>
      <c r="H251" s="310"/>
      <c r="I251" s="310"/>
      <c r="J251" s="310"/>
      <c r="K251" s="310"/>
      <c r="L251" s="310"/>
      <c r="M251" s="84"/>
      <c r="N251" s="84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>
      <c r="A252" s="12"/>
      <c r="B252" s="12"/>
      <c r="C252" s="12"/>
      <c r="D252" s="12"/>
      <c r="E252" s="310"/>
      <c r="F252" s="310"/>
      <c r="G252" s="311"/>
      <c r="H252" s="310"/>
      <c r="I252" s="310"/>
      <c r="J252" s="310"/>
      <c r="K252" s="310"/>
      <c r="L252" s="310"/>
      <c r="M252" s="84"/>
      <c r="N252" s="84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>
      <c r="A253" s="12"/>
      <c r="B253" s="12"/>
      <c r="C253" s="12"/>
      <c r="D253" s="12"/>
      <c r="E253" s="310"/>
      <c r="F253" s="310"/>
      <c r="G253" s="311"/>
      <c r="H253" s="310"/>
      <c r="I253" s="310"/>
      <c r="J253" s="310"/>
      <c r="K253" s="310"/>
      <c r="L253" s="310"/>
      <c r="M253" s="84"/>
      <c r="N253" s="84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>
      <c r="A254" s="12"/>
      <c r="B254" s="12"/>
      <c r="C254" s="12"/>
      <c r="D254" s="12"/>
      <c r="E254" s="310"/>
      <c r="F254" s="310"/>
      <c r="G254" s="311"/>
      <c r="H254" s="310"/>
      <c r="I254" s="310"/>
      <c r="J254" s="310"/>
      <c r="K254" s="310"/>
      <c r="L254" s="310"/>
      <c r="M254" s="84"/>
      <c r="N254" s="84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>
      <c r="A255" s="12"/>
      <c r="B255" s="12"/>
      <c r="C255" s="12"/>
      <c r="D255" s="12"/>
      <c r="E255" s="310"/>
      <c r="F255" s="310"/>
      <c r="G255" s="311"/>
      <c r="H255" s="310"/>
      <c r="I255" s="310"/>
      <c r="J255" s="310"/>
      <c r="K255" s="310"/>
      <c r="L255" s="310"/>
      <c r="M255" s="84"/>
      <c r="N255" s="84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>
      <c r="A256" s="12"/>
      <c r="B256" s="12"/>
      <c r="C256" s="12"/>
      <c r="D256" s="12"/>
      <c r="E256" s="310"/>
      <c r="F256" s="310"/>
      <c r="G256" s="311"/>
      <c r="H256" s="310"/>
      <c r="I256" s="310"/>
      <c r="J256" s="310"/>
      <c r="K256" s="310"/>
      <c r="L256" s="310"/>
      <c r="M256" s="84"/>
      <c r="N256" s="84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>
      <c r="A257" s="12"/>
      <c r="B257" s="12"/>
      <c r="C257" s="12"/>
      <c r="D257" s="12"/>
      <c r="E257" s="310"/>
      <c r="F257" s="310"/>
      <c r="G257" s="311"/>
      <c r="H257" s="310"/>
      <c r="I257" s="310"/>
      <c r="J257" s="310"/>
      <c r="K257" s="310"/>
      <c r="L257" s="310"/>
      <c r="M257" s="84"/>
      <c r="N257" s="84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1:33">
      <c r="A258" s="12"/>
      <c r="B258" s="12"/>
      <c r="C258" s="12"/>
      <c r="D258" s="12"/>
      <c r="E258" s="310"/>
      <c r="F258" s="310"/>
      <c r="G258" s="311"/>
      <c r="H258" s="310"/>
      <c r="I258" s="310"/>
      <c r="J258" s="310"/>
      <c r="K258" s="310"/>
      <c r="L258" s="310"/>
      <c r="M258" s="84"/>
      <c r="N258" s="84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1:33">
      <c r="A259" s="12"/>
      <c r="B259" s="12"/>
      <c r="C259" s="12"/>
      <c r="D259" s="12"/>
      <c r="E259" s="310"/>
      <c r="F259" s="310"/>
      <c r="G259" s="311"/>
      <c r="H259" s="310"/>
      <c r="I259" s="310"/>
      <c r="J259" s="310"/>
      <c r="K259" s="310"/>
      <c r="L259" s="310"/>
      <c r="M259" s="84"/>
      <c r="N259" s="84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1:33">
      <c r="A260" s="12"/>
      <c r="B260" s="12"/>
      <c r="C260" s="12"/>
      <c r="D260" s="12"/>
      <c r="E260" s="310"/>
      <c r="F260" s="310"/>
      <c r="G260" s="311"/>
      <c r="H260" s="310"/>
      <c r="I260" s="310"/>
      <c r="J260" s="310"/>
      <c r="K260" s="310"/>
      <c r="L260" s="310"/>
      <c r="M260" s="84"/>
      <c r="N260" s="84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1:33">
      <c r="A261" s="12"/>
      <c r="B261" s="12"/>
      <c r="C261" s="12"/>
      <c r="D261" s="12"/>
      <c r="E261" s="310"/>
      <c r="F261" s="310"/>
      <c r="G261" s="311"/>
      <c r="H261" s="310"/>
      <c r="I261" s="310"/>
      <c r="J261" s="310"/>
      <c r="K261" s="310"/>
      <c r="L261" s="310"/>
      <c r="M261" s="84"/>
      <c r="N261" s="84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1:33">
      <c r="A262" s="12"/>
      <c r="B262" s="12"/>
      <c r="C262" s="12"/>
      <c r="D262" s="12"/>
      <c r="E262" s="310"/>
      <c r="F262" s="310"/>
      <c r="G262" s="311"/>
      <c r="H262" s="310"/>
      <c r="I262" s="310"/>
      <c r="J262" s="310"/>
      <c r="K262" s="310"/>
      <c r="L262" s="310"/>
      <c r="M262" s="84"/>
      <c r="N262" s="84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1:33">
      <c r="A263" s="12"/>
      <c r="B263" s="12"/>
      <c r="C263" s="12"/>
      <c r="D263" s="12"/>
      <c r="E263" s="310"/>
      <c r="F263" s="310"/>
      <c r="G263" s="311"/>
      <c r="H263" s="310"/>
      <c r="I263" s="310"/>
      <c r="J263" s="310"/>
      <c r="K263" s="310"/>
      <c r="L263" s="310"/>
      <c r="M263" s="84"/>
      <c r="N263" s="84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>
      <c r="A264" s="12"/>
      <c r="B264" s="12"/>
      <c r="C264" s="12"/>
      <c r="D264" s="12"/>
      <c r="E264" s="310"/>
      <c r="F264" s="310"/>
      <c r="G264" s="311"/>
      <c r="H264" s="310"/>
      <c r="I264" s="310"/>
      <c r="J264" s="310"/>
      <c r="K264" s="310"/>
      <c r="L264" s="310"/>
      <c r="M264" s="84"/>
      <c r="N264" s="84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</sheetData>
  <mergeCells count="48">
    <mergeCell ref="U1:Y1"/>
    <mergeCell ref="A44:B44"/>
    <mergeCell ref="A40:B40"/>
    <mergeCell ref="K4:L4"/>
    <mergeCell ref="C2:F2"/>
    <mergeCell ref="A39:B39"/>
    <mergeCell ref="K3:L3"/>
    <mergeCell ref="K1:M1"/>
    <mergeCell ref="X4:Y4"/>
    <mergeCell ref="A20:B20"/>
    <mergeCell ref="A35:B35"/>
    <mergeCell ref="N40:O40"/>
    <mergeCell ref="A43:B43"/>
    <mergeCell ref="N41:O41"/>
    <mergeCell ref="A1:B1"/>
    <mergeCell ref="N1:S1"/>
    <mergeCell ref="A47:E47"/>
    <mergeCell ref="C1:F1"/>
    <mergeCell ref="A34:C34"/>
    <mergeCell ref="N38:Q38"/>
    <mergeCell ref="P2:S2"/>
    <mergeCell ref="H3:I3"/>
    <mergeCell ref="H1:J1"/>
    <mergeCell ref="N39:O39"/>
    <mergeCell ref="A45:D45"/>
    <mergeCell ref="A26:B26"/>
    <mergeCell ref="N44:O44"/>
    <mergeCell ref="C4:F4"/>
    <mergeCell ref="A33:B33"/>
    <mergeCell ref="A42:B42"/>
    <mergeCell ref="A38:D38"/>
    <mergeCell ref="N47:R47"/>
    <mergeCell ref="N37:O37"/>
    <mergeCell ref="N45:Q45"/>
    <mergeCell ref="A16:B16"/>
    <mergeCell ref="C3:F3"/>
    <mergeCell ref="N43:O43"/>
    <mergeCell ref="A41:B41"/>
    <mergeCell ref="A37:B37"/>
    <mergeCell ref="N42:O42"/>
    <mergeCell ref="P4:S4"/>
    <mergeCell ref="N33:O33"/>
    <mergeCell ref="N34:P34"/>
    <mergeCell ref="N26:O26"/>
    <mergeCell ref="N35:O35"/>
    <mergeCell ref="N20:O20"/>
    <mergeCell ref="N16:O16"/>
    <mergeCell ref="P3:S3"/>
  </mergeCells>
  <pageMargins left="0.25" right="0.25" top="0.75" bottom="0.75" header="0.3" footer="0.3"/>
  <pageSetup paperSize="9" scale="2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5"/>
  <sheetViews>
    <sheetView tabSelected="1" topLeftCell="R1" zoomScaleNormal="100" workbookViewId="0">
      <selection activeCell="U1" activeCellId="3" sqref="W1:W1048576 X1:X1048576 V1:V1048576 U1:U1048576"/>
    </sheetView>
  </sheetViews>
  <sheetFormatPr baseColWidth="10" defaultColWidth="8.6640625" defaultRowHeight="16.25" customHeight="1"/>
  <cols>
    <col min="1" max="2" width="15.6640625" style="93" customWidth="1"/>
    <col min="3" max="3" width="11.1640625" style="93" customWidth="1"/>
    <col min="4" max="4" width="12.83203125" style="93" bestFit="1" customWidth="1"/>
    <col min="5" max="5" width="14.83203125" style="93" customWidth="1"/>
    <col min="6" max="6" width="11.1640625" style="93" bestFit="1" customWidth="1"/>
    <col min="7" max="7" width="11.33203125" style="93" bestFit="1" customWidth="1"/>
    <col min="8" max="8" width="56.6640625" style="117" customWidth="1"/>
    <col min="9" max="9" width="23.1640625" style="93" customWidth="1"/>
    <col min="10" max="10" width="9" style="93" bestFit="1" customWidth="1"/>
    <col min="11" max="11" width="11.6640625" style="93" bestFit="1" customWidth="1"/>
    <col min="12" max="12" width="13.33203125" style="312" bestFit="1" customWidth="1"/>
    <col min="13" max="13" width="6.83203125" style="93" bestFit="1" customWidth="1"/>
    <col min="14" max="14" width="11.1640625" style="93" customWidth="1"/>
    <col min="15" max="15" width="15" style="93" bestFit="1" customWidth="1"/>
    <col min="16" max="16" width="11.1640625" style="93" bestFit="1" customWidth="1"/>
    <col min="17" max="17" width="11" style="93" customWidth="1"/>
    <col min="18" max="18" width="15.83203125" style="93" bestFit="1" customWidth="1"/>
    <col min="19" max="19" width="15.6640625" style="93" bestFit="1" customWidth="1"/>
    <col min="20" max="20" width="15.83203125" style="313" bestFit="1" customWidth="1"/>
    <col min="21" max="16384" width="8.6640625" style="94"/>
  </cols>
  <sheetData>
    <row r="1" spans="1:20" ht="16.25" customHeight="1" thickBot="1">
      <c r="L1" s="314">
        <f>SUBTOTAL(9,L4:L163)</f>
        <v>3764223.4018999999</v>
      </c>
      <c r="M1" s="312">
        <v>0.01</v>
      </c>
      <c r="O1" s="315">
        <f>SUBTOTAL(9,O4:O163)</f>
        <v>132796.41472568785</v>
      </c>
      <c r="R1" s="316">
        <f>SUBTOTAL(9,R4:R164)</f>
        <v>80294.687705817458</v>
      </c>
      <c r="S1" s="316"/>
    </row>
    <row r="2" spans="1:20" ht="16.25" customHeight="1" thickBot="1">
      <c r="A2" s="95"/>
      <c r="B2" s="95">
        <v>1</v>
      </c>
      <c r="C2" s="96">
        <v>2</v>
      </c>
      <c r="D2" s="96">
        <v>3</v>
      </c>
      <c r="E2" s="96" t="s">
        <v>91</v>
      </c>
      <c r="F2" s="96">
        <v>5</v>
      </c>
      <c r="G2" s="96">
        <v>6</v>
      </c>
      <c r="H2" s="118">
        <v>7</v>
      </c>
      <c r="I2" s="96">
        <v>8</v>
      </c>
      <c r="J2" s="96">
        <v>9</v>
      </c>
      <c r="K2" s="97">
        <v>10</v>
      </c>
      <c r="L2" s="97">
        <v>11</v>
      </c>
      <c r="M2" s="96">
        <v>12</v>
      </c>
      <c r="N2" s="96">
        <v>13</v>
      </c>
      <c r="O2" s="96">
        <v>14</v>
      </c>
      <c r="P2" s="98">
        <v>15</v>
      </c>
      <c r="Q2" s="99"/>
      <c r="R2" s="100">
        <v>16</v>
      </c>
      <c r="S2" s="100"/>
      <c r="T2" s="317"/>
    </row>
    <row r="3" spans="1:20" ht="16.25" customHeight="1">
      <c r="A3" s="101"/>
      <c r="B3" s="101" t="s">
        <v>92</v>
      </c>
      <c r="C3" s="102" t="s">
        <v>93</v>
      </c>
      <c r="D3" s="103" t="s">
        <v>94</v>
      </c>
      <c r="E3" s="103" t="s">
        <v>95</v>
      </c>
      <c r="F3" s="104" t="s">
        <v>96</v>
      </c>
      <c r="G3" s="105" t="s">
        <v>97</v>
      </c>
      <c r="H3" s="119" t="s">
        <v>98</v>
      </c>
      <c r="I3" s="106" t="s">
        <v>99</v>
      </c>
      <c r="J3" s="106" t="s">
        <v>100</v>
      </c>
      <c r="K3" s="107" t="s">
        <v>101</v>
      </c>
      <c r="L3" s="107" t="s">
        <v>102</v>
      </c>
      <c r="M3" s="108" t="s">
        <v>103</v>
      </c>
      <c r="N3" s="106" t="s">
        <v>104</v>
      </c>
      <c r="O3" s="318" t="s">
        <v>105</v>
      </c>
      <c r="P3" s="109" t="s">
        <v>106</v>
      </c>
      <c r="Q3" s="110" t="s">
        <v>107</v>
      </c>
      <c r="R3" s="106" t="s">
        <v>108</v>
      </c>
      <c r="S3" s="106" t="s">
        <v>109</v>
      </c>
      <c r="T3" s="319" t="s">
        <v>110</v>
      </c>
    </row>
    <row r="4" spans="1:20" ht="16.25" customHeight="1">
      <c r="A4" s="111">
        <v>1</v>
      </c>
      <c r="B4" s="111" t="s">
        <v>111</v>
      </c>
      <c r="C4" s="111" t="s">
        <v>112</v>
      </c>
      <c r="D4" s="111" t="s">
        <v>113</v>
      </c>
      <c r="E4" s="111">
        <v>1</v>
      </c>
      <c r="F4" s="112">
        <v>45351</v>
      </c>
      <c r="G4" s="111" t="str">
        <f t="shared" ref="G4:G35" si="0">TEXT(F4,"yyyymm")</f>
        <v>yyyy02</v>
      </c>
      <c r="H4" s="120" t="s">
        <v>114</v>
      </c>
      <c r="I4" s="111" t="s">
        <v>115</v>
      </c>
      <c r="J4" s="111">
        <v>1</v>
      </c>
      <c r="K4" s="111" t="s">
        <v>31</v>
      </c>
      <c r="L4" s="314">
        <v>12476</v>
      </c>
      <c r="M4" s="111" t="s">
        <v>116</v>
      </c>
      <c r="N4" s="320">
        <v>31.19</v>
      </c>
      <c r="O4" s="315">
        <f t="shared" ref="O4:O35" si="1">L4/N4</f>
        <v>400</v>
      </c>
      <c r="P4" s="114">
        <v>1</v>
      </c>
      <c r="Q4" s="321">
        <v>0.92200000000000004</v>
      </c>
      <c r="R4" s="322">
        <f>O4*P4*Q4</f>
        <v>368.8</v>
      </c>
      <c r="S4" s="322" t="s">
        <v>117</v>
      </c>
      <c r="T4" s="323"/>
    </row>
    <row r="5" spans="1:20" ht="16.25" customHeight="1">
      <c r="A5" s="111">
        <v>2</v>
      </c>
      <c r="B5" s="111" t="s">
        <v>111</v>
      </c>
      <c r="C5" s="111" t="s">
        <v>112</v>
      </c>
      <c r="D5" s="111" t="s">
        <v>113</v>
      </c>
      <c r="E5" s="111">
        <v>2</v>
      </c>
      <c r="F5" s="112">
        <v>45351</v>
      </c>
      <c r="G5" s="111" t="str">
        <f t="shared" si="0"/>
        <v>yyyy02</v>
      </c>
      <c r="H5" s="120" t="s">
        <v>118</v>
      </c>
      <c r="I5" s="111" t="s">
        <v>119</v>
      </c>
      <c r="J5" s="111">
        <v>4</v>
      </c>
      <c r="K5" s="111" t="s">
        <v>120</v>
      </c>
      <c r="L5" s="314">
        <f>L4*$M$1</f>
        <v>124.76</v>
      </c>
      <c r="M5" s="111" t="s">
        <v>116</v>
      </c>
      <c r="N5" s="320">
        <v>31.19</v>
      </c>
      <c r="O5" s="315">
        <f t="shared" si="1"/>
        <v>4</v>
      </c>
      <c r="P5" s="114">
        <v>1</v>
      </c>
      <c r="Q5" s="321">
        <v>0.92200000000000004</v>
      </c>
      <c r="R5" s="322">
        <f t="shared" ref="R5:R35" si="2">O5*P5*Q5</f>
        <v>3.6880000000000002</v>
      </c>
      <c r="S5" s="322" t="s">
        <v>117</v>
      </c>
      <c r="T5" s="323"/>
    </row>
    <row r="6" spans="1:20" ht="16.25" customHeight="1">
      <c r="A6" s="111">
        <v>3</v>
      </c>
      <c r="B6" s="111" t="s">
        <v>121</v>
      </c>
      <c r="C6" s="111" t="s">
        <v>112</v>
      </c>
      <c r="D6" s="111" t="s">
        <v>113</v>
      </c>
      <c r="E6" s="111">
        <v>3</v>
      </c>
      <c r="F6" s="112">
        <v>45351</v>
      </c>
      <c r="G6" s="111" t="str">
        <f t="shared" si="0"/>
        <v>yyyy02</v>
      </c>
      <c r="H6" s="120" t="s">
        <v>122</v>
      </c>
      <c r="I6" s="111" t="s">
        <v>123</v>
      </c>
      <c r="J6" s="111">
        <v>1</v>
      </c>
      <c r="K6" s="111" t="s">
        <v>31</v>
      </c>
      <c r="L6" s="314">
        <v>12476</v>
      </c>
      <c r="M6" s="111" t="s">
        <v>116</v>
      </c>
      <c r="N6" s="320">
        <v>31.19</v>
      </c>
      <c r="O6" s="315">
        <f t="shared" si="1"/>
        <v>400</v>
      </c>
      <c r="P6" s="114">
        <v>1</v>
      </c>
      <c r="Q6" s="321">
        <v>0.92200000000000004</v>
      </c>
      <c r="R6" s="322">
        <f t="shared" si="2"/>
        <v>368.8</v>
      </c>
      <c r="S6" s="322" t="s">
        <v>117</v>
      </c>
      <c r="T6" s="323"/>
    </row>
    <row r="7" spans="1:20" ht="16.25" customHeight="1">
      <c r="A7" s="111">
        <v>4</v>
      </c>
      <c r="B7" s="111" t="s">
        <v>121</v>
      </c>
      <c r="C7" s="111" t="s">
        <v>112</v>
      </c>
      <c r="D7" s="111" t="s">
        <v>113</v>
      </c>
      <c r="E7" s="111">
        <v>4</v>
      </c>
      <c r="F7" s="112">
        <v>45351</v>
      </c>
      <c r="G7" s="111" t="str">
        <f t="shared" si="0"/>
        <v>yyyy02</v>
      </c>
      <c r="H7" s="120" t="s">
        <v>124</v>
      </c>
      <c r="I7" s="111" t="s">
        <v>119</v>
      </c>
      <c r="J7" s="111">
        <v>4</v>
      </c>
      <c r="K7" s="111" t="s">
        <v>120</v>
      </c>
      <c r="L7" s="314">
        <f>L6*$M$1</f>
        <v>124.76</v>
      </c>
      <c r="M7" s="111" t="s">
        <v>116</v>
      </c>
      <c r="N7" s="320">
        <v>31.19</v>
      </c>
      <c r="O7" s="315">
        <f t="shared" si="1"/>
        <v>4</v>
      </c>
      <c r="P7" s="114">
        <v>1</v>
      </c>
      <c r="Q7" s="321">
        <v>0.92200000000000004</v>
      </c>
      <c r="R7" s="322">
        <f t="shared" si="2"/>
        <v>3.6880000000000002</v>
      </c>
      <c r="S7" s="322" t="s">
        <v>117</v>
      </c>
      <c r="T7" s="323"/>
    </row>
    <row r="8" spans="1:20" ht="16.25" customHeight="1">
      <c r="A8" s="111">
        <v>5</v>
      </c>
      <c r="B8" s="111" t="s">
        <v>125</v>
      </c>
      <c r="C8" s="111" t="s">
        <v>112</v>
      </c>
      <c r="D8" s="111" t="s">
        <v>113</v>
      </c>
      <c r="E8" s="111">
        <v>5</v>
      </c>
      <c r="F8" s="112">
        <v>45351</v>
      </c>
      <c r="G8" s="111" t="str">
        <f t="shared" si="0"/>
        <v>yyyy02</v>
      </c>
      <c r="H8" s="120" t="s">
        <v>126</v>
      </c>
      <c r="I8" s="111" t="s">
        <v>127</v>
      </c>
      <c r="J8" s="111">
        <v>1</v>
      </c>
      <c r="K8" s="111" t="s">
        <v>31</v>
      </c>
      <c r="L8" s="314">
        <v>10396.5627</v>
      </c>
      <c r="M8" s="111" t="s">
        <v>116</v>
      </c>
      <c r="N8" s="320">
        <v>31.19</v>
      </c>
      <c r="O8" s="315">
        <f t="shared" si="1"/>
        <v>333.33</v>
      </c>
      <c r="P8" s="114">
        <v>1</v>
      </c>
      <c r="Q8" s="321">
        <v>0.92200000000000004</v>
      </c>
      <c r="R8" s="322">
        <f t="shared" si="2"/>
        <v>307.33026000000001</v>
      </c>
      <c r="S8" s="322" t="s">
        <v>117</v>
      </c>
      <c r="T8" s="323"/>
    </row>
    <row r="9" spans="1:20" ht="16.25" customHeight="1">
      <c r="A9" s="111">
        <v>6</v>
      </c>
      <c r="B9" s="111" t="s">
        <v>125</v>
      </c>
      <c r="C9" s="111" t="s">
        <v>112</v>
      </c>
      <c r="D9" s="111" t="s">
        <v>113</v>
      </c>
      <c r="E9" s="111">
        <v>6</v>
      </c>
      <c r="F9" s="112">
        <v>45351</v>
      </c>
      <c r="G9" s="111" t="str">
        <f t="shared" si="0"/>
        <v>yyyy02</v>
      </c>
      <c r="H9" s="120" t="s">
        <v>128</v>
      </c>
      <c r="I9" s="111" t="s">
        <v>119</v>
      </c>
      <c r="J9" s="111">
        <v>4</v>
      </c>
      <c r="K9" s="111" t="s">
        <v>120</v>
      </c>
      <c r="L9" s="314">
        <f>L8*$M$1</f>
        <v>103.96562700000001</v>
      </c>
      <c r="M9" s="111" t="s">
        <v>116</v>
      </c>
      <c r="N9" s="320">
        <v>31.19</v>
      </c>
      <c r="O9" s="315">
        <f t="shared" si="1"/>
        <v>3.3333000000000004</v>
      </c>
      <c r="P9" s="114">
        <v>1</v>
      </c>
      <c r="Q9" s="321">
        <v>0.92200000000000004</v>
      </c>
      <c r="R9" s="322">
        <f t="shared" si="2"/>
        <v>3.0733026000000003</v>
      </c>
      <c r="S9" s="322" t="s">
        <v>117</v>
      </c>
      <c r="T9" s="323"/>
    </row>
    <row r="10" spans="1:20" ht="16.25" customHeight="1">
      <c r="A10" s="111">
        <v>7</v>
      </c>
      <c r="B10" s="111" t="s">
        <v>129</v>
      </c>
      <c r="C10" s="111" t="s">
        <v>112</v>
      </c>
      <c r="D10" s="111" t="s">
        <v>113</v>
      </c>
      <c r="E10" s="111">
        <v>7</v>
      </c>
      <c r="F10" s="112">
        <v>45351</v>
      </c>
      <c r="G10" s="111" t="str">
        <f t="shared" si="0"/>
        <v>yyyy02</v>
      </c>
      <c r="H10" s="120" t="s">
        <v>130</v>
      </c>
      <c r="I10" s="111" t="s">
        <v>131</v>
      </c>
      <c r="J10" s="111">
        <v>1</v>
      </c>
      <c r="K10" s="111" t="s">
        <v>34</v>
      </c>
      <c r="L10" s="314">
        <v>12476</v>
      </c>
      <c r="M10" s="111" t="s">
        <v>116</v>
      </c>
      <c r="N10" s="320">
        <v>31.19</v>
      </c>
      <c r="O10" s="315">
        <f t="shared" si="1"/>
        <v>400</v>
      </c>
      <c r="P10" s="114">
        <v>1</v>
      </c>
      <c r="Q10" s="321">
        <v>0.92200000000000004</v>
      </c>
      <c r="R10" s="322">
        <f t="shared" si="2"/>
        <v>368.8</v>
      </c>
      <c r="S10" s="322" t="s">
        <v>117</v>
      </c>
      <c r="T10" s="323"/>
    </row>
    <row r="11" spans="1:20" ht="16.25" customHeight="1">
      <c r="A11" s="111">
        <v>8</v>
      </c>
      <c r="B11" s="111" t="s">
        <v>129</v>
      </c>
      <c r="C11" s="111" t="s">
        <v>112</v>
      </c>
      <c r="D11" s="111" t="s">
        <v>113</v>
      </c>
      <c r="E11" s="111">
        <v>8</v>
      </c>
      <c r="F11" s="112">
        <v>45351</v>
      </c>
      <c r="G11" s="111" t="str">
        <f t="shared" si="0"/>
        <v>yyyy02</v>
      </c>
      <c r="H11" s="120" t="s">
        <v>132</v>
      </c>
      <c r="I11" s="111" t="s">
        <v>119</v>
      </c>
      <c r="J11" s="111">
        <v>4</v>
      </c>
      <c r="K11" s="111" t="s">
        <v>120</v>
      </c>
      <c r="L11" s="314">
        <f>L10*$M$1</f>
        <v>124.76</v>
      </c>
      <c r="M11" s="111" t="s">
        <v>116</v>
      </c>
      <c r="N11" s="320">
        <v>31.19</v>
      </c>
      <c r="O11" s="315">
        <f t="shared" si="1"/>
        <v>4</v>
      </c>
      <c r="P11" s="114">
        <v>1</v>
      </c>
      <c r="Q11" s="321">
        <v>0.92200000000000004</v>
      </c>
      <c r="R11" s="322">
        <f t="shared" si="2"/>
        <v>3.6880000000000002</v>
      </c>
      <c r="S11" s="322" t="s">
        <v>117</v>
      </c>
      <c r="T11" s="323"/>
    </row>
    <row r="12" spans="1:20" ht="16.25" customHeight="1">
      <c r="A12" s="111">
        <v>9</v>
      </c>
      <c r="B12" s="111" t="s">
        <v>133</v>
      </c>
      <c r="C12" s="111" t="s">
        <v>112</v>
      </c>
      <c r="D12" s="111" t="s">
        <v>113</v>
      </c>
      <c r="E12" s="111">
        <v>9</v>
      </c>
      <c r="F12" s="112">
        <v>45351</v>
      </c>
      <c r="G12" s="111" t="str">
        <f t="shared" si="0"/>
        <v>yyyy02</v>
      </c>
      <c r="H12" s="120" t="s">
        <v>134</v>
      </c>
      <c r="I12" s="111" t="s">
        <v>135</v>
      </c>
      <c r="J12" s="111">
        <v>1</v>
      </c>
      <c r="K12" s="111" t="s">
        <v>34</v>
      </c>
      <c r="L12" s="314">
        <v>12476</v>
      </c>
      <c r="M12" s="111" t="s">
        <v>116</v>
      </c>
      <c r="N12" s="320">
        <v>31.19</v>
      </c>
      <c r="O12" s="315">
        <f t="shared" si="1"/>
        <v>400</v>
      </c>
      <c r="P12" s="114">
        <v>1</v>
      </c>
      <c r="Q12" s="321">
        <v>0.92200000000000004</v>
      </c>
      <c r="R12" s="322">
        <f t="shared" si="2"/>
        <v>368.8</v>
      </c>
      <c r="S12" s="322" t="s">
        <v>117</v>
      </c>
      <c r="T12" s="323"/>
    </row>
    <row r="13" spans="1:20" ht="16.25" customHeight="1">
      <c r="A13" s="111">
        <v>10</v>
      </c>
      <c r="B13" s="111" t="s">
        <v>133</v>
      </c>
      <c r="C13" s="111" t="s">
        <v>112</v>
      </c>
      <c r="D13" s="111" t="s">
        <v>113</v>
      </c>
      <c r="E13" s="111">
        <v>10</v>
      </c>
      <c r="F13" s="112">
        <v>45351</v>
      </c>
      <c r="G13" s="111" t="str">
        <f t="shared" si="0"/>
        <v>yyyy02</v>
      </c>
      <c r="H13" s="120" t="s">
        <v>136</v>
      </c>
      <c r="I13" s="111" t="s">
        <v>119</v>
      </c>
      <c r="J13" s="111">
        <v>4</v>
      </c>
      <c r="K13" s="111" t="s">
        <v>120</v>
      </c>
      <c r="L13" s="314">
        <f>L12*$M$1</f>
        <v>124.76</v>
      </c>
      <c r="M13" s="111" t="s">
        <v>116</v>
      </c>
      <c r="N13" s="320">
        <v>31.19</v>
      </c>
      <c r="O13" s="315">
        <f t="shared" si="1"/>
        <v>4</v>
      </c>
      <c r="P13" s="114">
        <v>1</v>
      </c>
      <c r="Q13" s="321">
        <v>0.92200000000000004</v>
      </c>
      <c r="R13" s="322">
        <f t="shared" si="2"/>
        <v>3.6880000000000002</v>
      </c>
      <c r="S13" s="322" t="s">
        <v>117</v>
      </c>
      <c r="T13" s="323"/>
    </row>
    <row r="14" spans="1:20" ht="16.25" customHeight="1">
      <c r="A14" s="111">
        <v>11</v>
      </c>
      <c r="B14" s="111" t="s">
        <v>137</v>
      </c>
      <c r="C14" s="111" t="s">
        <v>112</v>
      </c>
      <c r="D14" s="111" t="s">
        <v>113</v>
      </c>
      <c r="E14" s="111">
        <v>11</v>
      </c>
      <c r="F14" s="112">
        <v>45351</v>
      </c>
      <c r="G14" s="111" t="str">
        <f t="shared" si="0"/>
        <v>yyyy02</v>
      </c>
      <c r="H14" s="120" t="s">
        <v>138</v>
      </c>
      <c r="I14" s="111" t="s">
        <v>139</v>
      </c>
      <c r="J14" s="111">
        <v>1</v>
      </c>
      <c r="K14" s="111" t="s">
        <v>34</v>
      </c>
      <c r="L14" s="314">
        <v>11644.162700000001</v>
      </c>
      <c r="M14" s="111" t="s">
        <v>116</v>
      </c>
      <c r="N14" s="320">
        <v>31.19</v>
      </c>
      <c r="O14" s="315">
        <f t="shared" si="1"/>
        <v>373.33</v>
      </c>
      <c r="P14" s="114">
        <v>1</v>
      </c>
      <c r="Q14" s="321">
        <v>0.92200000000000004</v>
      </c>
      <c r="R14" s="322">
        <f t="shared" si="2"/>
        <v>344.21026000000001</v>
      </c>
      <c r="S14" s="322" t="s">
        <v>117</v>
      </c>
      <c r="T14" s="323"/>
    </row>
    <row r="15" spans="1:20" ht="16.25" customHeight="1">
      <c r="A15" s="111">
        <v>12</v>
      </c>
      <c r="B15" s="111" t="s">
        <v>137</v>
      </c>
      <c r="C15" s="111" t="s">
        <v>112</v>
      </c>
      <c r="D15" s="111" t="s">
        <v>113</v>
      </c>
      <c r="E15" s="111">
        <v>12</v>
      </c>
      <c r="F15" s="112">
        <v>45351</v>
      </c>
      <c r="G15" s="111" t="str">
        <f t="shared" si="0"/>
        <v>yyyy02</v>
      </c>
      <c r="H15" s="120" t="s">
        <v>140</v>
      </c>
      <c r="I15" s="111" t="s">
        <v>119</v>
      </c>
      <c r="J15" s="111">
        <v>4</v>
      </c>
      <c r="K15" s="111" t="s">
        <v>120</v>
      </c>
      <c r="L15" s="314">
        <f>L14*$M$1</f>
        <v>116.44162700000001</v>
      </c>
      <c r="M15" s="111" t="s">
        <v>116</v>
      </c>
      <c r="N15" s="320">
        <v>31.19</v>
      </c>
      <c r="O15" s="315">
        <f t="shared" si="1"/>
        <v>3.7333000000000003</v>
      </c>
      <c r="P15" s="114">
        <v>1</v>
      </c>
      <c r="Q15" s="321">
        <v>0.92200000000000004</v>
      </c>
      <c r="R15" s="322">
        <f t="shared" si="2"/>
        <v>3.4421026000000006</v>
      </c>
      <c r="S15" s="322" t="s">
        <v>117</v>
      </c>
      <c r="T15" s="323"/>
    </row>
    <row r="16" spans="1:20" ht="16.25" customHeight="1">
      <c r="A16" s="111">
        <v>13</v>
      </c>
      <c r="B16" s="111" t="s">
        <v>141</v>
      </c>
      <c r="C16" s="111" t="s">
        <v>112</v>
      </c>
      <c r="D16" s="111" t="s">
        <v>113</v>
      </c>
      <c r="E16" s="111">
        <v>13</v>
      </c>
      <c r="F16" s="112">
        <v>45351</v>
      </c>
      <c r="G16" s="111" t="str">
        <f t="shared" si="0"/>
        <v>yyyy02</v>
      </c>
      <c r="H16" s="120" t="s">
        <v>142</v>
      </c>
      <c r="I16" s="111" t="s">
        <v>143</v>
      </c>
      <c r="J16" s="111">
        <v>1</v>
      </c>
      <c r="K16" s="111" t="s">
        <v>144</v>
      </c>
      <c r="L16" s="314">
        <v>4366.6000000000004</v>
      </c>
      <c r="M16" s="111" t="s">
        <v>116</v>
      </c>
      <c r="N16" s="320">
        <v>31.19</v>
      </c>
      <c r="O16" s="315">
        <f t="shared" si="1"/>
        <v>140</v>
      </c>
      <c r="P16" s="114">
        <v>1</v>
      </c>
      <c r="Q16" s="321">
        <v>0.92200000000000004</v>
      </c>
      <c r="R16" s="322">
        <f t="shared" si="2"/>
        <v>129.08000000000001</v>
      </c>
      <c r="S16" s="322" t="s">
        <v>117</v>
      </c>
      <c r="T16" s="323"/>
    </row>
    <row r="17" spans="1:20" ht="16.25" customHeight="1">
      <c r="A17" s="111">
        <v>14</v>
      </c>
      <c r="B17" s="111" t="s">
        <v>141</v>
      </c>
      <c r="C17" s="111" t="s">
        <v>112</v>
      </c>
      <c r="D17" s="111" t="s">
        <v>113</v>
      </c>
      <c r="E17" s="111">
        <v>14</v>
      </c>
      <c r="F17" s="112">
        <v>45351</v>
      </c>
      <c r="G17" s="111" t="str">
        <f t="shared" si="0"/>
        <v>yyyy02</v>
      </c>
      <c r="H17" s="120" t="s">
        <v>145</v>
      </c>
      <c r="I17" s="111" t="s">
        <v>119</v>
      </c>
      <c r="J17" s="111">
        <v>4</v>
      </c>
      <c r="K17" s="111" t="s">
        <v>120</v>
      </c>
      <c r="L17" s="314">
        <f>L16*$M$1</f>
        <v>43.666000000000004</v>
      </c>
      <c r="M17" s="111" t="s">
        <v>116</v>
      </c>
      <c r="N17" s="320">
        <v>31.19</v>
      </c>
      <c r="O17" s="315">
        <f t="shared" si="1"/>
        <v>1.4000000000000001</v>
      </c>
      <c r="P17" s="114">
        <v>1</v>
      </c>
      <c r="Q17" s="321">
        <v>0.92200000000000004</v>
      </c>
      <c r="R17" s="322">
        <f t="shared" si="2"/>
        <v>1.2908000000000002</v>
      </c>
      <c r="S17" s="322" t="s">
        <v>117</v>
      </c>
      <c r="T17" s="323"/>
    </row>
    <row r="18" spans="1:20" ht="16.25" customHeight="1">
      <c r="A18" s="111">
        <v>15</v>
      </c>
      <c r="B18" s="111" t="s">
        <v>146</v>
      </c>
      <c r="C18" s="111" t="s">
        <v>112</v>
      </c>
      <c r="D18" s="111" t="s">
        <v>113</v>
      </c>
      <c r="E18" s="111">
        <v>15</v>
      </c>
      <c r="F18" s="112">
        <v>45351</v>
      </c>
      <c r="G18" s="111" t="str">
        <f t="shared" si="0"/>
        <v>yyyy02</v>
      </c>
      <c r="H18" s="120" t="s">
        <v>147</v>
      </c>
      <c r="I18" s="111" t="s">
        <v>148</v>
      </c>
      <c r="J18" s="111">
        <v>1</v>
      </c>
      <c r="K18" s="111" t="s">
        <v>144</v>
      </c>
      <c r="L18" s="314">
        <v>3950.8373000000001</v>
      </c>
      <c r="M18" s="111" t="s">
        <v>116</v>
      </c>
      <c r="N18" s="320">
        <v>31.19</v>
      </c>
      <c r="O18" s="315">
        <f t="shared" si="1"/>
        <v>126.67</v>
      </c>
      <c r="P18" s="114">
        <v>1</v>
      </c>
      <c r="Q18" s="321">
        <v>0.92200000000000004</v>
      </c>
      <c r="R18" s="322">
        <f t="shared" si="2"/>
        <v>116.78974000000001</v>
      </c>
      <c r="S18" s="322" t="s">
        <v>117</v>
      </c>
      <c r="T18" s="323"/>
    </row>
    <row r="19" spans="1:20" ht="16.25" customHeight="1">
      <c r="A19" s="111">
        <v>16</v>
      </c>
      <c r="B19" s="111" t="s">
        <v>146</v>
      </c>
      <c r="C19" s="111" t="s">
        <v>112</v>
      </c>
      <c r="D19" s="111" t="s">
        <v>113</v>
      </c>
      <c r="E19" s="111">
        <v>16</v>
      </c>
      <c r="F19" s="112">
        <v>45351</v>
      </c>
      <c r="G19" s="111" t="str">
        <f t="shared" si="0"/>
        <v>yyyy02</v>
      </c>
      <c r="H19" s="120" t="s">
        <v>149</v>
      </c>
      <c r="I19" s="111" t="s">
        <v>119</v>
      </c>
      <c r="J19" s="111">
        <v>4</v>
      </c>
      <c r="K19" s="111" t="s">
        <v>120</v>
      </c>
      <c r="L19" s="314">
        <f>L18*$M$1</f>
        <v>39.508372999999999</v>
      </c>
      <c r="M19" s="111" t="s">
        <v>116</v>
      </c>
      <c r="N19" s="320">
        <v>31.19</v>
      </c>
      <c r="O19" s="315">
        <f t="shared" si="1"/>
        <v>1.2666999999999999</v>
      </c>
      <c r="P19" s="114">
        <v>1</v>
      </c>
      <c r="Q19" s="321">
        <v>0.92200000000000004</v>
      </c>
      <c r="R19" s="322">
        <f t="shared" si="2"/>
        <v>1.1678974</v>
      </c>
      <c r="S19" s="322" t="s">
        <v>117</v>
      </c>
      <c r="T19" s="323"/>
    </row>
    <row r="20" spans="1:20" ht="16.25" customHeight="1">
      <c r="A20" s="111">
        <v>17</v>
      </c>
      <c r="B20" s="111" t="s">
        <v>150</v>
      </c>
      <c r="C20" s="111" t="s">
        <v>112</v>
      </c>
      <c r="D20" s="111" t="s">
        <v>113</v>
      </c>
      <c r="E20" s="111">
        <v>17</v>
      </c>
      <c r="F20" s="112">
        <v>45351</v>
      </c>
      <c r="G20" s="111" t="str">
        <f t="shared" si="0"/>
        <v>yyyy02</v>
      </c>
      <c r="H20" s="120" t="s">
        <v>151</v>
      </c>
      <c r="I20" s="111" t="s">
        <v>152</v>
      </c>
      <c r="J20" s="111">
        <v>1</v>
      </c>
      <c r="K20" s="111" t="s">
        <v>153</v>
      </c>
      <c r="L20" s="314">
        <v>7407.625</v>
      </c>
      <c r="M20" s="111" t="s">
        <v>116</v>
      </c>
      <c r="N20" s="320">
        <v>31.19</v>
      </c>
      <c r="O20" s="315">
        <f t="shared" si="1"/>
        <v>237.5</v>
      </c>
      <c r="P20" s="114">
        <v>1</v>
      </c>
      <c r="Q20" s="321">
        <v>0.92200000000000004</v>
      </c>
      <c r="R20" s="322">
        <f t="shared" si="2"/>
        <v>218.97500000000002</v>
      </c>
      <c r="S20" s="322" t="s">
        <v>117</v>
      </c>
      <c r="T20" s="323"/>
    </row>
    <row r="21" spans="1:20" ht="16.25" customHeight="1">
      <c r="A21" s="111">
        <v>18</v>
      </c>
      <c r="B21" s="111" t="s">
        <v>150</v>
      </c>
      <c r="C21" s="111" t="s">
        <v>112</v>
      </c>
      <c r="D21" s="111" t="s">
        <v>113</v>
      </c>
      <c r="E21" s="111">
        <v>18</v>
      </c>
      <c r="F21" s="112">
        <v>45351</v>
      </c>
      <c r="G21" s="111" t="str">
        <f t="shared" si="0"/>
        <v>yyyy02</v>
      </c>
      <c r="H21" s="120" t="s">
        <v>154</v>
      </c>
      <c r="I21" s="111" t="s">
        <v>119</v>
      </c>
      <c r="J21" s="111">
        <v>4</v>
      </c>
      <c r="K21" s="111" t="s">
        <v>120</v>
      </c>
      <c r="L21" s="314">
        <f>L20*$M$1</f>
        <v>74.076250000000002</v>
      </c>
      <c r="M21" s="111" t="s">
        <v>116</v>
      </c>
      <c r="N21" s="320">
        <v>31.19</v>
      </c>
      <c r="O21" s="315">
        <f t="shared" si="1"/>
        <v>2.375</v>
      </c>
      <c r="P21" s="114">
        <v>1</v>
      </c>
      <c r="Q21" s="321">
        <v>0.92200000000000004</v>
      </c>
      <c r="R21" s="322">
        <f t="shared" si="2"/>
        <v>2.1897500000000001</v>
      </c>
      <c r="S21" s="322" t="s">
        <v>117</v>
      </c>
      <c r="T21" s="323"/>
    </row>
    <row r="22" spans="1:20" ht="16.25" customHeight="1">
      <c r="A22" s="111">
        <v>19</v>
      </c>
      <c r="B22" s="111" t="s">
        <v>155</v>
      </c>
      <c r="C22" s="111" t="s">
        <v>112</v>
      </c>
      <c r="D22" s="111" t="s">
        <v>113</v>
      </c>
      <c r="E22" s="111">
        <v>19</v>
      </c>
      <c r="F22" s="112">
        <v>45351</v>
      </c>
      <c r="G22" s="111" t="str">
        <f t="shared" si="0"/>
        <v>yyyy02</v>
      </c>
      <c r="H22" s="120" t="s">
        <v>156</v>
      </c>
      <c r="I22" s="111" t="s">
        <v>157</v>
      </c>
      <c r="J22" s="111">
        <v>1</v>
      </c>
      <c r="K22" s="111" t="s">
        <v>153</v>
      </c>
      <c r="L22" s="314">
        <v>9746.875</v>
      </c>
      <c r="M22" s="111" t="s">
        <v>116</v>
      </c>
      <c r="N22" s="320">
        <v>31.19</v>
      </c>
      <c r="O22" s="315">
        <f t="shared" si="1"/>
        <v>312.5</v>
      </c>
      <c r="P22" s="114">
        <v>1</v>
      </c>
      <c r="Q22" s="321">
        <v>0.92200000000000004</v>
      </c>
      <c r="R22" s="322">
        <f t="shared" si="2"/>
        <v>288.125</v>
      </c>
      <c r="S22" s="322" t="s">
        <v>117</v>
      </c>
      <c r="T22" s="323"/>
    </row>
    <row r="23" spans="1:20" ht="16.25" customHeight="1">
      <c r="A23" s="111">
        <v>20</v>
      </c>
      <c r="B23" s="111" t="s">
        <v>155</v>
      </c>
      <c r="C23" s="111" t="s">
        <v>112</v>
      </c>
      <c r="D23" s="111" t="s">
        <v>113</v>
      </c>
      <c r="E23" s="111">
        <v>20</v>
      </c>
      <c r="F23" s="112">
        <v>45351</v>
      </c>
      <c r="G23" s="111" t="str">
        <f t="shared" si="0"/>
        <v>yyyy02</v>
      </c>
      <c r="H23" s="120" t="s">
        <v>158</v>
      </c>
      <c r="I23" s="111" t="s">
        <v>119</v>
      </c>
      <c r="J23" s="111">
        <v>4</v>
      </c>
      <c r="K23" s="111" t="s">
        <v>120</v>
      </c>
      <c r="L23" s="314">
        <f>L22*$M$1</f>
        <v>97.46875</v>
      </c>
      <c r="M23" s="111" t="s">
        <v>116</v>
      </c>
      <c r="N23" s="320">
        <v>31.19</v>
      </c>
      <c r="O23" s="315">
        <f t="shared" si="1"/>
        <v>3.125</v>
      </c>
      <c r="P23" s="114">
        <v>1</v>
      </c>
      <c r="Q23" s="321">
        <v>0.92200000000000004</v>
      </c>
      <c r="R23" s="322">
        <f t="shared" si="2"/>
        <v>2.8812500000000001</v>
      </c>
      <c r="S23" s="322" t="s">
        <v>117</v>
      </c>
      <c r="T23" s="323"/>
    </row>
    <row r="24" spans="1:20" ht="16.25" customHeight="1">
      <c r="A24" s="111">
        <v>21</v>
      </c>
      <c r="B24" s="111" t="s">
        <v>159</v>
      </c>
      <c r="C24" s="111" t="s">
        <v>112</v>
      </c>
      <c r="D24" s="111" t="s">
        <v>113</v>
      </c>
      <c r="E24" s="111">
        <v>21</v>
      </c>
      <c r="F24" s="112">
        <v>45351</v>
      </c>
      <c r="G24" s="111" t="str">
        <f t="shared" si="0"/>
        <v>yyyy02</v>
      </c>
      <c r="H24" s="120" t="s">
        <v>160</v>
      </c>
      <c r="I24" s="111" t="s">
        <v>161</v>
      </c>
      <c r="J24" s="111">
        <v>1</v>
      </c>
      <c r="K24" s="111" t="s">
        <v>162</v>
      </c>
      <c r="L24" s="314">
        <v>14555.4373</v>
      </c>
      <c r="M24" s="111" t="s">
        <v>116</v>
      </c>
      <c r="N24" s="320">
        <v>31.19</v>
      </c>
      <c r="O24" s="315">
        <f t="shared" si="1"/>
        <v>466.66999999999996</v>
      </c>
      <c r="P24" s="114">
        <v>1</v>
      </c>
      <c r="Q24" s="321">
        <v>0.92200000000000004</v>
      </c>
      <c r="R24" s="322">
        <f t="shared" si="2"/>
        <v>430.26973999999996</v>
      </c>
      <c r="S24" s="322" t="s">
        <v>117</v>
      </c>
      <c r="T24" s="323"/>
    </row>
    <row r="25" spans="1:20" ht="16.25" customHeight="1">
      <c r="A25" s="111">
        <v>22</v>
      </c>
      <c r="B25" s="111" t="s">
        <v>159</v>
      </c>
      <c r="C25" s="111" t="s">
        <v>112</v>
      </c>
      <c r="D25" s="111" t="s">
        <v>113</v>
      </c>
      <c r="E25" s="111">
        <v>22</v>
      </c>
      <c r="F25" s="112">
        <v>45351</v>
      </c>
      <c r="G25" s="111" t="str">
        <f t="shared" si="0"/>
        <v>yyyy02</v>
      </c>
      <c r="H25" s="120" t="s">
        <v>163</v>
      </c>
      <c r="I25" s="111" t="s">
        <v>119</v>
      </c>
      <c r="J25" s="111">
        <v>4</v>
      </c>
      <c r="K25" s="111" t="s">
        <v>120</v>
      </c>
      <c r="L25" s="314">
        <f>L24*$M$1</f>
        <v>145.554373</v>
      </c>
      <c r="M25" s="111" t="s">
        <v>116</v>
      </c>
      <c r="N25" s="320">
        <v>31.19</v>
      </c>
      <c r="O25" s="315">
        <f t="shared" si="1"/>
        <v>4.6666999999999996</v>
      </c>
      <c r="P25" s="114">
        <v>1</v>
      </c>
      <c r="Q25" s="321">
        <v>0.92200000000000004</v>
      </c>
      <c r="R25" s="322">
        <f t="shared" si="2"/>
        <v>4.3026973999999996</v>
      </c>
      <c r="S25" s="322" t="s">
        <v>117</v>
      </c>
      <c r="T25" s="323"/>
    </row>
    <row r="26" spans="1:20" ht="16.25" customHeight="1">
      <c r="A26" s="111">
        <v>23</v>
      </c>
      <c r="B26" s="111" t="s">
        <v>164</v>
      </c>
      <c r="C26" s="111" t="s">
        <v>112</v>
      </c>
      <c r="D26" s="111" t="s">
        <v>113</v>
      </c>
      <c r="E26" s="111">
        <v>23</v>
      </c>
      <c r="F26" s="112">
        <v>45351</v>
      </c>
      <c r="G26" s="111" t="str">
        <f t="shared" si="0"/>
        <v>yyyy02</v>
      </c>
      <c r="H26" s="120" t="s">
        <v>165</v>
      </c>
      <c r="I26" s="111" t="s">
        <v>166</v>
      </c>
      <c r="J26" s="111">
        <v>1</v>
      </c>
      <c r="K26" s="111" t="s">
        <v>167</v>
      </c>
      <c r="L26" s="314">
        <v>20273.5</v>
      </c>
      <c r="M26" s="111" t="s">
        <v>116</v>
      </c>
      <c r="N26" s="320">
        <v>31.19</v>
      </c>
      <c r="O26" s="315">
        <f t="shared" si="1"/>
        <v>650</v>
      </c>
      <c r="P26" s="114">
        <v>1</v>
      </c>
      <c r="Q26" s="321">
        <v>0.92200000000000004</v>
      </c>
      <c r="R26" s="322">
        <f t="shared" si="2"/>
        <v>599.30000000000007</v>
      </c>
      <c r="S26" s="322" t="s">
        <v>117</v>
      </c>
      <c r="T26" s="323"/>
    </row>
    <row r="27" spans="1:20" ht="16.25" customHeight="1">
      <c r="A27" s="111">
        <v>24</v>
      </c>
      <c r="B27" s="111" t="s">
        <v>164</v>
      </c>
      <c r="C27" s="111" t="s">
        <v>112</v>
      </c>
      <c r="D27" s="111" t="s">
        <v>113</v>
      </c>
      <c r="E27" s="111">
        <v>24</v>
      </c>
      <c r="F27" s="112">
        <v>45351</v>
      </c>
      <c r="G27" s="111" t="str">
        <f t="shared" si="0"/>
        <v>yyyy02</v>
      </c>
      <c r="H27" s="120" t="s">
        <v>168</v>
      </c>
      <c r="I27" s="111" t="s">
        <v>119</v>
      </c>
      <c r="J27" s="111">
        <v>4</v>
      </c>
      <c r="K27" s="111" t="s">
        <v>120</v>
      </c>
      <c r="L27" s="314">
        <f>L26*$M$1</f>
        <v>202.73500000000001</v>
      </c>
      <c r="M27" s="111" t="s">
        <v>116</v>
      </c>
      <c r="N27" s="320">
        <v>31.19</v>
      </c>
      <c r="O27" s="315">
        <f t="shared" si="1"/>
        <v>6.5</v>
      </c>
      <c r="P27" s="114">
        <v>1</v>
      </c>
      <c r="Q27" s="321">
        <v>0.92200000000000004</v>
      </c>
      <c r="R27" s="322">
        <f t="shared" si="2"/>
        <v>5.9930000000000003</v>
      </c>
      <c r="S27" s="322" t="s">
        <v>117</v>
      </c>
      <c r="T27" s="323"/>
    </row>
    <row r="28" spans="1:20" ht="16.25" customHeight="1">
      <c r="A28" s="111">
        <v>25</v>
      </c>
      <c r="B28" s="111" t="s">
        <v>169</v>
      </c>
      <c r="C28" s="111" t="s">
        <v>112</v>
      </c>
      <c r="D28" s="111" t="s">
        <v>113</v>
      </c>
      <c r="E28" s="111">
        <v>25</v>
      </c>
      <c r="F28" s="112">
        <v>45351</v>
      </c>
      <c r="G28" s="111" t="str">
        <f t="shared" si="0"/>
        <v>yyyy02</v>
      </c>
      <c r="H28" s="120" t="s">
        <v>170</v>
      </c>
      <c r="I28" s="111" t="s">
        <v>171</v>
      </c>
      <c r="J28" s="111">
        <v>1</v>
      </c>
      <c r="K28" s="111" t="s">
        <v>172</v>
      </c>
      <c r="L28" s="314">
        <v>20273.5</v>
      </c>
      <c r="M28" s="111" t="s">
        <v>116</v>
      </c>
      <c r="N28" s="320">
        <v>31.19</v>
      </c>
      <c r="O28" s="315">
        <f t="shared" si="1"/>
        <v>650</v>
      </c>
      <c r="P28" s="114">
        <v>0.25</v>
      </c>
      <c r="Q28" s="321">
        <v>0.92200000000000004</v>
      </c>
      <c r="R28" s="322">
        <f t="shared" si="2"/>
        <v>149.82500000000002</v>
      </c>
      <c r="S28" s="322" t="s">
        <v>117</v>
      </c>
      <c r="T28" s="323"/>
    </row>
    <row r="29" spans="1:20" ht="16.25" customHeight="1">
      <c r="A29" s="111">
        <v>26</v>
      </c>
      <c r="B29" s="111" t="s">
        <v>169</v>
      </c>
      <c r="C29" s="111" t="s">
        <v>112</v>
      </c>
      <c r="D29" s="111" t="s">
        <v>113</v>
      </c>
      <c r="E29" s="111">
        <v>26</v>
      </c>
      <c r="F29" s="112">
        <v>45351</v>
      </c>
      <c r="G29" s="111" t="str">
        <f t="shared" si="0"/>
        <v>yyyy02</v>
      </c>
      <c r="H29" s="120" t="s">
        <v>173</v>
      </c>
      <c r="I29" s="111" t="s">
        <v>119</v>
      </c>
      <c r="J29" s="111">
        <v>4</v>
      </c>
      <c r="K29" s="111" t="s">
        <v>120</v>
      </c>
      <c r="L29" s="314">
        <f>L28*$M$1</f>
        <v>202.73500000000001</v>
      </c>
      <c r="M29" s="111" t="s">
        <v>116</v>
      </c>
      <c r="N29" s="320">
        <v>31.19</v>
      </c>
      <c r="O29" s="315">
        <f t="shared" si="1"/>
        <v>6.5</v>
      </c>
      <c r="P29" s="114">
        <v>0.25</v>
      </c>
      <c r="Q29" s="321">
        <v>0.92200000000000004</v>
      </c>
      <c r="R29" s="322">
        <f t="shared" si="2"/>
        <v>1.4982500000000001</v>
      </c>
      <c r="S29" s="322" t="s">
        <v>117</v>
      </c>
      <c r="T29" s="323"/>
    </row>
    <row r="30" spans="1:20" ht="16.25" customHeight="1">
      <c r="A30" s="111">
        <v>27</v>
      </c>
      <c r="B30" s="111" t="s">
        <v>174</v>
      </c>
      <c r="C30" s="111" t="s">
        <v>112</v>
      </c>
      <c r="D30" s="111" t="s">
        <v>175</v>
      </c>
      <c r="E30" s="111">
        <v>27</v>
      </c>
      <c r="F30" s="112">
        <v>45351</v>
      </c>
      <c r="G30" s="111" t="str">
        <f t="shared" si="0"/>
        <v>yyyy02</v>
      </c>
      <c r="H30" s="120" t="s">
        <v>176</v>
      </c>
      <c r="I30" s="111" t="s">
        <v>177</v>
      </c>
      <c r="J30" s="111">
        <v>4</v>
      </c>
      <c r="K30" s="111">
        <v>4.2</v>
      </c>
      <c r="L30" s="314">
        <v>5302.3</v>
      </c>
      <c r="M30" s="111" t="s">
        <v>116</v>
      </c>
      <c r="N30" s="320">
        <v>31.19</v>
      </c>
      <c r="O30" s="315">
        <f t="shared" si="1"/>
        <v>170</v>
      </c>
      <c r="P30" s="114">
        <v>1</v>
      </c>
      <c r="Q30" s="321">
        <v>0.92200000000000004</v>
      </c>
      <c r="R30" s="322">
        <f t="shared" si="2"/>
        <v>156.74</v>
      </c>
      <c r="S30" s="322" t="s">
        <v>117</v>
      </c>
      <c r="T30" s="323">
        <v>45351</v>
      </c>
    </row>
    <row r="31" spans="1:20" ht="16.25" customHeight="1">
      <c r="A31" s="111">
        <v>28</v>
      </c>
      <c r="B31" s="111" t="s">
        <v>174</v>
      </c>
      <c r="C31" s="111" t="s">
        <v>112</v>
      </c>
      <c r="D31" s="111" t="s">
        <v>175</v>
      </c>
      <c r="E31" s="111">
        <v>28</v>
      </c>
      <c r="F31" s="112">
        <v>45351</v>
      </c>
      <c r="G31" s="111" t="str">
        <f t="shared" si="0"/>
        <v>yyyy02</v>
      </c>
      <c r="H31" s="120" t="s">
        <v>178</v>
      </c>
      <c r="I31" s="111" t="s">
        <v>119</v>
      </c>
      <c r="J31" s="111">
        <v>4</v>
      </c>
      <c r="K31" s="111" t="s">
        <v>120</v>
      </c>
      <c r="L31" s="314">
        <f>L30*$M$1</f>
        <v>53.023000000000003</v>
      </c>
      <c r="M31" s="111" t="s">
        <v>116</v>
      </c>
      <c r="N31" s="320">
        <v>31.19</v>
      </c>
      <c r="O31" s="315">
        <f t="shared" si="1"/>
        <v>1.7</v>
      </c>
      <c r="P31" s="114">
        <v>1</v>
      </c>
      <c r="Q31" s="321">
        <v>0.92200000000000004</v>
      </c>
      <c r="R31" s="322">
        <f t="shared" si="2"/>
        <v>1.5674000000000001</v>
      </c>
      <c r="S31" s="322" t="s">
        <v>117</v>
      </c>
      <c r="T31" s="323">
        <v>45351</v>
      </c>
    </row>
    <row r="32" spans="1:20" ht="16.25" customHeight="1">
      <c r="A32" s="111">
        <v>29</v>
      </c>
      <c r="B32" s="111" t="s">
        <v>179</v>
      </c>
      <c r="C32" s="111" t="s">
        <v>112</v>
      </c>
      <c r="D32" s="111" t="s">
        <v>180</v>
      </c>
      <c r="E32" s="111">
        <v>29</v>
      </c>
      <c r="F32" s="112">
        <v>45351</v>
      </c>
      <c r="G32" s="111" t="str">
        <f t="shared" si="0"/>
        <v>yyyy02</v>
      </c>
      <c r="H32" s="120" t="s">
        <v>181</v>
      </c>
      <c r="I32" s="111" t="s">
        <v>182</v>
      </c>
      <c r="J32" s="111">
        <v>1</v>
      </c>
      <c r="K32" s="111" t="s">
        <v>183</v>
      </c>
      <c r="L32" s="314">
        <v>62319.4</v>
      </c>
      <c r="M32" s="111" t="s">
        <v>116</v>
      </c>
      <c r="N32" s="320">
        <v>31.159700000000001</v>
      </c>
      <c r="O32" s="315">
        <f t="shared" si="1"/>
        <v>2000</v>
      </c>
      <c r="P32" s="114">
        <v>0.25</v>
      </c>
      <c r="Q32" s="321">
        <v>0.92200000000000004</v>
      </c>
      <c r="R32" s="322">
        <f t="shared" si="2"/>
        <v>461</v>
      </c>
      <c r="S32" s="322" t="s">
        <v>117</v>
      </c>
      <c r="T32" s="323"/>
    </row>
    <row r="33" spans="1:20" ht="16.25" customHeight="1">
      <c r="A33" s="111">
        <v>30</v>
      </c>
      <c r="B33" s="111" t="s">
        <v>179</v>
      </c>
      <c r="C33" s="111" t="s">
        <v>112</v>
      </c>
      <c r="D33" s="111" t="s">
        <v>180</v>
      </c>
      <c r="E33" s="111">
        <v>30</v>
      </c>
      <c r="F33" s="112">
        <v>45351</v>
      </c>
      <c r="G33" s="111" t="str">
        <f t="shared" si="0"/>
        <v>yyyy02</v>
      </c>
      <c r="H33" s="120" t="s">
        <v>184</v>
      </c>
      <c r="I33" s="111" t="s">
        <v>182</v>
      </c>
      <c r="J33" s="111">
        <v>1</v>
      </c>
      <c r="K33" s="111" t="s">
        <v>183</v>
      </c>
      <c r="L33" s="314">
        <v>27102.17</v>
      </c>
      <c r="M33" s="111" t="s">
        <v>116</v>
      </c>
      <c r="N33" s="320">
        <v>31.159700000000001</v>
      </c>
      <c r="O33" s="315">
        <f t="shared" si="1"/>
        <v>869.78276427565083</v>
      </c>
      <c r="P33" s="114">
        <v>0.25</v>
      </c>
      <c r="Q33" s="321">
        <v>0.92200000000000004</v>
      </c>
      <c r="R33" s="322">
        <f t="shared" si="2"/>
        <v>200.48492716553753</v>
      </c>
      <c r="S33" s="322" t="s">
        <v>117</v>
      </c>
      <c r="T33" s="323"/>
    </row>
    <row r="34" spans="1:20" ht="16.25" customHeight="1">
      <c r="A34" s="111">
        <v>31</v>
      </c>
      <c r="B34" s="111" t="s">
        <v>179</v>
      </c>
      <c r="C34" s="111" t="s">
        <v>112</v>
      </c>
      <c r="D34" s="111" t="s">
        <v>180</v>
      </c>
      <c r="E34" s="111">
        <v>31</v>
      </c>
      <c r="F34" s="112">
        <v>45351</v>
      </c>
      <c r="G34" s="111" t="str">
        <f t="shared" si="0"/>
        <v>yyyy02</v>
      </c>
      <c r="H34" s="120" t="s">
        <v>185</v>
      </c>
      <c r="I34" s="111" t="s">
        <v>182</v>
      </c>
      <c r="J34" s="111">
        <v>1</v>
      </c>
      <c r="K34" s="111" t="s">
        <v>183</v>
      </c>
      <c r="L34" s="314">
        <v>8563.19</v>
      </c>
      <c r="M34" s="111" t="s">
        <v>116</v>
      </c>
      <c r="N34" s="320">
        <v>31.159700000000001</v>
      </c>
      <c r="O34" s="315">
        <f t="shared" si="1"/>
        <v>274.81618885932789</v>
      </c>
      <c r="P34" s="114">
        <v>0.25</v>
      </c>
      <c r="Q34" s="321">
        <v>0.92200000000000004</v>
      </c>
      <c r="R34" s="322">
        <f t="shared" si="2"/>
        <v>63.345131532075079</v>
      </c>
      <c r="S34" s="322" t="s">
        <v>117</v>
      </c>
      <c r="T34" s="323"/>
    </row>
    <row r="35" spans="1:20" ht="16.25" customHeight="1">
      <c r="A35" s="111">
        <v>32</v>
      </c>
      <c r="B35" s="111" t="s">
        <v>179</v>
      </c>
      <c r="C35" s="111" t="s">
        <v>112</v>
      </c>
      <c r="D35" s="111" t="s">
        <v>180</v>
      </c>
      <c r="E35" s="111">
        <v>32</v>
      </c>
      <c r="F35" s="112">
        <v>45351</v>
      </c>
      <c r="G35" s="111" t="str">
        <f t="shared" si="0"/>
        <v>yyyy02</v>
      </c>
      <c r="H35" s="120" t="s">
        <v>186</v>
      </c>
      <c r="I35" s="111" t="s">
        <v>182</v>
      </c>
      <c r="J35" s="111">
        <v>1</v>
      </c>
      <c r="K35" s="111" t="s">
        <v>183</v>
      </c>
      <c r="L35" s="314">
        <v>83.33</v>
      </c>
      <c r="M35" s="111" t="s">
        <v>187</v>
      </c>
      <c r="N35" s="320">
        <v>1</v>
      </c>
      <c r="O35" s="315">
        <f t="shared" si="1"/>
        <v>83.33</v>
      </c>
      <c r="P35" s="114">
        <v>0.25</v>
      </c>
      <c r="Q35" s="321">
        <v>0.92200000000000004</v>
      </c>
      <c r="R35" s="322">
        <f t="shared" si="2"/>
        <v>19.207564999999999</v>
      </c>
      <c r="S35" s="322" t="s">
        <v>188</v>
      </c>
      <c r="T35" s="323"/>
    </row>
    <row r="36" spans="1:20" ht="16.25" customHeight="1">
      <c r="A36" s="111">
        <v>33</v>
      </c>
      <c r="B36" s="111" t="s">
        <v>189</v>
      </c>
      <c r="C36" s="111" t="s">
        <v>112</v>
      </c>
      <c r="D36" s="111" t="s">
        <v>180</v>
      </c>
      <c r="E36" s="111">
        <v>33</v>
      </c>
      <c r="F36" s="112">
        <v>45351</v>
      </c>
      <c r="G36" s="111" t="str">
        <f t="shared" ref="G36:G67" si="3">TEXT(F36,"yyyymm")</f>
        <v>yyyy02</v>
      </c>
      <c r="H36" s="120" t="s">
        <v>190</v>
      </c>
      <c r="I36" s="111" t="s">
        <v>191</v>
      </c>
      <c r="J36" s="111">
        <v>1</v>
      </c>
      <c r="K36" s="111" t="s">
        <v>192</v>
      </c>
      <c r="L36" s="314">
        <v>109058.95</v>
      </c>
      <c r="M36" s="111" t="s">
        <v>116</v>
      </c>
      <c r="N36" s="320">
        <v>31.159700000000001</v>
      </c>
      <c r="O36" s="315">
        <f t="shared" ref="O36:O67" si="4">L36/N36</f>
        <v>3500</v>
      </c>
      <c r="P36" s="114">
        <v>0.25</v>
      </c>
      <c r="Q36" s="321">
        <v>0.92200000000000004</v>
      </c>
      <c r="R36" s="322">
        <f t="shared" ref="R36:R67" si="5">O36*P36*Q36</f>
        <v>806.75</v>
      </c>
      <c r="S36" s="322" t="s">
        <v>117</v>
      </c>
      <c r="T36" s="323"/>
    </row>
    <row r="37" spans="1:20" ht="16.25" customHeight="1">
      <c r="A37" s="111">
        <v>34</v>
      </c>
      <c r="B37" s="111" t="s">
        <v>189</v>
      </c>
      <c r="C37" s="111" t="s">
        <v>112</v>
      </c>
      <c r="D37" s="111" t="s">
        <v>180</v>
      </c>
      <c r="E37" s="111">
        <v>34</v>
      </c>
      <c r="F37" s="112">
        <v>45351</v>
      </c>
      <c r="G37" s="111" t="str">
        <f t="shared" si="3"/>
        <v>yyyy02</v>
      </c>
      <c r="H37" s="120" t="s">
        <v>193</v>
      </c>
      <c r="I37" s="111" t="s">
        <v>191</v>
      </c>
      <c r="J37" s="111">
        <v>1</v>
      </c>
      <c r="K37" s="111" t="s">
        <v>192</v>
      </c>
      <c r="L37" s="314">
        <v>26985.99</v>
      </c>
      <c r="M37" s="111" t="s">
        <v>116</v>
      </c>
      <c r="N37" s="320">
        <v>31.159700000000001</v>
      </c>
      <c r="O37" s="315">
        <f t="shared" si="4"/>
        <v>866.05423030388613</v>
      </c>
      <c r="P37" s="114">
        <v>0.25</v>
      </c>
      <c r="Q37" s="321">
        <v>0.92200000000000004</v>
      </c>
      <c r="R37" s="322">
        <f t="shared" si="5"/>
        <v>199.62550008504576</v>
      </c>
      <c r="S37" s="322" t="s">
        <v>117</v>
      </c>
      <c r="T37" s="323"/>
    </row>
    <row r="38" spans="1:20" ht="16.25" customHeight="1">
      <c r="A38" s="111">
        <v>35</v>
      </c>
      <c r="B38" s="111" t="s">
        <v>189</v>
      </c>
      <c r="C38" s="111" t="s">
        <v>112</v>
      </c>
      <c r="D38" s="111" t="s">
        <v>180</v>
      </c>
      <c r="E38" s="111">
        <v>35</v>
      </c>
      <c r="F38" s="112">
        <v>45351</v>
      </c>
      <c r="G38" s="111" t="str">
        <f t="shared" si="3"/>
        <v>yyyy02</v>
      </c>
      <c r="H38" s="120" t="s">
        <v>194</v>
      </c>
      <c r="I38" s="111" t="s">
        <v>191</v>
      </c>
      <c r="J38" s="111">
        <v>1</v>
      </c>
      <c r="K38" s="111" t="s">
        <v>192</v>
      </c>
      <c r="L38" s="314">
        <v>48756.14</v>
      </c>
      <c r="M38" s="111" t="s">
        <v>116</v>
      </c>
      <c r="N38" s="320">
        <v>31.159700000000001</v>
      </c>
      <c r="O38" s="315">
        <f t="shared" si="4"/>
        <v>1564.7178888115097</v>
      </c>
      <c r="P38" s="114">
        <v>0.25</v>
      </c>
      <c r="Q38" s="321">
        <v>0.92200000000000004</v>
      </c>
      <c r="R38" s="322">
        <f t="shared" si="5"/>
        <v>360.66747337105301</v>
      </c>
      <c r="S38" s="322" t="s">
        <v>117</v>
      </c>
      <c r="T38" s="323"/>
    </row>
    <row r="39" spans="1:20" ht="16.25" customHeight="1">
      <c r="A39" s="111">
        <v>36</v>
      </c>
      <c r="B39" s="111" t="s">
        <v>189</v>
      </c>
      <c r="C39" s="111" t="s">
        <v>112</v>
      </c>
      <c r="D39" s="111" t="s">
        <v>180</v>
      </c>
      <c r="E39" s="111">
        <v>36</v>
      </c>
      <c r="F39" s="112">
        <v>45351</v>
      </c>
      <c r="G39" s="111" t="str">
        <f t="shared" si="3"/>
        <v>yyyy02</v>
      </c>
      <c r="H39" s="120" t="s">
        <v>195</v>
      </c>
      <c r="I39" s="111" t="s">
        <v>191</v>
      </c>
      <c r="J39" s="111">
        <v>1</v>
      </c>
      <c r="K39" s="111" t="s">
        <v>192</v>
      </c>
      <c r="L39" s="314">
        <v>83.33</v>
      </c>
      <c r="M39" s="111" t="s">
        <v>187</v>
      </c>
      <c r="N39" s="320">
        <v>1</v>
      </c>
      <c r="O39" s="315">
        <f t="shared" si="4"/>
        <v>83.33</v>
      </c>
      <c r="P39" s="114">
        <v>0.25</v>
      </c>
      <c r="Q39" s="321">
        <v>0.92200000000000004</v>
      </c>
      <c r="R39" s="322">
        <f t="shared" si="5"/>
        <v>19.207564999999999</v>
      </c>
      <c r="S39" s="322" t="s">
        <v>188</v>
      </c>
      <c r="T39" s="323"/>
    </row>
    <row r="40" spans="1:20" ht="16.25" customHeight="1">
      <c r="A40" s="111">
        <v>37</v>
      </c>
      <c r="B40" s="111" t="s">
        <v>196</v>
      </c>
      <c r="C40" s="111" t="s">
        <v>112</v>
      </c>
      <c r="D40" s="111" t="s">
        <v>180</v>
      </c>
      <c r="E40" s="111">
        <v>37</v>
      </c>
      <c r="F40" s="112">
        <v>45351</v>
      </c>
      <c r="G40" s="111" t="str">
        <f t="shared" si="3"/>
        <v>yyyy02</v>
      </c>
      <c r="H40" s="120" t="s">
        <v>197</v>
      </c>
      <c r="I40" s="111" t="s">
        <v>198</v>
      </c>
      <c r="J40" s="111">
        <v>1</v>
      </c>
      <c r="K40" s="121" t="s">
        <v>199</v>
      </c>
      <c r="L40" s="314">
        <v>93479.1</v>
      </c>
      <c r="M40" s="111" t="s">
        <v>116</v>
      </c>
      <c r="N40" s="320">
        <v>31.159700000000001</v>
      </c>
      <c r="O40" s="315">
        <f t="shared" si="4"/>
        <v>3000</v>
      </c>
      <c r="P40" s="114">
        <v>0.25</v>
      </c>
      <c r="Q40" s="321">
        <v>0.92200000000000004</v>
      </c>
      <c r="R40" s="322">
        <f t="shared" si="5"/>
        <v>691.5</v>
      </c>
      <c r="S40" s="322" t="s">
        <v>117</v>
      </c>
      <c r="T40" s="323"/>
    </row>
    <row r="41" spans="1:20" ht="16.25" customHeight="1">
      <c r="A41" s="111">
        <v>38</v>
      </c>
      <c r="B41" s="111" t="s">
        <v>196</v>
      </c>
      <c r="C41" s="111" t="s">
        <v>112</v>
      </c>
      <c r="D41" s="111" t="s">
        <v>180</v>
      </c>
      <c r="E41" s="111">
        <v>38</v>
      </c>
      <c r="F41" s="112">
        <v>45351</v>
      </c>
      <c r="G41" s="111" t="str">
        <f t="shared" si="3"/>
        <v>yyyy02</v>
      </c>
      <c r="H41" s="120" t="s">
        <v>200</v>
      </c>
      <c r="I41" s="111" t="s">
        <v>198</v>
      </c>
      <c r="J41" s="111">
        <v>1</v>
      </c>
      <c r="K41" s="121" t="s">
        <v>199</v>
      </c>
      <c r="L41" s="314">
        <v>20947.22</v>
      </c>
      <c r="M41" s="111" t="s">
        <v>116</v>
      </c>
      <c r="N41" s="320">
        <v>31.159700000000001</v>
      </c>
      <c r="O41" s="315">
        <f t="shared" si="4"/>
        <v>672.2535839561998</v>
      </c>
      <c r="P41" s="114">
        <v>0.25</v>
      </c>
      <c r="Q41" s="321">
        <v>0.92200000000000004</v>
      </c>
      <c r="R41" s="322">
        <f t="shared" si="5"/>
        <v>154.95445110190406</v>
      </c>
      <c r="S41" s="322" t="s">
        <v>117</v>
      </c>
      <c r="T41" s="323"/>
    </row>
    <row r="42" spans="1:20" ht="16.25" customHeight="1">
      <c r="A42" s="111">
        <v>39</v>
      </c>
      <c r="B42" s="111" t="s">
        <v>196</v>
      </c>
      <c r="C42" s="111" t="s">
        <v>112</v>
      </c>
      <c r="D42" s="111" t="s">
        <v>180</v>
      </c>
      <c r="E42" s="111">
        <v>39</v>
      </c>
      <c r="F42" s="112">
        <v>45351</v>
      </c>
      <c r="G42" s="111" t="str">
        <f t="shared" si="3"/>
        <v>yyyy02</v>
      </c>
      <c r="H42" s="120" t="s">
        <v>201</v>
      </c>
      <c r="I42" s="111" t="s">
        <v>198</v>
      </c>
      <c r="J42" s="111">
        <v>1</v>
      </c>
      <c r="K42" s="121" t="s">
        <v>199</v>
      </c>
      <c r="L42" s="314">
        <v>43751.239999999991</v>
      </c>
      <c r="M42" s="111" t="s">
        <v>116</v>
      </c>
      <c r="N42" s="320">
        <v>31.159700000000001</v>
      </c>
      <c r="O42" s="315">
        <f t="shared" si="4"/>
        <v>1404.0969585714879</v>
      </c>
      <c r="P42" s="114">
        <v>0.25</v>
      </c>
      <c r="Q42" s="321">
        <v>0.92200000000000004</v>
      </c>
      <c r="R42" s="322">
        <f t="shared" si="5"/>
        <v>323.64434895072799</v>
      </c>
      <c r="S42" s="322" t="s">
        <v>117</v>
      </c>
      <c r="T42" s="323"/>
    </row>
    <row r="43" spans="1:20" ht="16.25" customHeight="1">
      <c r="A43" s="111">
        <v>40</v>
      </c>
      <c r="B43" s="111" t="s">
        <v>196</v>
      </c>
      <c r="C43" s="111" t="s">
        <v>112</v>
      </c>
      <c r="D43" s="111" t="s">
        <v>180</v>
      </c>
      <c r="E43" s="111">
        <v>40</v>
      </c>
      <c r="F43" s="112">
        <v>45351</v>
      </c>
      <c r="G43" s="111" t="str">
        <f t="shared" si="3"/>
        <v>yyyy02</v>
      </c>
      <c r="H43" s="120" t="s">
        <v>202</v>
      </c>
      <c r="I43" s="111" t="s">
        <v>198</v>
      </c>
      <c r="J43" s="111">
        <v>1</v>
      </c>
      <c r="K43" s="121" t="s">
        <v>199</v>
      </c>
      <c r="L43" s="314">
        <v>83.33</v>
      </c>
      <c r="M43" s="111" t="s">
        <v>187</v>
      </c>
      <c r="N43" s="320">
        <v>1</v>
      </c>
      <c r="O43" s="315">
        <f t="shared" si="4"/>
        <v>83.33</v>
      </c>
      <c r="P43" s="114">
        <v>0.25</v>
      </c>
      <c r="Q43" s="321">
        <v>0.92200000000000004</v>
      </c>
      <c r="R43" s="322">
        <f t="shared" si="5"/>
        <v>19.207564999999999</v>
      </c>
      <c r="S43" s="322" t="s">
        <v>188</v>
      </c>
      <c r="T43" s="323"/>
    </row>
    <row r="44" spans="1:20" ht="16.25" customHeight="1">
      <c r="A44" s="111">
        <v>41</v>
      </c>
      <c r="B44" s="111" t="s">
        <v>203</v>
      </c>
      <c r="C44" s="111" t="s">
        <v>112</v>
      </c>
      <c r="D44" s="111" t="s">
        <v>180</v>
      </c>
      <c r="E44" s="111">
        <v>41</v>
      </c>
      <c r="F44" s="112">
        <v>45351</v>
      </c>
      <c r="G44" s="111" t="str">
        <f t="shared" si="3"/>
        <v>yyyy02</v>
      </c>
      <c r="H44" s="120" t="s">
        <v>204</v>
      </c>
      <c r="I44" s="111" t="s">
        <v>205</v>
      </c>
      <c r="J44" s="111">
        <v>1</v>
      </c>
      <c r="K44" s="121" t="s">
        <v>206</v>
      </c>
      <c r="L44" s="314">
        <v>62319.4</v>
      </c>
      <c r="M44" s="111" t="s">
        <v>116</v>
      </c>
      <c r="N44" s="320">
        <v>31.159700000000001</v>
      </c>
      <c r="O44" s="315">
        <f t="shared" si="4"/>
        <v>2000</v>
      </c>
      <c r="P44" s="114">
        <v>0.35</v>
      </c>
      <c r="Q44" s="321">
        <v>0.92200000000000004</v>
      </c>
      <c r="R44" s="322">
        <f t="shared" si="5"/>
        <v>645.4</v>
      </c>
      <c r="S44" s="322" t="s">
        <v>117</v>
      </c>
      <c r="T44" s="323"/>
    </row>
    <row r="45" spans="1:20" ht="16.25" customHeight="1">
      <c r="A45" s="111">
        <v>42</v>
      </c>
      <c r="B45" s="111" t="s">
        <v>203</v>
      </c>
      <c r="C45" s="111" t="s">
        <v>112</v>
      </c>
      <c r="D45" s="111" t="s">
        <v>180</v>
      </c>
      <c r="E45" s="111">
        <v>42</v>
      </c>
      <c r="F45" s="112">
        <v>45351</v>
      </c>
      <c r="G45" s="111" t="str">
        <f t="shared" si="3"/>
        <v>yyyy02</v>
      </c>
      <c r="H45" s="120" t="s">
        <v>207</v>
      </c>
      <c r="I45" s="111" t="s">
        <v>205</v>
      </c>
      <c r="J45" s="111">
        <v>1</v>
      </c>
      <c r="K45" s="121" t="s">
        <v>206</v>
      </c>
      <c r="L45" s="314">
        <v>10440.99</v>
      </c>
      <c r="M45" s="111" t="s">
        <v>116</v>
      </c>
      <c r="N45" s="320">
        <v>31.159700000000001</v>
      </c>
      <c r="O45" s="315">
        <f t="shared" si="4"/>
        <v>335.07992695693474</v>
      </c>
      <c r="P45" s="114">
        <v>0.35</v>
      </c>
      <c r="Q45" s="321">
        <v>0.92200000000000004</v>
      </c>
      <c r="R45" s="322">
        <f t="shared" si="5"/>
        <v>108.13029242900284</v>
      </c>
      <c r="S45" s="322" t="s">
        <v>117</v>
      </c>
      <c r="T45" s="323"/>
    </row>
    <row r="46" spans="1:20" ht="16.25" customHeight="1">
      <c r="A46" s="111">
        <v>43</v>
      </c>
      <c r="B46" s="111" t="s">
        <v>203</v>
      </c>
      <c r="C46" s="111" t="s">
        <v>112</v>
      </c>
      <c r="D46" s="111" t="s">
        <v>180</v>
      </c>
      <c r="E46" s="111">
        <v>43</v>
      </c>
      <c r="F46" s="112">
        <v>45351</v>
      </c>
      <c r="G46" s="111" t="str">
        <f t="shared" si="3"/>
        <v>yyyy02</v>
      </c>
      <c r="H46" s="120" t="s">
        <v>208</v>
      </c>
      <c r="I46" s="111" t="s">
        <v>205</v>
      </c>
      <c r="J46" s="111">
        <v>1</v>
      </c>
      <c r="K46" s="121" t="s">
        <v>206</v>
      </c>
      <c r="L46" s="314">
        <v>27820.14</v>
      </c>
      <c r="M46" s="111" t="s">
        <v>116</v>
      </c>
      <c r="N46" s="320">
        <v>31.159700000000001</v>
      </c>
      <c r="O46" s="315">
        <f t="shared" si="4"/>
        <v>892.82438534388962</v>
      </c>
      <c r="P46" s="114">
        <v>0.35</v>
      </c>
      <c r="Q46" s="321">
        <v>0.92200000000000004</v>
      </c>
      <c r="R46" s="322">
        <f t="shared" si="5"/>
        <v>288.11442915047314</v>
      </c>
      <c r="S46" s="322" t="s">
        <v>117</v>
      </c>
      <c r="T46" s="323"/>
    </row>
    <row r="47" spans="1:20" ht="16.25" customHeight="1">
      <c r="A47" s="111">
        <v>44</v>
      </c>
      <c r="B47" s="111" t="s">
        <v>203</v>
      </c>
      <c r="C47" s="111" t="s">
        <v>112</v>
      </c>
      <c r="D47" s="111" t="s">
        <v>180</v>
      </c>
      <c r="E47" s="111">
        <v>44</v>
      </c>
      <c r="F47" s="112">
        <v>45351</v>
      </c>
      <c r="G47" s="111" t="str">
        <f t="shared" si="3"/>
        <v>yyyy02</v>
      </c>
      <c r="H47" s="120" t="s">
        <v>209</v>
      </c>
      <c r="I47" s="111" t="s">
        <v>205</v>
      </c>
      <c r="J47" s="111">
        <v>1</v>
      </c>
      <c r="K47" s="121" t="s">
        <v>206</v>
      </c>
      <c r="L47" s="314">
        <v>83.33</v>
      </c>
      <c r="M47" s="111" t="s">
        <v>187</v>
      </c>
      <c r="N47" s="320">
        <v>1</v>
      </c>
      <c r="O47" s="315">
        <f t="shared" si="4"/>
        <v>83.33</v>
      </c>
      <c r="P47" s="114">
        <v>0.35</v>
      </c>
      <c r="Q47" s="321">
        <v>0.92200000000000004</v>
      </c>
      <c r="R47" s="322">
        <f t="shared" si="5"/>
        <v>26.890591000000001</v>
      </c>
      <c r="S47" s="322" t="s">
        <v>188</v>
      </c>
      <c r="T47" s="323"/>
    </row>
    <row r="48" spans="1:20" ht="16.25" customHeight="1">
      <c r="A48" s="111">
        <v>45</v>
      </c>
      <c r="B48" s="115"/>
      <c r="C48" s="115"/>
      <c r="D48" s="115"/>
      <c r="E48" s="115">
        <v>45</v>
      </c>
      <c r="F48" s="112">
        <v>45351</v>
      </c>
      <c r="G48" s="111" t="str">
        <f t="shared" si="3"/>
        <v>yyyy02</v>
      </c>
      <c r="H48" s="120" t="s">
        <v>210</v>
      </c>
      <c r="I48" s="111"/>
      <c r="J48" s="111"/>
      <c r="K48" s="111"/>
      <c r="L48" s="314"/>
      <c r="M48" s="111" t="s">
        <v>211</v>
      </c>
      <c r="N48" s="320">
        <v>1</v>
      </c>
      <c r="O48" s="322">
        <f t="shared" si="4"/>
        <v>0</v>
      </c>
      <c r="P48" s="114">
        <v>0.1</v>
      </c>
      <c r="Q48" s="321">
        <v>1</v>
      </c>
      <c r="R48" s="322">
        <f t="shared" si="5"/>
        <v>0</v>
      </c>
      <c r="S48" s="322" t="s">
        <v>188</v>
      </c>
      <c r="T48" s="323"/>
    </row>
    <row r="49" spans="1:20" s="93" customFormat="1" ht="16.25" customHeight="1">
      <c r="A49" s="111">
        <v>46</v>
      </c>
      <c r="B49" s="111" t="s">
        <v>111</v>
      </c>
      <c r="C49" s="111" t="s">
        <v>212</v>
      </c>
      <c r="D49" s="111" t="s">
        <v>113</v>
      </c>
      <c r="E49" s="111"/>
      <c r="F49" s="112">
        <v>45382</v>
      </c>
      <c r="G49" s="111" t="str">
        <f t="shared" si="3"/>
        <v>yyyy03</v>
      </c>
      <c r="H49" s="120" t="s">
        <v>213</v>
      </c>
      <c r="I49" s="113" t="s">
        <v>115</v>
      </c>
      <c r="J49" s="111">
        <v>1</v>
      </c>
      <c r="K49" s="111" t="s">
        <v>31</v>
      </c>
      <c r="L49" s="314">
        <v>12820</v>
      </c>
      <c r="M49" s="111" t="s">
        <v>116</v>
      </c>
      <c r="N49" s="320">
        <v>32.049999999999997</v>
      </c>
      <c r="O49" s="315">
        <f t="shared" si="4"/>
        <v>400.00000000000006</v>
      </c>
      <c r="P49" s="114">
        <v>1</v>
      </c>
      <c r="Q49" s="321">
        <v>0.92520000000000002</v>
      </c>
      <c r="R49" s="322">
        <f t="shared" si="5"/>
        <v>370.08000000000004</v>
      </c>
      <c r="S49" s="322" t="s">
        <v>117</v>
      </c>
      <c r="T49" s="323"/>
    </row>
    <row r="50" spans="1:20" s="93" customFormat="1" ht="16.25" customHeight="1">
      <c r="A50" s="111">
        <v>47</v>
      </c>
      <c r="B50" s="111" t="s">
        <v>111</v>
      </c>
      <c r="C50" s="111" t="s">
        <v>212</v>
      </c>
      <c r="D50" s="111" t="s">
        <v>113</v>
      </c>
      <c r="E50" s="111"/>
      <c r="F50" s="112">
        <v>45382</v>
      </c>
      <c r="G50" s="111" t="str">
        <f t="shared" si="3"/>
        <v>yyyy03</v>
      </c>
      <c r="H50" s="120" t="s">
        <v>214</v>
      </c>
      <c r="I50" s="113" t="s">
        <v>119</v>
      </c>
      <c r="J50" s="111">
        <v>4</v>
      </c>
      <c r="K50" s="111" t="s">
        <v>120</v>
      </c>
      <c r="L50" s="314">
        <f>L49*$M$1</f>
        <v>128.19999999999999</v>
      </c>
      <c r="M50" s="111" t="s">
        <v>116</v>
      </c>
      <c r="N50" s="320">
        <v>32.049999999999997</v>
      </c>
      <c r="O50" s="315">
        <f t="shared" si="4"/>
        <v>4</v>
      </c>
      <c r="P50" s="114">
        <v>1</v>
      </c>
      <c r="Q50" s="321">
        <v>0.92520000000000002</v>
      </c>
      <c r="R50" s="322">
        <f t="shared" si="5"/>
        <v>3.7008000000000001</v>
      </c>
      <c r="S50" s="322" t="s">
        <v>117</v>
      </c>
      <c r="T50" s="323"/>
    </row>
    <row r="51" spans="1:20" s="93" customFormat="1" ht="16.25" customHeight="1">
      <c r="A51" s="111">
        <v>48</v>
      </c>
      <c r="B51" s="111" t="s">
        <v>121</v>
      </c>
      <c r="C51" s="111" t="s">
        <v>212</v>
      </c>
      <c r="D51" s="111" t="s">
        <v>113</v>
      </c>
      <c r="E51" s="111"/>
      <c r="F51" s="112">
        <v>45382</v>
      </c>
      <c r="G51" s="111" t="str">
        <f t="shared" si="3"/>
        <v>yyyy03</v>
      </c>
      <c r="H51" s="120" t="s">
        <v>215</v>
      </c>
      <c r="I51" s="113" t="s">
        <v>123</v>
      </c>
      <c r="J51" s="111">
        <v>1</v>
      </c>
      <c r="K51" s="111" t="s">
        <v>31</v>
      </c>
      <c r="L51" s="314">
        <v>12820</v>
      </c>
      <c r="M51" s="111" t="s">
        <v>116</v>
      </c>
      <c r="N51" s="320">
        <v>32.049999999999997</v>
      </c>
      <c r="O51" s="315">
        <f t="shared" si="4"/>
        <v>400.00000000000006</v>
      </c>
      <c r="P51" s="114">
        <v>1</v>
      </c>
      <c r="Q51" s="321">
        <v>0.92520000000000002</v>
      </c>
      <c r="R51" s="322">
        <f t="shared" si="5"/>
        <v>370.08000000000004</v>
      </c>
      <c r="S51" s="322" t="s">
        <v>117</v>
      </c>
      <c r="T51" s="323"/>
    </row>
    <row r="52" spans="1:20" s="93" customFormat="1" ht="16.25" customHeight="1">
      <c r="A52" s="111">
        <v>49</v>
      </c>
      <c r="B52" s="111" t="s">
        <v>121</v>
      </c>
      <c r="C52" s="111" t="s">
        <v>212</v>
      </c>
      <c r="D52" s="111" t="s">
        <v>113</v>
      </c>
      <c r="E52" s="111"/>
      <c r="F52" s="112">
        <v>45382</v>
      </c>
      <c r="G52" s="111" t="str">
        <f t="shared" si="3"/>
        <v>yyyy03</v>
      </c>
      <c r="H52" s="120" t="s">
        <v>216</v>
      </c>
      <c r="I52" s="113" t="s">
        <v>119</v>
      </c>
      <c r="J52" s="111">
        <v>4</v>
      </c>
      <c r="K52" s="111" t="s">
        <v>120</v>
      </c>
      <c r="L52" s="314">
        <f>L51*$M$1</f>
        <v>128.19999999999999</v>
      </c>
      <c r="M52" s="111" t="s">
        <v>116</v>
      </c>
      <c r="N52" s="320">
        <v>32.049999999999997</v>
      </c>
      <c r="O52" s="315">
        <f t="shared" si="4"/>
        <v>4</v>
      </c>
      <c r="P52" s="114">
        <v>1</v>
      </c>
      <c r="Q52" s="321">
        <v>0.92520000000000002</v>
      </c>
      <c r="R52" s="322">
        <f t="shared" si="5"/>
        <v>3.7008000000000001</v>
      </c>
      <c r="S52" s="322" t="s">
        <v>117</v>
      </c>
      <c r="T52" s="323"/>
    </row>
    <row r="53" spans="1:20" s="93" customFormat="1" ht="16.25" customHeight="1">
      <c r="A53" s="111">
        <v>50</v>
      </c>
      <c r="B53" s="111" t="s">
        <v>125</v>
      </c>
      <c r="C53" s="111" t="s">
        <v>212</v>
      </c>
      <c r="D53" s="111" t="s">
        <v>113</v>
      </c>
      <c r="E53" s="111"/>
      <c r="F53" s="112">
        <v>45382</v>
      </c>
      <c r="G53" s="111" t="str">
        <f t="shared" si="3"/>
        <v>yyyy03</v>
      </c>
      <c r="H53" s="120" t="s">
        <v>217</v>
      </c>
      <c r="I53" s="113" t="s">
        <v>127</v>
      </c>
      <c r="J53" s="111">
        <v>1</v>
      </c>
      <c r="K53" s="111" t="s">
        <v>31</v>
      </c>
      <c r="L53" s="314">
        <v>12820</v>
      </c>
      <c r="M53" s="111" t="s">
        <v>116</v>
      </c>
      <c r="N53" s="320">
        <v>32.049999999999997</v>
      </c>
      <c r="O53" s="315">
        <f t="shared" si="4"/>
        <v>400.00000000000006</v>
      </c>
      <c r="P53" s="114">
        <v>1</v>
      </c>
      <c r="Q53" s="321">
        <v>0.92520000000000002</v>
      </c>
      <c r="R53" s="322">
        <f t="shared" si="5"/>
        <v>370.08000000000004</v>
      </c>
      <c r="S53" s="322" t="s">
        <v>117</v>
      </c>
      <c r="T53" s="323"/>
    </row>
    <row r="54" spans="1:20" s="93" customFormat="1" ht="16.25" customHeight="1">
      <c r="A54" s="111">
        <v>51</v>
      </c>
      <c r="B54" s="111" t="s">
        <v>125</v>
      </c>
      <c r="C54" s="111" t="s">
        <v>212</v>
      </c>
      <c r="D54" s="111" t="s">
        <v>113</v>
      </c>
      <c r="E54" s="111"/>
      <c r="F54" s="112">
        <v>45382</v>
      </c>
      <c r="G54" s="111" t="str">
        <f t="shared" si="3"/>
        <v>yyyy03</v>
      </c>
      <c r="H54" s="120" t="s">
        <v>218</v>
      </c>
      <c r="I54" s="113" t="s">
        <v>119</v>
      </c>
      <c r="J54" s="111">
        <v>4</v>
      </c>
      <c r="K54" s="111" t="s">
        <v>120</v>
      </c>
      <c r="L54" s="314">
        <f>L53*$M$1</f>
        <v>128.19999999999999</v>
      </c>
      <c r="M54" s="111" t="s">
        <v>116</v>
      </c>
      <c r="N54" s="320">
        <v>32.049999999999997</v>
      </c>
      <c r="O54" s="315">
        <f t="shared" si="4"/>
        <v>4</v>
      </c>
      <c r="P54" s="114">
        <v>1</v>
      </c>
      <c r="Q54" s="321">
        <v>0.92520000000000002</v>
      </c>
      <c r="R54" s="322">
        <f t="shared" si="5"/>
        <v>3.7008000000000001</v>
      </c>
      <c r="S54" s="322" t="s">
        <v>117</v>
      </c>
      <c r="T54" s="323"/>
    </row>
    <row r="55" spans="1:20" s="93" customFormat="1" ht="16.25" customHeight="1">
      <c r="A55" s="111">
        <v>52</v>
      </c>
      <c r="B55" s="111" t="s">
        <v>129</v>
      </c>
      <c r="C55" s="111" t="s">
        <v>212</v>
      </c>
      <c r="D55" s="111" t="s">
        <v>113</v>
      </c>
      <c r="E55" s="111"/>
      <c r="F55" s="112">
        <v>45382</v>
      </c>
      <c r="G55" s="111" t="str">
        <f t="shared" si="3"/>
        <v>yyyy03</v>
      </c>
      <c r="H55" s="120" t="s">
        <v>219</v>
      </c>
      <c r="I55" s="113" t="s">
        <v>131</v>
      </c>
      <c r="J55" s="111">
        <v>1</v>
      </c>
      <c r="K55" s="111" t="s">
        <v>34</v>
      </c>
      <c r="L55" s="314">
        <v>12820</v>
      </c>
      <c r="M55" s="111" t="s">
        <v>116</v>
      </c>
      <c r="N55" s="320">
        <v>32.049999999999997</v>
      </c>
      <c r="O55" s="315">
        <f t="shared" si="4"/>
        <v>400.00000000000006</v>
      </c>
      <c r="P55" s="114">
        <v>1</v>
      </c>
      <c r="Q55" s="321">
        <v>0.92520000000000002</v>
      </c>
      <c r="R55" s="322">
        <f t="shared" si="5"/>
        <v>370.08000000000004</v>
      </c>
      <c r="S55" s="322" t="s">
        <v>117</v>
      </c>
      <c r="T55" s="323"/>
    </row>
    <row r="56" spans="1:20" s="93" customFormat="1" ht="16.25" customHeight="1">
      <c r="A56" s="111">
        <v>53</v>
      </c>
      <c r="B56" s="111" t="s">
        <v>129</v>
      </c>
      <c r="C56" s="111" t="s">
        <v>212</v>
      </c>
      <c r="D56" s="111" t="s">
        <v>113</v>
      </c>
      <c r="E56" s="111"/>
      <c r="F56" s="112">
        <v>45382</v>
      </c>
      <c r="G56" s="111" t="str">
        <f t="shared" si="3"/>
        <v>yyyy03</v>
      </c>
      <c r="H56" s="120" t="s">
        <v>220</v>
      </c>
      <c r="I56" s="113" t="s">
        <v>119</v>
      </c>
      <c r="J56" s="111">
        <v>4</v>
      </c>
      <c r="K56" s="111" t="s">
        <v>120</v>
      </c>
      <c r="L56" s="314">
        <f>L55*$M$1</f>
        <v>128.19999999999999</v>
      </c>
      <c r="M56" s="111" t="s">
        <v>116</v>
      </c>
      <c r="N56" s="320">
        <v>32.049999999999997</v>
      </c>
      <c r="O56" s="315">
        <f t="shared" si="4"/>
        <v>4</v>
      </c>
      <c r="P56" s="114">
        <v>1</v>
      </c>
      <c r="Q56" s="321">
        <v>0.92520000000000002</v>
      </c>
      <c r="R56" s="322">
        <f t="shared" si="5"/>
        <v>3.7008000000000001</v>
      </c>
      <c r="S56" s="322" t="s">
        <v>117</v>
      </c>
      <c r="T56" s="323"/>
    </row>
    <row r="57" spans="1:20" s="93" customFormat="1" ht="16.25" customHeight="1">
      <c r="A57" s="111">
        <v>54</v>
      </c>
      <c r="B57" s="111" t="s">
        <v>133</v>
      </c>
      <c r="C57" s="111" t="s">
        <v>212</v>
      </c>
      <c r="D57" s="111" t="s">
        <v>113</v>
      </c>
      <c r="E57" s="111"/>
      <c r="F57" s="112">
        <v>45382</v>
      </c>
      <c r="G57" s="111" t="str">
        <f t="shared" si="3"/>
        <v>yyyy03</v>
      </c>
      <c r="H57" s="120" t="s">
        <v>221</v>
      </c>
      <c r="I57" s="113" t="s">
        <v>135</v>
      </c>
      <c r="J57" s="111">
        <v>1</v>
      </c>
      <c r="K57" s="111" t="s">
        <v>34</v>
      </c>
      <c r="L57" s="314">
        <v>12820</v>
      </c>
      <c r="M57" s="111" t="s">
        <v>116</v>
      </c>
      <c r="N57" s="320">
        <v>32.049999999999997</v>
      </c>
      <c r="O57" s="315">
        <f t="shared" si="4"/>
        <v>400.00000000000006</v>
      </c>
      <c r="P57" s="114">
        <v>1</v>
      </c>
      <c r="Q57" s="321">
        <v>0.92520000000000002</v>
      </c>
      <c r="R57" s="322">
        <f t="shared" si="5"/>
        <v>370.08000000000004</v>
      </c>
      <c r="S57" s="322" t="s">
        <v>117</v>
      </c>
      <c r="T57" s="323"/>
    </row>
    <row r="58" spans="1:20" s="93" customFormat="1" ht="16.25" customHeight="1">
      <c r="A58" s="111">
        <v>55</v>
      </c>
      <c r="B58" s="111" t="s">
        <v>133</v>
      </c>
      <c r="C58" s="111" t="s">
        <v>212</v>
      </c>
      <c r="D58" s="111" t="s">
        <v>113</v>
      </c>
      <c r="E58" s="111"/>
      <c r="F58" s="112">
        <v>45382</v>
      </c>
      <c r="G58" s="111" t="str">
        <f t="shared" si="3"/>
        <v>yyyy03</v>
      </c>
      <c r="H58" s="120" t="s">
        <v>222</v>
      </c>
      <c r="I58" s="113" t="s">
        <v>119</v>
      </c>
      <c r="J58" s="111">
        <v>4</v>
      </c>
      <c r="K58" s="111" t="s">
        <v>120</v>
      </c>
      <c r="L58" s="314">
        <f>L57*$M$1</f>
        <v>128.19999999999999</v>
      </c>
      <c r="M58" s="111" t="s">
        <v>116</v>
      </c>
      <c r="N58" s="320">
        <v>32.049999999999997</v>
      </c>
      <c r="O58" s="315">
        <f t="shared" si="4"/>
        <v>4</v>
      </c>
      <c r="P58" s="114">
        <v>1</v>
      </c>
      <c r="Q58" s="321">
        <v>0.92520000000000002</v>
      </c>
      <c r="R58" s="322">
        <f t="shared" si="5"/>
        <v>3.7008000000000001</v>
      </c>
      <c r="S58" s="322" t="s">
        <v>117</v>
      </c>
      <c r="T58" s="323"/>
    </row>
    <row r="59" spans="1:20" s="93" customFormat="1" ht="16.25" customHeight="1">
      <c r="A59" s="111">
        <v>56</v>
      </c>
      <c r="B59" s="111" t="s">
        <v>137</v>
      </c>
      <c r="C59" s="111" t="s">
        <v>212</v>
      </c>
      <c r="D59" s="111" t="s">
        <v>113</v>
      </c>
      <c r="E59" s="111"/>
      <c r="F59" s="112">
        <v>45382</v>
      </c>
      <c r="G59" s="111" t="str">
        <f t="shared" si="3"/>
        <v>yyyy03</v>
      </c>
      <c r="H59" s="120" t="s">
        <v>223</v>
      </c>
      <c r="I59" s="113" t="s">
        <v>139</v>
      </c>
      <c r="J59" s="111">
        <v>1</v>
      </c>
      <c r="K59" s="111" t="s">
        <v>34</v>
      </c>
      <c r="L59" s="314">
        <v>12820</v>
      </c>
      <c r="M59" s="111" t="s">
        <v>116</v>
      </c>
      <c r="N59" s="320">
        <v>32.049999999999997</v>
      </c>
      <c r="O59" s="315">
        <f t="shared" si="4"/>
        <v>400.00000000000006</v>
      </c>
      <c r="P59" s="114">
        <v>1</v>
      </c>
      <c r="Q59" s="321">
        <v>0.92520000000000002</v>
      </c>
      <c r="R59" s="322">
        <f t="shared" si="5"/>
        <v>370.08000000000004</v>
      </c>
      <c r="S59" s="322" t="s">
        <v>117</v>
      </c>
      <c r="T59" s="323"/>
    </row>
    <row r="60" spans="1:20" s="93" customFormat="1" ht="16.25" customHeight="1">
      <c r="A60" s="111">
        <v>57</v>
      </c>
      <c r="B60" s="111" t="s">
        <v>137</v>
      </c>
      <c r="C60" s="111" t="s">
        <v>212</v>
      </c>
      <c r="D60" s="111" t="s">
        <v>113</v>
      </c>
      <c r="E60" s="111"/>
      <c r="F60" s="112">
        <v>45382</v>
      </c>
      <c r="G60" s="111" t="str">
        <f t="shared" si="3"/>
        <v>yyyy03</v>
      </c>
      <c r="H60" s="120" t="s">
        <v>224</v>
      </c>
      <c r="I60" s="113" t="s">
        <v>119</v>
      </c>
      <c r="J60" s="111">
        <v>4</v>
      </c>
      <c r="K60" s="111" t="s">
        <v>120</v>
      </c>
      <c r="L60" s="314">
        <f>L59*$M$1</f>
        <v>128.19999999999999</v>
      </c>
      <c r="M60" s="111" t="s">
        <v>116</v>
      </c>
      <c r="N60" s="320">
        <v>32.049999999999997</v>
      </c>
      <c r="O60" s="315">
        <f t="shared" si="4"/>
        <v>4</v>
      </c>
      <c r="P60" s="114">
        <v>1</v>
      </c>
      <c r="Q60" s="321">
        <v>0.92520000000000002</v>
      </c>
      <c r="R60" s="322">
        <f t="shared" si="5"/>
        <v>3.7008000000000001</v>
      </c>
      <c r="S60" s="322" t="s">
        <v>117</v>
      </c>
      <c r="T60" s="323"/>
    </row>
    <row r="61" spans="1:20" s="93" customFormat="1" ht="16.25" customHeight="1">
      <c r="A61" s="111">
        <v>58</v>
      </c>
      <c r="B61" s="111" t="s">
        <v>141</v>
      </c>
      <c r="C61" s="111" t="s">
        <v>212</v>
      </c>
      <c r="D61" s="111" t="s">
        <v>113</v>
      </c>
      <c r="E61" s="111"/>
      <c r="F61" s="112">
        <v>45382</v>
      </c>
      <c r="G61" s="111" t="str">
        <f t="shared" si="3"/>
        <v>yyyy03</v>
      </c>
      <c r="H61" s="120" t="s">
        <v>225</v>
      </c>
      <c r="I61" s="113" t="s">
        <v>143</v>
      </c>
      <c r="J61" s="111">
        <v>1</v>
      </c>
      <c r="K61" s="111" t="s">
        <v>144</v>
      </c>
      <c r="L61" s="314">
        <v>6409.9999999999991</v>
      </c>
      <c r="M61" s="111" t="s">
        <v>116</v>
      </c>
      <c r="N61" s="320">
        <v>32.049999999999997</v>
      </c>
      <c r="O61" s="315">
        <f t="shared" si="4"/>
        <v>200</v>
      </c>
      <c r="P61" s="114">
        <v>1</v>
      </c>
      <c r="Q61" s="321">
        <v>0.92520000000000002</v>
      </c>
      <c r="R61" s="322">
        <f t="shared" si="5"/>
        <v>185.04</v>
      </c>
      <c r="S61" s="322" t="s">
        <v>117</v>
      </c>
      <c r="T61" s="323"/>
    </row>
    <row r="62" spans="1:20" s="93" customFormat="1" ht="16.25" customHeight="1">
      <c r="A62" s="111">
        <v>59</v>
      </c>
      <c r="B62" s="111" t="s">
        <v>141</v>
      </c>
      <c r="C62" s="111" t="s">
        <v>212</v>
      </c>
      <c r="D62" s="111" t="s">
        <v>113</v>
      </c>
      <c r="E62" s="111"/>
      <c r="F62" s="112">
        <v>45382</v>
      </c>
      <c r="G62" s="111" t="str">
        <f t="shared" si="3"/>
        <v>yyyy03</v>
      </c>
      <c r="H62" s="120" t="s">
        <v>226</v>
      </c>
      <c r="I62" s="113" t="s">
        <v>119</v>
      </c>
      <c r="J62" s="111">
        <v>4</v>
      </c>
      <c r="K62" s="111" t="s">
        <v>120</v>
      </c>
      <c r="L62" s="314">
        <f>L61*$M$1</f>
        <v>64.099999999999994</v>
      </c>
      <c r="M62" s="111" t="s">
        <v>116</v>
      </c>
      <c r="N62" s="320">
        <v>32.049999999999997</v>
      </c>
      <c r="O62" s="315">
        <f t="shared" si="4"/>
        <v>2</v>
      </c>
      <c r="P62" s="114">
        <v>1</v>
      </c>
      <c r="Q62" s="321">
        <v>0.92520000000000002</v>
      </c>
      <c r="R62" s="322">
        <f t="shared" si="5"/>
        <v>1.8504</v>
      </c>
      <c r="S62" s="322" t="s">
        <v>117</v>
      </c>
      <c r="T62" s="323"/>
    </row>
    <row r="63" spans="1:20" s="93" customFormat="1" ht="16.25" customHeight="1">
      <c r="A63" s="111">
        <v>60</v>
      </c>
      <c r="B63" s="111" t="s">
        <v>146</v>
      </c>
      <c r="C63" s="111" t="s">
        <v>212</v>
      </c>
      <c r="D63" s="111" t="s">
        <v>113</v>
      </c>
      <c r="E63" s="111"/>
      <c r="F63" s="112">
        <v>45382</v>
      </c>
      <c r="G63" s="111" t="str">
        <f t="shared" si="3"/>
        <v>yyyy03</v>
      </c>
      <c r="H63" s="120" t="s">
        <v>227</v>
      </c>
      <c r="I63" s="113" t="s">
        <v>148</v>
      </c>
      <c r="J63" s="111">
        <v>1</v>
      </c>
      <c r="K63" s="111" t="s">
        <v>144</v>
      </c>
      <c r="L63" s="314">
        <v>6409.9999999999991</v>
      </c>
      <c r="M63" s="111" t="s">
        <v>116</v>
      </c>
      <c r="N63" s="320">
        <v>32.049999999999997</v>
      </c>
      <c r="O63" s="315">
        <f t="shared" si="4"/>
        <v>200</v>
      </c>
      <c r="P63" s="114">
        <v>1</v>
      </c>
      <c r="Q63" s="321">
        <v>0.92520000000000002</v>
      </c>
      <c r="R63" s="322">
        <f t="shared" si="5"/>
        <v>185.04</v>
      </c>
      <c r="S63" s="322" t="s">
        <v>117</v>
      </c>
      <c r="T63" s="323"/>
    </row>
    <row r="64" spans="1:20" s="93" customFormat="1" ht="16.25" customHeight="1">
      <c r="A64" s="111">
        <v>61</v>
      </c>
      <c r="B64" s="111" t="s">
        <v>146</v>
      </c>
      <c r="C64" s="111" t="s">
        <v>212</v>
      </c>
      <c r="D64" s="111" t="s">
        <v>113</v>
      </c>
      <c r="E64" s="111"/>
      <c r="F64" s="112">
        <v>45382</v>
      </c>
      <c r="G64" s="111" t="str">
        <f t="shared" si="3"/>
        <v>yyyy03</v>
      </c>
      <c r="H64" s="120" t="s">
        <v>228</v>
      </c>
      <c r="I64" s="113" t="s">
        <v>119</v>
      </c>
      <c r="J64" s="111">
        <v>4</v>
      </c>
      <c r="K64" s="111" t="s">
        <v>120</v>
      </c>
      <c r="L64" s="314">
        <f>L63*$M$1</f>
        <v>64.099999999999994</v>
      </c>
      <c r="M64" s="111" t="s">
        <v>116</v>
      </c>
      <c r="N64" s="320">
        <v>32.049999999999997</v>
      </c>
      <c r="O64" s="315">
        <f t="shared" si="4"/>
        <v>2</v>
      </c>
      <c r="P64" s="114">
        <v>1</v>
      </c>
      <c r="Q64" s="321">
        <v>0.92520000000000002</v>
      </c>
      <c r="R64" s="322">
        <f t="shared" si="5"/>
        <v>1.8504</v>
      </c>
      <c r="S64" s="322" t="s">
        <v>117</v>
      </c>
      <c r="T64" s="323"/>
    </row>
    <row r="65" spans="1:20" s="93" customFormat="1" ht="16.25" customHeight="1">
      <c r="A65" s="111">
        <v>62</v>
      </c>
      <c r="B65" s="111" t="s">
        <v>155</v>
      </c>
      <c r="C65" s="111" t="s">
        <v>212</v>
      </c>
      <c r="D65" s="111" t="s">
        <v>113</v>
      </c>
      <c r="E65" s="111"/>
      <c r="F65" s="112">
        <v>45382</v>
      </c>
      <c r="G65" s="111" t="str">
        <f t="shared" si="3"/>
        <v>yyyy03</v>
      </c>
      <c r="H65" s="120" t="s">
        <v>229</v>
      </c>
      <c r="I65" s="113" t="s">
        <v>157</v>
      </c>
      <c r="J65" s="111">
        <v>1</v>
      </c>
      <c r="K65" s="111" t="s">
        <v>153</v>
      </c>
      <c r="L65" s="314">
        <v>12018.75</v>
      </c>
      <c r="M65" s="111" t="s">
        <v>116</v>
      </c>
      <c r="N65" s="320">
        <v>32.049999999999997</v>
      </c>
      <c r="O65" s="315">
        <f t="shared" si="4"/>
        <v>375.00000000000006</v>
      </c>
      <c r="P65" s="114">
        <v>1</v>
      </c>
      <c r="Q65" s="321">
        <v>0.92520000000000002</v>
      </c>
      <c r="R65" s="322">
        <f t="shared" si="5"/>
        <v>346.95000000000005</v>
      </c>
      <c r="S65" s="322" t="s">
        <v>117</v>
      </c>
      <c r="T65" s="323"/>
    </row>
    <row r="66" spans="1:20" s="93" customFormat="1" ht="16.25" customHeight="1">
      <c r="A66" s="111">
        <v>63</v>
      </c>
      <c r="B66" s="111" t="s">
        <v>155</v>
      </c>
      <c r="C66" s="111" t="s">
        <v>212</v>
      </c>
      <c r="D66" s="111" t="s">
        <v>113</v>
      </c>
      <c r="E66" s="111"/>
      <c r="F66" s="112">
        <v>45382</v>
      </c>
      <c r="G66" s="111" t="str">
        <f t="shared" si="3"/>
        <v>yyyy03</v>
      </c>
      <c r="H66" s="120" t="s">
        <v>230</v>
      </c>
      <c r="I66" s="113" t="s">
        <v>119</v>
      </c>
      <c r="J66" s="111">
        <v>4</v>
      </c>
      <c r="K66" s="111" t="s">
        <v>120</v>
      </c>
      <c r="L66" s="314">
        <f>L65*$M$1</f>
        <v>120.1875</v>
      </c>
      <c r="M66" s="111" t="s">
        <v>116</v>
      </c>
      <c r="N66" s="320">
        <v>32.049999999999997</v>
      </c>
      <c r="O66" s="315">
        <f t="shared" si="4"/>
        <v>3.7500000000000004</v>
      </c>
      <c r="P66" s="114">
        <v>1</v>
      </c>
      <c r="Q66" s="321">
        <v>0.92520000000000002</v>
      </c>
      <c r="R66" s="322">
        <f t="shared" si="5"/>
        <v>3.4695000000000005</v>
      </c>
      <c r="S66" s="322" t="s">
        <v>117</v>
      </c>
      <c r="T66" s="323"/>
    </row>
    <row r="67" spans="1:20" s="93" customFormat="1" ht="16.25" customHeight="1">
      <c r="A67" s="111">
        <v>64</v>
      </c>
      <c r="B67" s="111" t="s">
        <v>150</v>
      </c>
      <c r="C67" s="111" t="s">
        <v>212</v>
      </c>
      <c r="D67" s="111" t="s">
        <v>113</v>
      </c>
      <c r="E67" s="111"/>
      <c r="F67" s="112">
        <v>45382</v>
      </c>
      <c r="G67" s="111" t="str">
        <f t="shared" si="3"/>
        <v>yyyy03</v>
      </c>
      <c r="H67" s="120" t="s">
        <v>231</v>
      </c>
      <c r="I67" s="113" t="s">
        <v>152</v>
      </c>
      <c r="J67" s="111">
        <v>1</v>
      </c>
      <c r="K67" s="111" t="s">
        <v>153</v>
      </c>
      <c r="L67" s="314">
        <v>12018.75</v>
      </c>
      <c r="M67" s="111" t="s">
        <v>116</v>
      </c>
      <c r="N67" s="320">
        <v>32.049999999999997</v>
      </c>
      <c r="O67" s="315">
        <f t="shared" si="4"/>
        <v>375.00000000000006</v>
      </c>
      <c r="P67" s="114">
        <v>1</v>
      </c>
      <c r="Q67" s="321">
        <v>0.92520000000000002</v>
      </c>
      <c r="R67" s="322">
        <f t="shared" si="5"/>
        <v>346.95000000000005</v>
      </c>
      <c r="S67" s="322" t="s">
        <v>117</v>
      </c>
      <c r="T67" s="323"/>
    </row>
    <row r="68" spans="1:20" s="93" customFormat="1" ht="16.25" customHeight="1">
      <c r="A68" s="111">
        <v>65</v>
      </c>
      <c r="B68" s="111" t="s">
        <v>150</v>
      </c>
      <c r="C68" s="111" t="s">
        <v>212</v>
      </c>
      <c r="D68" s="111" t="s">
        <v>113</v>
      </c>
      <c r="E68" s="111"/>
      <c r="F68" s="112">
        <v>45382</v>
      </c>
      <c r="G68" s="111" t="str">
        <f t="shared" ref="G68:G99" si="6">TEXT(F68,"yyyymm")</f>
        <v>yyyy03</v>
      </c>
      <c r="H68" s="120" t="s">
        <v>232</v>
      </c>
      <c r="I68" s="113" t="s">
        <v>119</v>
      </c>
      <c r="J68" s="111">
        <v>4</v>
      </c>
      <c r="K68" s="111" t="s">
        <v>120</v>
      </c>
      <c r="L68" s="314">
        <f>L67*$M$1</f>
        <v>120.1875</v>
      </c>
      <c r="M68" s="111" t="s">
        <v>116</v>
      </c>
      <c r="N68" s="320">
        <v>32.049999999999997</v>
      </c>
      <c r="O68" s="315">
        <f t="shared" ref="O68:O99" si="7">L68/N68</f>
        <v>3.7500000000000004</v>
      </c>
      <c r="P68" s="114">
        <v>1</v>
      </c>
      <c r="Q68" s="321">
        <v>0.92520000000000002</v>
      </c>
      <c r="R68" s="322">
        <f t="shared" ref="R68:R99" si="8">O68*P68*Q68</f>
        <v>3.4695000000000005</v>
      </c>
      <c r="S68" s="322" t="s">
        <v>117</v>
      </c>
      <c r="T68" s="323"/>
    </row>
    <row r="69" spans="1:20" s="93" customFormat="1" ht="16.25" customHeight="1">
      <c r="A69" s="111">
        <v>66</v>
      </c>
      <c r="B69" s="111" t="s">
        <v>159</v>
      </c>
      <c r="C69" s="111" t="s">
        <v>212</v>
      </c>
      <c r="D69" s="111" t="s">
        <v>113</v>
      </c>
      <c r="E69" s="111"/>
      <c r="F69" s="112">
        <v>45382</v>
      </c>
      <c r="G69" s="111" t="str">
        <f t="shared" si="6"/>
        <v>yyyy03</v>
      </c>
      <c r="H69" s="120" t="s">
        <v>233</v>
      </c>
      <c r="I69" s="113" t="s">
        <v>161</v>
      </c>
      <c r="J69" s="111">
        <v>1</v>
      </c>
      <c r="K69" s="111" t="s">
        <v>162</v>
      </c>
      <c r="L69" s="314">
        <v>15490.83</v>
      </c>
      <c r="M69" s="111" t="s">
        <v>116</v>
      </c>
      <c r="N69" s="320">
        <v>32.049999999999997</v>
      </c>
      <c r="O69" s="315">
        <f t="shared" si="7"/>
        <v>483.33322932917321</v>
      </c>
      <c r="P69" s="114">
        <v>1</v>
      </c>
      <c r="Q69" s="321">
        <v>0.92520000000000002</v>
      </c>
      <c r="R69" s="322">
        <f t="shared" si="8"/>
        <v>447.17990377535108</v>
      </c>
      <c r="S69" s="322" t="s">
        <v>117</v>
      </c>
      <c r="T69" s="323"/>
    </row>
    <row r="70" spans="1:20" s="93" customFormat="1" ht="16.25" customHeight="1">
      <c r="A70" s="111">
        <v>67</v>
      </c>
      <c r="B70" s="111" t="s">
        <v>159</v>
      </c>
      <c r="C70" s="111" t="s">
        <v>212</v>
      </c>
      <c r="D70" s="111" t="s">
        <v>113</v>
      </c>
      <c r="E70" s="111"/>
      <c r="F70" s="112">
        <v>45382</v>
      </c>
      <c r="G70" s="111" t="str">
        <f t="shared" si="6"/>
        <v>yyyy03</v>
      </c>
      <c r="H70" s="120" t="s">
        <v>234</v>
      </c>
      <c r="I70" s="113" t="s">
        <v>119</v>
      </c>
      <c r="J70" s="111">
        <v>4</v>
      </c>
      <c r="K70" s="111" t="s">
        <v>120</v>
      </c>
      <c r="L70" s="314">
        <f>L69*$M$1</f>
        <v>154.9083</v>
      </c>
      <c r="M70" s="111" t="s">
        <v>116</v>
      </c>
      <c r="N70" s="320">
        <v>32.049999999999997</v>
      </c>
      <c r="O70" s="315">
        <f t="shared" si="7"/>
        <v>4.8333322932917318</v>
      </c>
      <c r="P70" s="114">
        <v>1</v>
      </c>
      <c r="Q70" s="321">
        <v>0.92520000000000002</v>
      </c>
      <c r="R70" s="322">
        <f t="shared" si="8"/>
        <v>4.4717990377535104</v>
      </c>
      <c r="S70" s="322" t="s">
        <v>117</v>
      </c>
      <c r="T70" s="323"/>
    </row>
    <row r="71" spans="1:20" s="93" customFormat="1" ht="16.25" customHeight="1">
      <c r="A71" s="111">
        <v>68</v>
      </c>
      <c r="B71" s="111" t="s">
        <v>164</v>
      </c>
      <c r="C71" s="111" t="s">
        <v>212</v>
      </c>
      <c r="D71" s="111" t="s">
        <v>113</v>
      </c>
      <c r="E71" s="111"/>
      <c r="F71" s="112">
        <v>45382</v>
      </c>
      <c r="G71" s="111" t="str">
        <f t="shared" si="6"/>
        <v>yyyy03</v>
      </c>
      <c r="H71" s="120" t="s">
        <v>235</v>
      </c>
      <c r="I71" s="113" t="s">
        <v>166</v>
      </c>
      <c r="J71" s="111">
        <v>1</v>
      </c>
      <c r="K71" s="111" t="s">
        <v>167</v>
      </c>
      <c r="L71" s="314">
        <v>20832.5</v>
      </c>
      <c r="M71" s="111" t="s">
        <v>116</v>
      </c>
      <c r="N71" s="320">
        <v>32.049999999999997</v>
      </c>
      <c r="O71" s="315">
        <f t="shared" si="7"/>
        <v>650.00000000000011</v>
      </c>
      <c r="P71" s="114">
        <v>1</v>
      </c>
      <c r="Q71" s="321">
        <v>0.92520000000000002</v>
      </c>
      <c r="R71" s="322">
        <f t="shared" si="8"/>
        <v>601.38000000000011</v>
      </c>
      <c r="S71" s="322" t="s">
        <v>117</v>
      </c>
      <c r="T71" s="323"/>
    </row>
    <row r="72" spans="1:20" s="93" customFormat="1" ht="16.25" customHeight="1">
      <c r="A72" s="111">
        <v>69</v>
      </c>
      <c r="B72" s="111" t="s">
        <v>164</v>
      </c>
      <c r="C72" s="111" t="s">
        <v>212</v>
      </c>
      <c r="D72" s="111" t="s">
        <v>113</v>
      </c>
      <c r="E72" s="111"/>
      <c r="F72" s="112">
        <v>45382</v>
      </c>
      <c r="G72" s="111" t="str">
        <f t="shared" si="6"/>
        <v>yyyy03</v>
      </c>
      <c r="H72" s="120" t="s">
        <v>236</v>
      </c>
      <c r="I72" s="113" t="s">
        <v>119</v>
      </c>
      <c r="J72" s="111">
        <v>4</v>
      </c>
      <c r="K72" s="111" t="s">
        <v>120</v>
      </c>
      <c r="L72" s="314">
        <f>L71*$M$1</f>
        <v>208.32500000000002</v>
      </c>
      <c r="M72" s="111" t="s">
        <v>116</v>
      </c>
      <c r="N72" s="320">
        <v>32.049999999999997</v>
      </c>
      <c r="O72" s="315">
        <f t="shared" si="7"/>
        <v>6.5000000000000009</v>
      </c>
      <c r="P72" s="114">
        <v>1</v>
      </c>
      <c r="Q72" s="321">
        <v>0.92520000000000002</v>
      </c>
      <c r="R72" s="322">
        <f t="shared" si="8"/>
        <v>6.0138000000000007</v>
      </c>
      <c r="S72" s="322" t="s">
        <v>117</v>
      </c>
      <c r="T72" s="323"/>
    </row>
    <row r="73" spans="1:20" s="93" customFormat="1" ht="16.25" customHeight="1">
      <c r="A73" s="111">
        <v>70</v>
      </c>
      <c r="B73" s="111" t="s">
        <v>169</v>
      </c>
      <c r="C73" s="111" t="s">
        <v>212</v>
      </c>
      <c r="D73" s="111" t="s">
        <v>113</v>
      </c>
      <c r="E73" s="111"/>
      <c r="F73" s="112">
        <v>45382</v>
      </c>
      <c r="G73" s="111" t="str">
        <f t="shared" si="6"/>
        <v>yyyy03</v>
      </c>
      <c r="H73" s="120" t="s">
        <v>237</v>
      </c>
      <c r="I73" s="111" t="s">
        <v>171</v>
      </c>
      <c r="J73" s="111">
        <v>1</v>
      </c>
      <c r="K73" s="111" t="s">
        <v>172</v>
      </c>
      <c r="L73" s="314">
        <v>20832.5</v>
      </c>
      <c r="M73" s="111" t="s">
        <v>116</v>
      </c>
      <c r="N73" s="320">
        <v>32.049999999999997</v>
      </c>
      <c r="O73" s="315">
        <f t="shared" si="7"/>
        <v>650.00000000000011</v>
      </c>
      <c r="P73" s="114">
        <v>0.25</v>
      </c>
      <c r="Q73" s="321">
        <v>0.92520000000000002</v>
      </c>
      <c r="R73" s="322">
        <f t="shared" si="8"/>
        <v>150.34500000000003</v>
      </c>
      <c r="S73" s="322" t="s">
        <v>117</v>
      </c>
      <c r="T73" s="323"/>
    </row>
    <row r="74" spans="1:20" s="93" customFormat="1" ht="16.25" customHeight="1">
      <c r="A74" s="111">
        <v>71</v>
      </c>
      <c r="B74" s="111" t="s">
        <v>169</v>
      </c>
      <c r="C74" s="111" t="s">
        <v>212</v>
      </c>
      <c r="D74" s="111" t="s">
        <v>113</v>
      </c>
      <c r="E74" s="111"/>
      <c r="F74" s="112">
        <v>45382</v>
      </c>
      <c r="G74" s="111" t="str">
        <f t="shared" si="6"/>
        <v>yyyy03</v>
      </c>
      <c r="H74" s="120" t="s">
        <v>238</v>
      </c>
      <c r="I74" s="113" t="s">
        <v>119</v>
      </c>
      <c r="J74" s="111">
        <v>4</v>
      </c>
      <c r="K74" s="111" t="s">
        <v>120</v>
      </c>
      <c r="L74" s="314">
        <f>L73*$M$1</f>
        <v>208.32500000000002</v>
      </c>
      <c r="M74" s="111" t="s">
        <v>116</v>
      </c>
      <c r="N74" s="320">
        <v>32.049999999999997</v>
      </c>
      <c r="O74" s="315">
        <f t="shared" si="7"/>
        <v>6.5000000000000009</v>
      </c>
      <c r="P74" s="114">
        <v>0.25</v>
      </c>
      <c r="Q74" s="321">
        <v>0.92520000000000002</v>
      </c>
      <c r="R74" s="322">
        <f t="shared" si="8"/>
        <v>1.5034500000000002</v>
      </c>
      <c r="S74" s="322" t="s">
        <v>117</v>
      </c>
      <c r="T74" s="323"/>
    </row>
    <row r="75" spans="1:20" s="93" customFormat="1" ht="16.25" customHeight="1">
      <c r="A75" s="111">
        <v>72</v>
      </c>
      <c r="B75" s="111" t="s">
        <v>239</v>
      </c>
      <c r="C75" s="111" t="s">
        <v>212</v>
      </c>
      <c r="D75" s="111" t="s">
        <v>175</v>
      </c>
      <c r="E75" s="111"/>
      <c r="F75" s="112">
        <v>45382</v>
      </c>
      <c r="G75" s="111" t="str">
        <f t="shared" si="6"/>
        <v>yyyy03</v>
      </c>
      <c r="H75" s="120" t="s">
        <v>176</v>
      </c>
      <c r="I75" s="113" t="s">
        <v>240</v>
      </c>
      <c r="J75" s="111">
        <v>4</v>
      </c>
      <c r="K75" s="111">
        <v>4.0999999999999996</v>
      </c>
      <c r="L75" s="314">
        <v>1033.83</v>
      </c>
      <c r="M75" s="111" t="s">
        <v>187</v>
      </c>
      <c r="N75" s="320">
        <v>1</v>
      </c>
      <c r="O75" s="315">
        <f t="shared" si="7"/>
        <v>1033.83</v>
      </c>
      <c r="P75" s="114">
        <v>1</v>
      </c>
      <c r="Q75" s="321">
        <v>0.92520000000000002</v>
      </c>
      <c r="R75" s="322">
        <f t="shared" si="8"/>
        <v>956.49951599999997</v>
      </c>
      <c r="S75" s="322" t="s">
        <v>188</v>
      </c>
      <c r="T75" s="323">
        <v>45361</v>
      </c>
    </row>
    <row r="76" spans="1:20" s="93" customFormat="1" ht="16.25" customHeight="1">
      <c r="A76" s="111">
        <v>73</v>
      </c>
      <c r="B76" s="111" t="s">
        <v>239</v>
      </c>
      <c r="C76" s="111" t="s">
        <v>212</v>
      </c>
      <c r="D76" s="111" t="s">
        <v>175</v>
      </c>
      <c r="E76" s="111"/>
      <c r="F76" s="112">
        <v>45382</v>
      </c>
      <c r="G76" s="111" t="str">
        <f t="shared" si="6"/>
        <v>yyyy03</v>
      </c>
      <c r="H76" s="120" t="s">
        <v>178</v>
      </c>
      <c r="I76" s="113" t="s">
        <v>119</v>
      </c>
      <c r="J76" s="111">
        <v>4</v>
      </c>
      <c r="K76" s="111" t="s">
        <v>120</v>
      </c>
      <c r="L76" s="314">
        <v>10.34</v>
      </c>
      <c r="M76" s="111" t="s">
        <v>187</v>
      </c>
      <c r="N76" s="320">
        <v>1</v>
      </c>
      <c r="O76" s="315">
        <f t="shared" si="7"/>
        <v>10.34</v>
      </c>
      <c r="P76" s="116">
        <v>1</v>
      </c>
      <c r="Q76" s="321">
        <v>0.92520000000000002</v>
      </c>
      <c r="R76" s="322">
        <f t="shared" si="8"/>
        <v>9.5665680000000002</v>
      </c>
      <c r="S76" s="322" t="s">
        <v>188</v>
      </c>
      <c r="T76" s="323">
        <v>45361</v>
      </c>
    </row>
    <row r="77" spans="1:20" ht="16.25" customHeight="1">
      <c r="A77" s="111">
        <v>74</v>
      </c>
      <c r="B77" s="111" t="s">
        <v>179</v>
      </c>
      <c r="C77" s="111" t="s">
        <v>212</v>
      </c>
      <c r="D77" s="111" t="s">
        <v>180</v>
      </c>
      <c r="E77" s="111"/>
      <c r="F77" s="112">
        <v>45382</v>
      </c>
      <c r="G77" s="111" t="str">
        <f t="shared" si="6"/>
        <v>yyyy03</v>
      </c>
      <c r="H77" s="120" t="s">
        <v>241</v>
      </c>
      <c r="I77" s="111" t="s">
        <v>182</v>
      </c>
      <c r="J77" s="111">
        <v>1</v>
      </c>
      <c r="K77" s="111" t="s">
        <v>183</v>
      </c>
      <c r="L77" s="324">
        <v>64570.8</v>
      </c>
      <c r="M77" s="111" t="s">
        <v>116</v>
      </c>
      <c r="N77" s="320">
        <v>32.285400000000003</v>
      </c>
      <c r="O77" s="315">
        <f t="shared" si="7"/>
        <v>2000</v>
      </c>
      <c r="P77" s="114">
        <v>0.25</v>
      </c>
      <c r="Q77" s="321">
        <v>0.92200000000000004</v>
      </c>
      <c r="R77" s="322">
        <f t="shared" si="8"/>
        <v>461</v>
      </c>
      <c r="S77" s="322" t="s">
        <v>117</v>
      </c>
      <c r="T77" s="323"/>
    </row>
    <row r="78" spans="1:20" ht="16.25" customHeight="1">
      <c r="A78" s="111">
        <v>75</v>
      </c>
      <c r="B78" s="111" t="s">
        <v>179</v>
      </c>
      <c r="C78" s="111" t="s">
        <v>212</v>
      </c>
      <c r="D78" s="111" t="s">
        <v>180</v>
      </c>
      <c r="E78" s="111"/>
      <c r="F78" s="112">
        <v>45382</v>
      </c>
      <c r="G78" s="111" t="str">
        <f t="shared" si="6"/>
        <v>yyyy03</v>
      </c>
      <c r="H78" s="120" t="s">
        <v>242</v>
      </c>
      <c r="I78" s="111" t="s">
        <v>182</v>
      </c>
      <c r="J78" s="111">
        <v>1</v>
      </c>
      <c r="K78" s="111" t="s">
        <v>183</v>
      </c>
      <c r="L78" s="325">
        <v>29692.82</v>
      </c>
      <c r="M78" s="111" t="s">
        <v>116</v>
      </c>
      <c r="N78" s="320">
        <v>32.285400000000003</v>
      </c>
      <c r="O78" s="315">
        <f t="shared" si="7"/>
        <v>919.69806785729759</v>
      </c>
      <c r="P78" s="114">
        <v>0.25</v>
      </c>
      <c r="Q78" s="321">
        <v>0.92200000000000004</v>
      </c>
      <c r="R78" s="322">
        <f t="shared" si="8"/>
        <v>211.99040464110709</v>
      </c>
      <c r="S78" s="322" t="s">
        <v>117</v>
      </c>
      <c r="T78" s="323"/>
    </row>
    <row r="79" spans="1:20" ht="16.25" customHeight="1">
      <c r="A79" s="111">
        <v>76</v>
      </c>
      <c r="B79" s="111" t="s">
        <v>179</v>
      </c>
      <c r="C79" s="111" t="s">
        <v>212</v>
      </c>
      <c r="D79" s="111" t="s">
        <v>180</v>
      </c>
      <c r="E79" s="111"/>
      <c r="F79" s="112">
        <v>45382</v>
      </c>
      <c r="G79" s="111" t="str">
        <f t="shared" si="6"/>
        <v>yyyy03</v>
      </c>
      <c r="H79" s="120" t="s">
        <v>243</v>
      </c>
      <c r="I79" s="111" t="s">
        <v>182</v>
      </c>
      <c r="J79" s="111">
        <v>1</v>
      </c>
      <c r="K79" s="111" t="s">
        <v>183</v>
      </c>
      <c r="L79" s="324">
        <v>13087.35</v>
      </c>
      <c r="M79" s="111" t="s">
        <v>116</v>
      </c>
      <c r="N79" s="320">
        <v>32.285400000000003</v>
      </c>
      <c r="O79" s="315">
        <f t="shared" si="7"/>
        <v>405.36434425467854</v>
      </c>
      <c r="P79" s="114">
        <v>0.25</v>
      </c>
      <c r="Q79" s="321">
        <v>0.92200000000000004</v>
      </c>
      <c r="R79" s="322">
        <f t="shared" si="8"/>
        <v>93.436481350703403</v>
      </c>
      <c r="S79" s="322" t="s">
        <v>117</v>
      </c>
      <c r="T79" s="323"/>
    </row>
    <row r="80" spans="1:20" ht="16.25" customHeight="1">
      <c r="A80" s="111">
        <v>77</v>
      </c>
      <c r="B80" s="111" t="s">
        <v>179</v>
      </c>
      <c r="C80" s="111" t="s">
        <v>212</v>
      </c>
      <c r="D80" s="111" t="s">
        <v>180</v>
      </c>
      <c r="E80" s="111"/>
      <c r="F80" s="112">
        <v>45382</v>
      </c>
      <c r="G80" s="111" t="str">
        <f t="shared" si="6"/>
        <v>yyyy03</v>
      </c>
      <c r="H80" s="120" t="s">
        <v>244</v>
      </c>
      <c r="I80" s="111" t="s">
        <v>182</v>
      </c>
      <c r="J80" s="111">
        <v>1</v>
      </c>
      <c r="K80" s="111" t="s">
        <v>183</v>
      </c>
      <c r="L80" s="314">
        <v>83.33</v>
      </c>
      <c r="M80" s="111" t="s">
        <v>187</v>
      </c>
      <c r="N80" s="320">
        <v>1</v>
      </c>
      <c r="O80" s="315">
        <f t="shared" si="7"/>
        <v>83.33</v>
      </c>
      <c r="P80" s="114">
        <v>0.25</v>
      </c>
      <c r="Q80" s="321">
        <v>0.92200000000000004</v>
      </c>
      <c r="R80" s="322">
        <f t="shared" si="8"/>
        <v>19.207564999999999</v>
      </c>
      <c r="S80" s="322" t="s">
        <v>188</v>
      </c>
      <c r="T80" s="323"/>
    </row>
    <row r="81" spans="1:20" ht="16.25" customHeight="1">
      <c r="A81" s="111">
        <v>78</v>
      </c>
      <c r="B81" s="111" t="s">
        <v>189</v>
      </c>
      <c r="C81" s="111" t="s">
        <v>212</v>
      </c>
      <c r="D81" s="111" t="s">
        <v>180</v>
      </c>
      <c r="E81" s="111"/>
      <c r="F81" s="112">
        <v>45382</v>
      </c>
      <c r="G81" s="111" t="str">
        <f t="shared" si="6"/>
        <v>yyyy03</v>
      </c>
      <c r="H81" s="120" t="s">
        <v>245</v>
      </c>
      <c r="I81" s="111" t="s">
        <v>191</v>
      </c>
      <c r="J81" s="111">
        <v>1</v>
      </c>
      <c r="K81" s="111" t="s">
        <v>192</v>
      </c>
      <c r="L81" s="326">
        <v>112998.9</v>
      </c>
      <c r="M81" s="111" t="s">
        <v>116</v>
      </c>
      <c r="N81" s="320">
        <v>32.285400000000003</v>
      </c>
      <c r="O81" s="315">
        <f t="shared" si="7"/>
        <v>3499.9999999999995</v>
      </c>
      <c r="P81" s="114">
        <v>0.25</v>
      </c>
      <c r="Q81" s="321">
        <v>0.92200000000000004</v>
      </c>
      <c r="R81" s="322">
        <f t="shared" si="8"/>
        <v>806.74999999999989</v>
      </c>
      <c r="S81" s="322" t="s">
        <v>117</v>
      </c>
      <c r="T81" s="323"/>
    </row>
    <row r="82" spans="1:20" ht="16.25" customHeight="1">
      <c r="A82" s="111">
        <v>79</v>
      </c>
      <c r="B82" s="111" t="s">
        <v>189</v>
      </c>
      <c r="C82" s="111" t="s">
        <v>212</v>
      </c>
      <c r="D82" s="111" t="s">
        <v>180</v>
      </c>
      <c r="E82" s="111"/>
      <c r="F82" s="112">
        <v>45382</v>
      </c>
      <c r="G82" s="111" t="str">
        <f t="shared" si="6"/>
        <v>yyyy03</v>
      </c>
      <c r="H82" s="120" t="s">
        <v>246</v>
      </c>
      <c r="I82" s="111" t="s">
        <v>191</v>
      </c>
      <c r="J82" s="111">
        <v>1</v>
      </c>
      <c r="K82" s="111" t="s">
        <v>192</v>
      </c>
      <c r="L82" s="326">
        <v>39916.410000000003</v>
      </c>
      <c r="M82" s="111" t="s">
        <v>116</v>
      </c>
      <c r="N82" s="320">
        <v>32.285400000000003</v>
      </c>
      <c r="O82" s="315">
        <f t="shared" si="7"/>
        <v>1236.3610176736233</v>
      </c>
      <c r="P82" s="114">
        <v>0.25</v>
      </c>
      <c r="Q82" s="321">
        <v>0.92200000000000004</v>
      </c>
      <c r="R82" s="322">
        <f t="shared" si="8"/>
        <v>284.98121457377022</v>
      </c>
      <c r="S82" s="322" t="s">
        <v>117</v>
      </c>
      <c r="T82" s="323"/>
    </row>
    <row r="83" spans="1:20" ht="16.25" customHeight="1">
      <c r="A83" s="111">
        <v>80</v>
      </c>
      <c r="B83" s="111" t="s">
        <v>189</v>
      </c>
      <c r="C83" s="111" t="s">
        <v>212</v>
      </c>
      <c r="D83" s="111" t="s">
        <v>180</v>
      </c>
      <c r="E83" s="111"/>
      <c r="F83" s="112">
        <v>45382</v>
      </c>
      <c r="G83" s="111" t="str">
        <f t="shared" si="6"/>
        <v>yyyy03</v>
      </c>
      <c r="H83" s="120" t="s">
        <v>247</v>
      </c>
      <c r="I83" s="111" t="s">
        <v>191</v>
      </c>
      <c r="J83" s="111">
        <v>1</v>
      </c>
      <c r="K83" s="111" t="s">
        <v>192</v>
      </c>
      <c r="L83" s="326">
        <v>48756.14</v>
      </c>
      <c r="M83" s="111" t="s">
        <v>116</v>
      </c>
      <c r="N83" s="320">
        <v>32.285400000000003</v>
      </c>
      <c r="O83" s="315">
        <f t="shared" si="7"/>
        <v>1510.1606298822376</v>
      </c>
      <c r="P83" s="114">
        <v>0.25</v>
      </c>
      <c r="Q83" s="321">
        <v>0.92200000000000004</v>
      </c>
      <c r="R83" s="322">
        <f t="shared" si="8"/>
        <v>348.09202518785577</v>
      </c>
      <c r="S83" s="322" t="s">
        <v>117</v>
      </c>
      <c r="T83" s="323"/>
    </row>
    <row r="84" spans="1:20" ht="16.25" customHeight="1">
      <c r="A84" s="111">
        <v>81</v>
      </c>
      <c r="B84" s="111" t="s">
        <v>189</v>
      </c>
      <c r="C84" s="111" t="s">
        <v>212</v>
      </c>
      <c r="D84" s="111" t="s">
        <v>180</v>
      </c>
      <c r="E84" s="111"/>
      <c r="F84" s="112">
        <v>45382</v>
      </c>
      <c r="G84" s="111" t="str">
        <f t="shared" si="6"/>
        <v>yyyy03</v>
      </c>
      <c r="H84" s="120" t="s">
        <v>248</v>
      </c>
      <c r="I84" s="111" t="s">
        <v>191</v>
      </c>
      <c r="J84" s="111">
        <v>1</v>
      </c>
      <c r="K84" s="111" t="s">
        <v>192</v>
      </c>
      <c r="L84" s="326">
        <v>83.33</v>
      </c>
      <c r="M84" s="111" t="s">
        <v>187</v>
      </c>
      <c r="N84" s="320">
        <v>1</v>
      </c>
      <c r="O84" s="315">
        <f t="shared" si="7"/>
        <v>83.33</v>
      </c>
      <c r="P84" s="114">
        <v>0.25</v>
      </c>
      <c r="Q84" s="321">
        <v>0.92200000000000004</v>
      </c>
      <c r="R84" s="322">
        <f t="shared" si="8"/>
        <v>19.207564999999999</v>
      </c>
      <c r="S84" s="322" t="s">
        <v>188</v>
      </c>
      <c r="T84" s="323"/>
    </row>
    <row r="85" spans="1:20" ht="16.25" customHeight="1">
      <c r="A85" s="111">
        <v>82</v>
      </c>
      <c r="B85" s="111" t="s">
        <v>196</v>
      </c>
      <c r="C85" s="111" t="s">
        <v>212</v>
      </c>
      <c r="D85" s="111" t="s">
        <v>180</v>
      </c>
      <c r="E85" s="111"/>
      <c r="F85" s="112">
        <v>45382</v>
      </c>
      <c r="G85" s="111" t="str">
        <f t="shared" si="6"/>
        <v>yyyy03</v>
      </c>
      <c r="H85" s="120" t="s">
        <v>249</v>
      </c>
      <c r="I85" s="111" t="s">
        <v>198</v>
      </c>
      <c r="J85" s="111">
        <v>1</v>
      </c>
      <c r="K85" s="121" t="s">
        <v>199</v>
      </c>
      <c r="L85" s="326">
        <v>96856.2</v>
      </c>
      <c r="M85" s="111" t="s">
        <v>116</v>
      </c>
      <c r="N85" s="320">
        <v>32.285400000000003</v>
      </c>
      <c r="O85" s="315">
        <f t="shared" si="7"/>
        <v>2999.9999999999995</v>
      </c>
      <c r="P85" s="114">
        <v>0.25</v>
      </c>
      <c r="Q85" s="321">
        <v>0.92200000000000004</v>
      </c>
      <c r="R85" s="322">
        <f t="shared" si="8"/>
        <v>691.49999999999989</v>
      </c>
      <c r="S85" s="322" t="s">
        <v>117</v>
      </c>
      <c r="T85" s="323"/>
    </row>
    <row r="86" spans="1:20" ht="16.25" customHeight="1">
      <c r="A86" s="111">
        <v>83</v>
      </c>
      <c r="B86" s="111" t="s">
        <v>196</v>
      </c>
      <c r="C86" s="111" t="s">
        <v>212</v>
      </c>
      <c r="D86" s="111" t="s">
        <v>180</v>
      </c>
      <c r="E86" s="111"/>
      <c r="F86" s="112">
        <v>45382</v>
      </c>
      <c r="G86" s="111" t="str">
        <f t="shared" si="6"/>
        <v>yyyy03</v>
      </c>
      <c r="H86" s="120" t="s">
        <v>250</v>
      </c>
      <c r="I86" s="111" t="s">
        <v>198</v>
      </c>
      <c r="J86" s="111">
        <v>1</v>
      </c>
      <c r="K86" s="121" t="s">
        <v>199</v>
      </c>
      <c r="L86" s="326">
        <v>32674.07</v>
      </c>
      <c r="M86" s="111" t="s">
        <v>116</v>
      </c>
      <c r="N86" s="320">
        <v>32.285400000000003</v>
      </c>
      <c r="O86" s="315">
        <f t="shared" si="7"/>
        <v>1012.0385685170386</v>
      </c>
      <c r="P86" s="114">
        <v>0.25</v>
      </c>
      <c r="Q86" s="321">
        <v>0.92200000000000004</v>
      </c>
      <c r="R86" s="322">
        <f t="shared" si="8"/>
        <v>233.27489004317741</v>
      </c>
      <c r="S86" s="322" t="s">
        <v>117</v>
      </c>
      <c r="T86" s="323"/>
    </row>
    <row r="87" spans="1:20" ht="16.25" customHeight="1">
      <c r="A87" s="111">
        <v>84</v>
      </c>
      <c r="B87" s="111" t="s">
        <v>196</v>
      </c>
      <c r="C87" s="111" t="s">
        <v>212</v>
      </c>
      <c r="D87" s="111" t="s">
        <v>180</v>
      </c>
      <c r="E87" s="111"/>
      <c r="F87" s="112">
        <v>45382</v>
      </c>
      <c r="G87" s="111" t="str">
        <f t="shared" si="6"/>
        <v>yyyy03</v>
      </c>
      <c r="H87" s="120" t="s">
        <v>251</v>
      </c>
      <c r="I87" s="111" t="s">
        <v>198</v>
      </c>
      <c r="J87" s="111">
        <v>1</v>
      </c>
      <c r="K87" s="121" t="s">
        <v>199</v>
      </c>
      <c r="L87" s="326">
        <v>48756.14</v>
      </c>
      <c r="M87" s="111" t="s">
        <v>116</v>
      </c>
      <c r="N87" s="320">
        <v>32.285400000000003</v>
      </c>
      <c r="O87" s="315">
        <f t="shared" si="7"/>
        <v>1510.1606298822376</v>
      </c>
      <c r="P87" s="114">
        <v>0.25</v>
      </c>
      <c r="Q87" s="321">
        <v>0.92200000000000004</v>
      </c>
      <c r="R87" s="322">
        <f t="shared" si="8"/>
        <v>348.09202518785577</v>
      </c>
      <c r="S87" s="322" t="s">
        <v>117</v>
      </c>
      <c r="T87" s="323"/>
    </row>
    <row r="88" spans="1:20" ht="16.25" customHeight="1">
      <c r="A88" s="111">
        <v>85</v>
      </c>
      <c r="B88" s="111" t="s">
        <v>196</v>
      </c>
      <c r="C88" s="111" t="s">
        <v>212</v>
      </c>
      <c r="D88" s="111" t="s">
        <v>180</v>
      </c>
      <c r="E88" s="111"/>
      <c r="F88" s="112">
        <v>45382</v>
      </c>
      <c r="G88" s="111" t="str">
        <f t="shared" si="6"/>
        <v>yyyy03</v>
      </c>
      <c r="H88" s="120" t="s">
        <v>252</v>
      </c>
      <c r="I88" s="111" t="s">
        <v>198</v>
      </c>
      <c r="J88" s="111">
        <v>1</v>
      </c>
      <c r="K88" s="121" t="s">
        <v>199</v>
      </c>
      <c r="L88" s="326">
        <v>83.33</v>
      </c>
      <c r="M88" s="111" t="s">
        <v>187</v>
      </c>
      <c r="N88" s="320">
        <v>1</v>
      </c>
      <c r="O88" s="315">
        <f t="shared" si="7"/>
        <v>83.33</v>
      </c>
      <c r="P88" s="114">
        <v>0.25</v>
      </c>
      <c r="Q88" s="321">
        <v>0.92200000000000004</v>
      </c>
      <c r="R88" s="322">
        <f t="shared" si="8"/>
        <v>19.207564999999999</v>
      </c>
      <c r="S88" s="322" t="s">
        <v>188</v>
      </c>
      <c r="T88" s="323"/>
    </row>
    <row r="89" spans="1:20" ht="16.25" customHeight="1">
      <c r="A89" s="111">
        <v>86</v>
      </c>
      <c r="B89" s="111" t="s">
        <v>203</v>
      </c>
      <c r="C89" s="111" t="s">
        <v>212</v>
      </c>
      <c r="D89" s="111" t="s">
        <v>180</v>
      </c>
      <c r="E89" s="111"/>
      <c r="F89" s="112">
        <v>45382</v>
      </c>
      <c r="G89" s="111" t="str">
        <f t="shared" si="6"/>
        <v>yyyy03</v>
      </c>
      <c r="H89" s="120" t="s">
        <v>253</v>
      </c>
      <c r="I89" s="111" t="s">
        <v>205</v>
      </c>
      <c r="J89" s="111">
        <v>1</v>
      </c>
      <c r="K89" s="121" t="s">
        <v>206</v>
      </c>
      <c r="L89" s="324">
        <v>64570.8</v>
      </c>
      <c r="M89" s="111" t="s">
        <v>116</v>
      </c>
      <c r="N89" s="320">
        <v>32.285400000000003</v>
      </c>
      <c r="O89" s="315">
        <f t="shared" si="7"/>
        <v>2000</v>
      </c>
      <c r="P89" s="114">
        <v>0.3</v>
      </c>
      <c r="Q89" s="321">
        <v>0.92200000000000004</v>
      </c>
      <c r="R89" s="322">
        <f t="shared" si="8"/>
        <v>553.20000000000005</v>
      </c>
      <c r="S89" s="322" t="s">
        <v>117</v>
      </c>
      <c r="T89" s="323"/>
    </row>
    <row r="90" spans="1:20" ht="16.25" customHeight="1">
      <c r="A90" s="111">
        <v>87</v>
      </c>
      <c r="B90" s="111" t="s">
        <v>203</v>
      </c>
      <c r="C90" s="111" t="s">
        <v>212</v>
      </c>
      <c r="D90" s="111" t="s">
        <v>180</v>
      </c>
      <c r="E90" s="111"/>
      <c r="F90" s="112">
        <v>45382</v>
      </c>
      <c r="G90" s="111" t="str">
        <f t="shared" si="6"/>
        <v>yyyy03</v>
      </c>
      <c r="H90" s="120" t="s">
        <v>254</v>
      </c>
      <c r="I90" s="111" t="s">
        <v>119</v>
      </c>
      <c r="J90" s="111">
        <v>4</v>
      </c>
      <c r="K90" s="111" t="s">
        <v>120</v>
      </c>
      <c r="L90" s="314">
        <f>L89*$M$1</f>
        <v>645.70800000000008</v>
      </c>
      <c r="M90" s="111" t="s">
        <v>116</v>
      </c>
      <c r="N90" s="320">
        <v>32.285400000000003</v>
      </c>
      <c r="O90" s="315">
        <f t="shared" si="7"/>
        <v>20</v>
      </c>
      <c r="P90" s="114">
        <v>0.3</v>
      </c>
      <c r="Q90" s="321">
        <v>0.92200000000000004</v>
      </c>
      <c r="R90" s="322">
        <f t="shared" si="8"/>
        <v>5.532</v>
      </c>
      <c r="S90" s="322" t="s">
        <v>117</v>
      </c>
      <c r="T90" s="323"/>
    </row>
    <row r="91" spans="1:20" ht="16.25" customHeight="1">
      <c r="A91" s="111">
        <v>88</v>
      </c>
      <c r="B91" s="113" t="s">
        <v>255</v>
      </c>
      <c r="C91" s="111" t="s">
        <v>212</v>
      </c>
      <c r="D91" s="111" t="s">
        <v>180</v>
      </c>
      <c r="E91" s="111"/>
      <c r="F91" s="112">
        <v>45382</v>
      </c>
      <c r="G91" s="111" t="str">
        <f t="shared" si="6"/>
        <v>yyyy03</v>
      </c>
      <c r="H91" s="120" t="s">
        <v>256</v>
      </c>
      <c r="I91" s="111" t="s">
        <v>257</v>
      </c>
      <c r="J91" s="111">
        <v>1</v>
      </c>
      <c r="K91" s="111" t="s">
        <v>258</v>
      </c>
      <c r="L91" s="314">
        <v>90399.12</v>
      </c>
      <c r="M91" s="111" t="s">
        <v>116</v>
      </c>
      <c r="N91" s="320">
        <v>32.285400000000003</v>
      </c>
      <c r="O91" s="315">
        <f t="shared" si="7"/>
        <v>2799.9999999999995</v>
      </c>
      <c r="P91" s="114">
        <v>0.5</v>
      </c>
      <c r="Q91" s="321">
        <v>0.92200000000000004</v>
      </c>
      <c r="R91" s="322">
        <f t="shared" si="8"/>
        <v>1290.8</v>
      </c>
      <c r="S91" s="322" t="s">
        <v>117</v>
      </c>
      <c r="T91" s="323"/>
    </row>
    <row r="92" spans="1:20" ht="16.25" customHeight="1">
      <c r="A92" s="111">
        <v>89</v>
      </c>
      <c r="B92" s="113" t="s">
        <v>255</v>
      </c>
      <c r="C92" s="111" t="s">
        <v>212</v>
      </c>
      <c r="D92" s="111" t="s">
        <v>180</v>
      </c>
      <c r="E92" s="111"/>
      <c r="F92" s="112">
        <v>45382</v>
      </c>
      <c r="G92" s="111" t="str">
        <f t="shared" si="6"/>
        <v>yyyy03</v>
      </c>
      <c r="H92" s="120" t="s">
        <v>259</v>
      </c>
      <c r="I92" s="111" t="s">
        <v>257</v>
      </c>
      <c r="J92" s="111">
        <v>1</v>
      </c>
      <c r="K92" s="111" t="s">
        <v>258</v>
      </c>
      <c r="L92" s="314">
        <v>41799.9</v>
      </c>
      <c r="M92" s="111" t="s">
        <v>116</v>
      </c>
      <c r="N92" s="320">
        <v>32.285400000000003</v>
      </c>
      <c r="O92" s="315">
        <f t="shared" si="7"/>
        <v>1294.699771413704</v>
      </c>
      <c r="P92" s="114">
        <v>0.5</v>
      </c>
      <c r="Q92" s="321">
        <v>0.92200000000000004</v>
      </c>
      <c r="R92" s="322">
        <f t="shared" si="8"/>
        <v>596.85659462171759</v>
      </c>
      <c r="S92" s="322" t="s">
        <v>117</v>
      </c>
      <c r="T92" s="323"/>
    </row>
    <row r="93" spans="1:20" ht="16.25" customHeight="1">
      <c r="A93" s="111">
        <v>90</v>
      </c>
      <c r="B93" s="113" t="s">
        <v>255</v>
      </c>
      <c r="C93" s="111" t="s">
        <v>212</v>
      </c>
      <c r="D93" s="111" t="s">
        <v>180</v>
      </c>
      <c r="E93" s="111"/>
      <c r="F93" s="112">
        <v>45382</v>
      </c>
      <c r="G93" s="111" t="str">
        <f t="shared" si="6"/>
        <v>yyyy03</v>
      </c>
      <c r="H93" s="120" t="s">
        <v>260</v>
      </c>
      <c r="I93" s="111" t="s">
        <v>257</v>
      </c>
      <c r="J93" s="111">
        <v>1</v>
      </c>
      <c r="K93" s="111" t="s">
        <v>258</v>
      </c>
      <c r="L93" s="314">
        <v>18923.7</v>
      </c>
      <c r="M93" s="111" t="s">
        <v>116</v>
      </c>
      <c r="N93" s="320">
        <v>32.285400000000003</v>
      </c>
      <c r="O93" s="315">
        <f t="shared" si="7"/>
        <v>586.13800665316205</v>
      </c>
      <c r="P93" s="114">
        <v>0.5</v>
      </c>
      <c r="Q93" s="321">
        <v>0.92200000000000004</v>
      </c>
      <c r="R93" s="322">
        <f t="shared" si="8"/>
        <v>270.20962106710772</v>
      </c>
      <c r="S93" s="322" t="s">
        <v>117</v>
      </c>
      <c r="T93" s="323"/>
    </row>
    <row r="94" spans="1:20" ht="16.25" customHeight="1">
      <c r="A94" s="111">
        <v>91</v>
      </c>
      <c r="B94" s="113" t="s">
        <v>255</v>
      </c>
      <c r="C94" s="111" t="s">
        <v>212</v>
      </c>
      <c r="D94" s="111" t="s">
        <v>180</v>
      </c>
      <c r="E94" s="111"/>
      <c r="F94" s="112">
        <v>45382</v>
      </c>
      <c r="G94" s="111" t="str">
        <f t="shared" si="6"/>
        <v>yyyy03</v>
      </c>
      <c r="H94" s="120" t="s">
        <v>261</v>
      </c>
      <c r="I94" s="111" t="s">
        <v>257</v>
      </c>
      <c r="J94" s="111">
        <v>1</v>
      </c>
      <c r="K94" s="111" t="s">
        <v>258</v>
      </c>
      <c r="L94" s="314">
        <v>83.33</v>
      </c>
      <c r="M94" s="111" t="s">
        <v>187</v>
      </c>
      <c r="N94" s="320">
        <v>1</v>
      </c>
      <c r="O94" s="315">
        <f t="shared" si="7"/>
        <v>83.33</v>
      </c>
      <c r="P94" s="114">
        <v>0.5</v>
      </c>
      <c r="Q94" s="321">
        <v>0.92200000000000004</v>
      </c>
      <c r="R94" s="322">
        <f t="shared" si="8"/>
        <v>38.415129999999998</v>
      </c>
      <c r="S94" s="322" t="s">
        <v>188</v>
      </c>
      <c r="T94" s="323"/>
    </row>
    <row r="95" spans="1:20" ht="16.25" customHeight="1">
      <c r="A95" s="111">
        <v>92</v>
      </c>
      <c r="B95" s="115"/>
      <c r="C95" s="115"/>
      <c r="D95" s="115"/>
      <c r="E95" s="115">
        <v>45</v>
      </c>
      <c r="F95" s="112">
        <v>45382</v>
      </c>
      <c r="G95" s="111" t="str">
        <f t="shared" si="6"/>
        <v>yyyy03</v>
      </c>
      <c r="H95" s="120" t="s">
        <v>262</v>
      </c>
      <c r="I95" s="111"/>
      <c r="J95" s="111"/>
      <c r="K95" s="111"/>
      <c r="L95" s="314"/>
      <c r="M95" s="111" t="s">
        <v>211</v>
      </c>
      <c r="N95" s="320">
        <v>1</v>
      </c>
      <c r="O95" s="322">
        <f>L95/N95</f>
        <v>0</v>
      </c>
      <c r="P95" s="114">
        <v>0.1</v>
      </c>
      <c r="Q95" s="321">
        <v>1</v>
      </c>
      <c r="R95" s="322">
        <f t="shared" si="8"/>
        <v>0</v>
      </c>
      <c r="S95" s="322" t="s">
        <v>188</v>
      </c>
      <c r="T95" s="323"/>
    </row>
    <row r="96" spans="1:20" s="93" customFormat="1" ht="20.5" customHeight="1">
      <c r="A96" s="111">
        <v>93</v>
      </c>
      <c r="B96" s="111" t="s">
        <v>111</v>
      </c>
      <c r="C96" s="111" t="s">
        <v>263</v>
      </c>
      <c r="D96" s="111" t="s">
        <v>113</v>
      </c>
      <c r="E96" s="111"/>
      <c r="F96" s="112">
        <v>45412</v>
      </c>
      <c r="G96" s="111" t="str">
        <f t="shared" si="6"/>
        <v>yyyy04</v>
      </c>
      <c r="H96" s="120" t="s">
        <v>264</v>
      </c>
      <c r="I96" s="113" t="s">
        <v>115</v>
      </c>
      <c r="J96" s="111">
        <v>1</v>
      </c>
      <c r="K96" s="111" t="s">
        <v>31</v>
      </c>
      <c r="L96" s="314">
        <v>400</v>
      </c>
      <c r="M96" s="111" t="s">
        <v>187</v>
      </c>
      <c r="N96" s="320">
        <v>1</v>
      </c>
      <c r="O96" s="315">
        <f t="shared" si="7"/>
        <v>400</v>
      </c>
      <c r="P96" s="114">
        <v>1</v>
      </c>
      <c r="Q96" s="321">
        <v>0.92122999999999999</v>
      </c>
      <c r="R96" s="322">
        <f t="shared" si="8"/>
        <v>368.49200000000002</v>
      </c>
      <c r="S96" s="322" t="s">
        <v>188</v>
      </c>
      <c r="T96" s="323"/>
    </row>
    <row r="97" spans="1:20" s="93" customFormat="1" ht="20.5" customHeight="1">
      <c r="A97" s="111">
        <v>94</v>
      </c>
      <c r="B97" s="111" t="s">
        <v>111</v>
      </c>
      <c r="C97" s="111" t="s">
        <v>263</v>
      </c>
      <c r="D97" s="111" t="s">
        <v>113</v>
      </c>
      <c r="E97" s="111"/>
      <c r="F97" s="112">
        <v>45412</v>
      </c>
      <c r="G97" s="111" t="str">
        <f t="shared" si="6"/>
        <v>yyyy04</v>
      </c>
      <c r="H97" s="120" t="s">
        <v>265</v>
      </c>
      <c r="I97" s="113" t="s">
        <v>119</v>
      </c>
      <c r="J97" s="111">
        <v>4</v>
      </c>
      <c r="K97" s="111" t="s">
        <v>120</v>
      </c>
      <c r="L97" s="314">
        <f>L96*$M$1</f>
        <v>4</v>
      </c>
      <c r="M97" s="111" t="s">
        <v>187</v>
      </c>
      <c r="N97" s="320">
        <v>1</v>
      </c>
      <c r="O97" s="315">
        <f t="shared" si="7"/>
        <v>4</v>
      </c>
      <c r="P97" s="114">
        <v>1</v>
      </c>
      <c r="Q97" s="321">
        <v>0.92122999999999999</v>
      </c>
      <c r="R97" s="322">
        <f t="shared" si="8"/>
        <v>3.68492</v>
      </c>
      <c r="S97" s="322" t="s">
        <v>188</v>
      </c>
      <c r="T97" s="323"/>
    </row>
    <row r="98" spans="1:20" s="93" customFormat="1" ht="20.5" customHeight="1">
      <c r="A98" s="111">
        <v>95</v>
      </c>
      <c r="B98" s="111" t="s">
        <v>121</v>
      </c>
      <c r="C98" s="111" t="s">
        <v>263</v>
      </c>
      <c r="D98" s="111" t="s">
        <v>113</v>
      </c>
      <c r="E98" s="111"/>
      <c r="F98" s="112">
        <v>45412</v>
      </c>
      <c r="G98" s="111" t="str">
        <f t="shared" si="6"/>
        <v>yyyy04</v>
      </c>
      <c r="H98" s="120" t="s">
        <v>266</v>
      </c>
      <c r="I98" s="113" t="s">
        <v>123</v>
      </c>
      <c r="J98" s="111">
        <v>1</v>
      </c>
      <c r="K98" s="111" t="s">
        <v>31</v>
      </c>
      <c r="L98" s="314">
        <v>400</v>
      </c>
      <c r="M98" s="111" t="s">
        <v>187</v>
      </c>
      <c r="N98" s="320">
        <v>1</v>
      </c>
      <c r="O98" s="315">
        <f t="shared" si="7"/>
        <v>400</v>
      </c>
      <c r="P98" s="114">
        <v>1</v>
      </c>
      <c r="Q98" s="321">
        <v>0.92122999999999999</v>
      </c>
      <c r="R98" s="322">
        <f t="shared" si="8"/>
        <v>368.49200000000002</v>
      </c>
      <c r="S98" s="322" t="s">
        <v>188</v>
      </c>
      <c r="T98" s="323"/>
    </row>
    <row r="99" spans="1:20" s="93" customFormat="1" ht="20.5" customHeight="1">
      <c r="A99" s="111">
        <v>96</v>
      </c>
      <c r="B99" s="111" t="s">
        <v>121</v>
      </c>
      <c r="C99" s="111" t="s">
        <v>263</v>
      </c>
      <c r="D99" s="111" t="s">
        <v>113</v>
      </c>
      <c r="E99" s="111"/>
      <c r="F99" s="112">
        <v>45412</v>
      </c>
      <c r="G99" s="111" t="str">
        <f t="shared" si="6"/>
        <v>yyyy04</v>
      </c>
      <c r="H99" s="120" t="s">
        <v>267</v>
      </c>
      <c r="I99" s="113" t="s">
        <v>119</v>
      </c>
      <c r="J99" s="111">
        <v>4</v>
      </c>
      <c r="K99" s="111" t="s">
        <v>120</v>
      </c>
      <c r="L99" s="314">
        <f>L98*$M$1</f>
        <v>4</v>
      </c>
      <c r="M99" s="111" t="s">
        <v>187</v>
      </c>
      <c r="N99" s="320">
        <v>1</v>
      </c>
      <c r="O99" s="315">
        <f t="shared" si="7"/>
        <v>4</v>
      </c>
      <c r="P99" s="114">
        <v>1</v>
      </c>
      <c r="Q99" s="321">
        <v>0.92122999999999999</v>
      </c>
      <c r="R99" s="322">
        <f t="shared" si="8"/>
        <v>3.68492</v>
      </c>
      <c r="S99" s="322" t="s">
        <v>188</v>
      </c>
      <c r="T99" s="323"/>
    </row>
    <row r="100" spans="1:20" s="93" customFormat="1" ht="20.5" customHeight="1">
      <c r="A100" s="111">
        <v>97</v>
      </c>
      <c r="B100" s="111" t="s">
        <v>125</v>
      </c>
      <c r="C100" s="111" t="s">
        <v>263</v>
      </c>
      <c r="D100" s="111" t="s">
        <v>113</v>
      </c>
      <c r="E100" s="111"/>
      <c r="F100" s="112">
        <v>45412</v>
      </c>
      <c r="G100" s="111" t="str">
        <f t="shared" ref="G100:G121" si="9">TEXT(F100,"yyyymm")</f>
        <v>yyyy04</v>
      </c>
      <c r="H100" s="120" t="s">
        <v>268</v>
      </c>
      <c r="I100" s="113" t="s">
        <v>127</v>
      </c>
      <c r="J100" s="111">
        <v>1</v>
      </c>
      <c r="K100" s="111" t="s">
        <v>31</v>
      </c>
      <c r="L100" s="314">
        <v>400</v>
      </c>
      <c r="M100" s="111" t="s">
        <v>187</v>
      </c>
      <c r="N100" s="320">
        <v>1</v>
      </c>
      <c r="O100" s="315">
        <f t="shared" ref="O100:O131" si="10">L100/N100</f>
        <v>400</v>
      </c>
      <c r="P100" s="114">
        <v>1</v>
      </c>
      <c r="Q100" s="321">
        <v>0.92122999999999999</v>
      </c>
      <c r="R100" s="322">
        <f t="shared" ref="R100:R131" si="11">O100*P100*Q100</f>
        <v>368.49200000000002</v>
      </c>
      <c r="S100" s="322" t="s">
        <v>188</v>
      </c>
      <c r="T100" s="323"/>
    </row>
    <row r="101" spans="1:20" s="93" customFormat="1" ht="20.5" customHeight="1">
      <c r="A101" s="111">
        <v>98</v>
      </c>
      <c r="B101" s="111" t="s">
        <v>125</v>
      </c>
      <c r="C101" s="111" t="s">
        <v>263</v>
      </c>
      <c r="D101" s="111" t="s">
        <v>113</v>
      </c>
      <c r="E101" s="111"/>
      <c r="F101" s="112">
        <v>45412</v>
      </c>
      <c r="G101" s="111" t="str">
        <f t="shared" si="9"/>
        <v>yyyy04</v>
      </c>
      <c r="H101" s="120" t="s">
        <v>269</v>
      </c>
      <c r="I101" s="113" t="s">
        <v>119</v>
      </c>
      <c r="J101" s="111">
        <v>4</v>
      </c>
      <c r="K101" s="111" t="s">
        <v>120</v>
      </c>
      <c r="L101" s="314">
        <f>L100*$M$1</f>
        <v>4</v>
      </c>
      <c r="M101" s="111" t="s">
        <v>187</v>
      </c>
      <c r="N101" s="320">
        <v>1</v>
      </c>
      <c r="O101" s="315">
        <f t="shared" si="10"/>
        <v>4</v>
      </c>
      <c r="P101" s="114">
        <v>1</v>
      </c>
      <c r="Q101" s="321">
        <v>0.92122999999999999</v>
      </c>
      <c r="R101" s="322">
        <f t="shared" si="11"/>
        <v>3.68492</v>
      </c>
      <c r="S101" s="322" t="s">
        <v>188</v>
      </c>
      <c r="T101" s="323"/>
    </row>
    <row r="102" spans="1:20" s="93" customFormat="1" ht="20.5" customHeight="1">
      <c r="A102" s="111">
        <v>99</v>
      </c>
      <c r="B102" s="111" t="s">
        <v>129</v>
      </c>
      <c r="C102" s="111" t="s">
        <v>263</v>
      </c>
      <c r="D102" s="111" t="s">
        <v>113</v>
      </c>
      <c r="E102" s="111"/>
      <c r="F102" s="112">
        <v>45412</v>
      </c>
      <c r="G102" s="111" t="str">
        <f t="shared" si="9"/>
        <v>yyyy04</v>
      </c>
      <c r="H102" s="120" t="s">
        <v>270</v>
      </c>
      <c r="I102" s="113" t="s">
        <v>131</v>
      </c>
      <c r="J102" s="111">
        <v>1</v>
      </c>
      <c r="K102" s="111" t="s">
        <v>34</v>
      </c>
      <c r="L102" s="314">
        <v>400</v>
      </c>
      <c r="M102" s="111" t="s">
        <v>187</v>
      </c>
      <c r="N102" s="320">
        <v>1</v>
      </c>
      <c r="O102" s="315">
        <f t="shared" si="10"/>
        <v>400</v>
      </c>
      <c r="P102" s="114">
        <v>1</v>
      </c>
      <c r="Q102" s="321">
        <v>0.92122999999999999</v>
      </c>
      <c r="R102" s="322">
        <f t="shared" si="11"/>
        <v>368.49200000000002</v>
      </c>
      <c r="S102" s="322" t="s">
        <v>188</v>
      </c>
      <c r="T102" s="323"/>
    </row>
    <row r="103" spans="1:20" s="93" customFormat="1" ht="20.5" customHeight="1">
      <c r="A103" s="111">
        <v>100</v>
      </c>
      <c r="B103" s="111" t="s">
        <v>129</v>
      </c>
      <c r="C103" s="111" t="s">
        <v>263</v>
      </c>
      <c r="D103" s="111" t="s">
        <v>113</v>
      </c>
      <c r="E103" s="111"/>
      <c r="F103" s="112">
        <v>45412</v>
      </c>
      <c r="G103" s="111" t="str">
        <f t="shared" si="9"/>
        <v>yyyy04</v>
      </c>
      <c r="H103" s="120" t="s">
        <v>271</v>
      </c>
      <c r="I103" s="113" t="s">
        <v>119</v>
      </c>
      <c r="J103" s="111">
        <v>4</v>
      </c>
      <c r="K103" s="111" t="s">
        <v>120</v>
      </c>
      <c r="L103" s="314">
        <f>L102*$M$1</f>
        <v>4</v>
      </c>
      <c r="M103" s="111" t="s">
        <v>187</v>
      </c>
      <c r="N103" s="320">
        <v>1</v>
      </c>
      <c r="O103" s="315">
        <f t="shared" si="10"/>
        <v>4</v>
      </c>
      <c r="P103" s="114">
        <v>1</v>
      </c>
      <c r="Q103" s="321">
        <v>0.92122999999999999</v>
      </c>
      <c r="R103" s="322">
        <f t="shared" si="11"/>
        <v>3.68492</v>
      </c>
      <c r="S103" s="322" t="s">
        <v>188</v>
      </c>
      <c r="T103" s="323"/>
    </row>
    <row r="104" spans="1:20" s="93" customFormat="1" ht="20.5" customHeight="1">
      <c r="A104" s="111">
        <v>101</v>
      </c>
      <c r="B104" s="111" t="s">
        <v>133</v>
      </c>
      <c r="C104" s="111" t="s">
        <v>263</v>
      </c>
      <c r="D104" s="111" t="s">
        <v>113</v>
      </c>
      <c r="E104" s="111"/>
      <c r="F104" s="112">
        <v>45412</v>
      </c>
      <c r="G104" s="111" t="str">
        <f t="shared" si="9"/>
        <v>yyyy04</v>
      </c>
      <c r="H104" s="120" t="s">
        <v>272</v>
      </c>
      <c r="I104" s="113" t="s">
        <v>273</v>
      </c>
      <c r="J104" s="111">
        <v>1</v>
      </c>
      <c r="K104" s="111" t="s">
        <v>34</v>
      </c>
      <c r="L104" s="314">
        <v>400</v>
      </c>
      <c r="M104" s="111" t="s">
        <v>187</v>
      </c>
      <c r="N104" s="320">
        <v>1</v>
      </c>
      <c r="O104" s="315">
        <f t="shared" si="10"/>
        <v>400</v>
      </c>
      <c r="P104" s="114">
        <v>1</v>
      </c>
      <c r="Q104" s="321">
        <v>0.92122999999999999</v>
      </c>
      <c r="R104" s="322">
        <f t="shared" si="11"/>
        <v>368.49200000000002</v>
      </c>
      <c r="S104" s="322" t="s">
        <v>188</v>
      </c>
      <c r="T104" s="323"/>
    </row>
    <row r="105" spans="1:20" s="93" customFormat="1" ht="20.5" customHeight="1">
      <c r="A105" s="111">
        <v>102</v>
      </c>
      <c r="B105" s="111" t="s">
        <v>133</v>
      </c>
      <c r="C105" s="111" t="s">
        <v>263</v>
      </c>
      <c r="D105" s="111" t="s">
        <v>113</v>
      </c>
      <c r="E105" s="111"/>
      <c r="F105" s="112">
        <v>45412</v>
      </c>
      <c r="G105" s="111" t="str">
        <f t="shared" si="9"/>
        <v>yyyy04</v>
      </c>
      <c r="H105" s="120" t="s">
        <v>274</v>
      </c>
      <c r="I105" s="113" t="s">
        <v>119</v>
      </c>
      <c r="J105" s="111">
        <v>4</v>
      </c>
      <c r="K105" s="111" t="s">
        <v>120</v>
      </c>
      <c r="L105" s="314">
        <f>L104*$M$1</f>
        <v>4</v>
      </c>
      <c r="M105" s="111" t="s">
        <v>187</v>
      </c>
      <c r="N105" s="320">
        <v>1</v>
      </c>
      <c r="O105" s="315">
        <f t="shared" si="10"/>
        <v>4</v>
      </c>
      <c r="P105" s="114">
        <v>1</v>
      </c>
      <c r="Q105" s="321">
        <v>0.92122999999999999</v>
      </c>
      <c r="R105" s="322">
        <f t="shared" si="11"/>
        <v>3.68492</v>
      </c>
      <c r="S105" s="322" t="s">
        <v>188</v>
      </c>
      <c r="T105" s="323"/>
    </row>
    <row r="106" spans="1:20" s="93" customFormat="1" ht="20.5" customHeight="1">
      <c r="A106" s="111">
        <v>103</v>
      </c>
      <c r="B106" s="111" t="s">
        <v>137</v>
      </c>
      <c r="C106" s="111" t="s">
        <v>263</v>
      </c>
      <c r="D106" s="111" t="s">
        <v>113</v>
      </c>
      <c r="E106" s="111"/>
      <c r="F106" s="112">
        <v>45412</v>
      </c>
      <c r="G106" s="111" t="str">
        <f t="shared" si="9"/>
        <v>yyyy04</v>
      </c>
      <c r="H106" s="120" t="s">
        <v>275</v>
      </c>
      <c r="I106" s="113" t="s">
        <v>139</v>
      </c>
      <c r="J106" s="111">
        <v>1</v>
      </c>
      <c r="K106" s="111" t="s">
        <v>34</v>
      </c>
      <c r="L106" s="314">
        <v>400</v>
      </c>
      <c r="M106" s="111" t="s">
        <v>187</v>
      </c>
      <c r="N106" s="320">
        <v>1</v>
      </c>
      <c r="O106" s="315">
        <f t="shared" si="10"/>
        <v>400</v>
      </c>
      <c r="P106" s="114">
        <v>1</v>
      </c>
      <c r="Q106" s="321">
        <v>0.92122999999999999</v>
      </c>
      <c r="R106" s="322">
        <f t="shared" si="11"/>
        <v>368.49200000000002</v>
      </c>
      <c r="S106" s="322" t="s">
        <v>188</v>
      </c>
      <c r="T106" s="323"/>
    </row>
    <row r="107" spans="1:20" s="93" customFormat="1" ht="20.5" customHeight="1">
      <c r="A107" s="111">
        <v>104</v>
      </c>
      <c r="B107" s="111" t="s">
        <v>137</v>
      </c>
      <c r="C107" s="111" t="s">
        <v>263</v>
      </c>
      <c r="D107" s="111" t="s">
        <v>113</v>
      </c>
      <c r="E107" s="111"/>
      <c r="F107" s="112">
        <v>45412</v>
      </c>
      <c r="G107" s="111" t="str">
        <f t="shared" si="9"/>
        <v>yyyy04</v>
      </c>
      <c r="H107" s="120" t="s">
        <v>276</v>
      </c>
      <c r="I107" s="113" t="s">
        <v>119</v>
      </c>
      <c r="J107" s="111">
        <v>4</v>
      </c>
      <c r="K107" s="111" t="s">
        <v>120</v>
      </c>
      <c r="L107" s="314">
        <f>L106*$M$1</f>
        <v>4</v>
      </c>
      <c r="M107" s="111" t="s">
        <v>187</v>
      </c>
      <c r="N107" s="320">
        <v>1</v>
      </c>
      <c r="O107" s="315">
        <f t="shared" si="10"/>
        <v>4</v>
      </c>
      <c r="P107" s="114">
        <v>1</v>
      </c>
      <c r="Q107" s="321">
        <v>0.92122999999999999</v>
      </c>
      <c r="R107" s="322">
        <f t="shared" si="11"/>
        <v>3.68492</v>
      </c>
      <c r="S107" s="322" t="s">
        <v>188</v>
      </c>
      <c r="T107" s="323"/>
    </row>
    <row r="108" spans="1:20" s="93" customFormat="1" ht="20.5" customHeight="1">
      <c r="A108" s="111">
        <v>105</v>
      </c>
      <c r="B108" s="111" t="s">
        <v>141</v>
      </c>
      <c r="C108" s="111" t="s">
        <v>263</v>
      </c>
      <c r="D108" s="111" t="s">
        <v>113</v>
      </c>
      <c r="E108" s="111"/>
      <c r="F108" s="112">
        <v>45412</v>
      </c>
      <c r="G108" s="111" t="str">
        <f t="shared" si="9"/>
        <v>yyyy04</v>
      </c>
      <c r="H108" s="120" t="s">
        <v>277</v>
      </c>
      <c r="I108" s="113" t="s">
        <v>143</v>
      </c>
      <c r="J108" s="111">
        <v>1</v>
      </c>
      <c r="K108" s="111" t="s">
        <v>144</v>
      </c>
      <c r="L108" s="314">
        <v>200</v>
      </c>
      <c r="M108" s="111" t="s">
        <v>187</v>
      </c>
      <c r="N108" s="320">
        <v>1</v>
      </c>
      <c r="O108" s="315">
        <f t="shared" si="10"/>
        <v>200</v>
      </c>
      <c r="P108" s="114">
        <v>1</v>
      </c>
      <c r="Q108" s="321">
        <v>0.92122999999999999</v>
      </c>
      <c r="R108" s="322">
        <f t="shared" si="11"/>
        <v>184.24600000000001</v>
      </c>
      <c r="S108" s="322" t="s">
        <v>188</v>
      </c>
      <c r="T108" s="323"/>
    </row>
    <row r="109" spans="1:20" s="93" customFormat="1" ht="20.5" customHeight="1">
      <c r="A109" s="111">
        <v>106</v>
      </c>
      <c r="B109" s="111" t="s">
        <v>141</v>
      </c>
      <c r="C109" s="111" t="s">
        <v>263</v>
      </c>
      <c r="D109" s="111" t="s">
        <v>113</v>
      </c>
      <c r="E109" s="111"/>
      <c r="F109" s="112">
        <v>45412</v>
      </c>
      <c r="G109" s="111" t="str">
        <f t="shared" si="9"/>
        <v>yyyy04</v>
      </c>
      <c r="H109" s="120" t="s">
        <v>278</v>
      </c>
      <c r="I109" s="113" t="s">
        <v>119</v>
      </c>
      <c r="J109" s="111">
        <v>4</v>
      </c>
      <c r="K109" s="111" t="s">
        <v>120</v>
      </c>
      <c r="L109" s="314">
        <f>L108*$M$1</f>
        <v>2</v>
      </c>
      <c r="M109" s="111" t="s">
        <v>187</v>
      </c>
      <c r="N109" s="320">
        <v>1</v>
      </c>
      <c r="O109" s="315">
        <f t="shared" si="10"/>
        <v>2</v>
      </c>
      <c r="P109" s="114">
        <v>1</v>
      </c>
      <c r="Q109" s="321">
        <v>0.92122999999999999</v>
      </c>
      <c r="R109" s="322">
        <f t="shared" si="11"/>
        <v>1.84246</v>
      </c>
      <c r="S109" s="322" t="s">
        <v>188</v>
      </c>
      <c r="T109" s="323"/>
    </row>
    <row r="110" spans="1:20" s="93" customFormat="1" ht="20.5" customHeight="1">
      <c r="A110" s="111">
        <v>107</v>
      </c>
      <c r="B110" s="111" t="s">
        <v>146</v>
      </c>
      <c r="C110" s="111" t="s">
        <v>263</v>
      </c>
      <c r="D110" s="111" t="s">
        <v>113</v>
      </c>
      <c r="E110" s="111"/>
      <c r="F110" s="112">
        <v>45412</v>
      </c>
      <c r="G110" s="111" t="str">
        <f t="shared" si="9"/>
        <v>yyyy04</v>
      </c>
      <c r="H110" s="120" t="s">
        <v>279</v>
      </c>
      <c r="I110" s="113" t="s">
        <v>148</v>
      </c>
      <c r="J110" s="111">
        <v>1</v>
      </c>
      <c r="K110" s="111" t="s">
        <v>144</v>
      </c>
      <c r="L110" s="314">
        <v>200</v>
      </c>
      <c r="M110" s="111" t="s">
        <v>187</v>
      </c>
      <c r="N110" s="320">
        <v>1</v>
      </c>
      <c r="O110" s="315">
        <f t="shared" si="10"/>
        <v>200</v>
      </c>
      <c r="P110" s="114">
        <v>1</v>
      </c>
      <c r="Q110" s="321">
        <v>0.92122999999999999</v>
      </c>
      <c r="R110" s="322">
        <f t="shared" si="11"/>
        <v>184.24600000000001</v>
      </c>
      <c r="S110" s="322" t="s">
        <v>188</v>
      </c>
      <c r="T110" s="323"/>
    </row>
    <row r="111" spans="1:20" s="93" customFormat="1" ht="20.5" customHeight="1">
      <c r="A111" s="111">
        <v>108</v>
      </c>
      <c r="B111" s="111" t="s">
        <v>146</v>
      </c>
      <c r="C111" s="111" t="s">
        <v>263</v>
      </c>
      <c r="D111" s="111" t="s">
        <v>113</v>
      </c>
      <c r="E111" s="111"/>
      <c r="F111" s="112">
        <v>45412</v>
      </c>
      <c r="G111" s="111" t="str">
        <f t="shared" si="9"/>
        <v>yyyy04</v>
      </c>
      <c r="H111" s="120" t="s">
        <v>280</v>
      </c>
      <c r="I111" s="113" t="s">
        <v>119</v>
      </c>
      <c r="J111" s="111">
        <v>4</v>
      </c>
      <c r="K111" s="111" t="s">
        <v>120</v>
      </c>
      <c r="L111" s="314">
        <f>L110*$M$1</f>
        <v>2</v>
      </c>
      <c r="M111" s="111" t="s">
        <v>187</v>
      </c>
      <c r="N111" s="320">
        <v>1</v>
      </c>
      <c r="O111" s="315">
        <f t="shared" si="10"/>
        <v>2</v>
      </c>
      <c r="P111" s="114">
        <v>1</v>
      </c>
      <c r="Q111" s="321">
        <v>0.92122999999999999</v>
      </c>
      <c r="R111" s="322">
        <f t="shared" si="11"/>
        <v>1.84246</v>
      </c>
      <c r="S111" s="322" t="s">
        <v>188</v>
      </c>
      <c r="T111" s="323"/>
    </row>
    <row r="112" spans="1:20" s="93" customFormat="1" ht="20.5" customHeight="1">
      <c r="A112" s="111">
        <v>109</v>
      </c>
      <c r="B112" s="111" t="s">
        <v>155</v>
      </c>
      <c r="C112" s="111" t="s">
        <v>263</v>
      </c>
      <c r="D112" s="111" t="s">
        <v>113</v>
      </c>
      <c r="E112" s="111"/>
      <c r="F112" s="112">
        <v>45412</v>
      </c>
      <c r="G112" s="111" t="str">
        <f t="shared" si="9"/>
        <v>yyyy04</v>
      </c>
      <c r="H112" s="120" t="s">
        <v>281</v>
      </c>
      <c r="I112" s="113" t="s">
        <v>157</v>
      </c>
      <c r="J112" s="111">
        <v>1</v>
      </c>
      <c r="K112" s="111" t="s">
        <v>153</v>
      </c>
      <c r="L112" s="314">
        <v>375</v>
      </c>
      <c r="M112" s="111" t="s">
        <v>187</v>
      </c>
      <c r="N112" s="320">
        <v>1</v>
      </c>
      <c r="O112" s="315">
        <f t="shared" si="10"/>
        <v>375</v>
      </c>
      <c r="P112" s="114">
        <v>1</v>
      </c>
      <c r="Q112" s="321">
        <v>0.92122999999999999</v>
      </c>
      <c r="R112" s="322">
        <f t="shared" si="11"/>
        <v>345.46125000000001</v>
      </c>
      <c r="S112" s="322" t="s">
        <v>188</v>
      </c>
      <c r="T112" s="323"/>
    </row>
    <row r="113" spans="1:20" s="93" customFormat="1" ht="20.5" customHeight="1">
      <c r="A113" s="111">
        <v>110</v>
      </c>
      <c r="B113" s="111" t="s">
        <v>155</v>
      </c>
      <c r="C113" s="111" t="s">
        <v>263</v>
      </c>
      <c r="D113" s="111" t="s">
        <v>113</v>
      </c>
      <c r="E113" s="111"/>
      <c r="F113" s="112">
        <v>45412</v>
      </c>
      <c r="G113" s="111" t="str">
        <f t="shared" si="9"/>
        <v>yyyy04</v>
      </c>
      <c r="H113" s="120" t="s">
        <v>282</v>
      </c>
      <c r="I113" s="113" t="s">
        <v>119</v>
      </c>
      <c r="J113" s="111">
        <v>4</v>
      </c>
      <c r="K113" s="111" t="s">
        <v>120</v>
      </c>
      <c r="L113" s="314">
        <f>L112*$M$1</f>
        <v>3.75</v>
      </c>
      <c r="M113" s="111" t="s">
        <v>187</v>
      </c>
      <c r="N113" s="320">
        <v>1</v>
      </c>
      <c r="O113" s="315">
        <f t="shared" si="10"/>
        <v>3.75</v>
      </c>
      <c r="P113" s="114">
        <v>1</v>
      </c>
      <c r="Q113" s="321">
        <v>0.92122999999999999</v>
      </c>
      <c r="R113" s="322">
        <f t="shared" si="11"/>
        <v>3.4546125000000001</v>
      </c>
      <c r="S113" s="322" t="s">
        <v>188</v>
      </c>
      <c r="T113" s="323"/>
    </row>
    <row r="114" spans="1:20" s="93" customFormat="1" ht="20.5" customHeight="1">
      <c r="A114" s="111">
        <v>111</v>
      </c>
      <c r="B114" s="111" t="s">
        <v>150</v>
      </c>
      <c r="C114" s="111" t="s">
        <v>263</v>
      </c>
      <c r="D114" s="111" t="s">
        <v>113</v>
      </c>
      <c r="E114" s="111"/>
      <c r="F114" s="112">
        <v>45412</v>
      </c>
      <c r="G114" s="111" t="str">
        <f t="shared" si="9"/>
        <v>yyyy04</v>
      </c>
      <c r="H114" s="120" t="s">
        <v>283</v>
      </c>
      <c r="I114" s="113" t="s">
        <v>152</v>
      </c>
      <c r="J114" s="111">
        <v>1</v>
      </c>
      <c r="K114" s="111" t="s">
        <v>153</v>
      </c>
      <c r="L114" s="314">
        <v>375</v>
      </c>
      <c r="M114" s="111" t="s">
        <v>187</v>
      </c>
      <c r="N114" s="320">
        <v>1</v>
      </c>
      <c r="O114" s="315">
        <f t="shared" si="10"/>
        <v>375</v>
      </c>
      <c r="P114" s="114">
        <v>1</v>
      </c>
      <c r="Q114" s="321">
        <v>0.92122999999999999</v>
      </c>
      <c r="R114" s="322">
        <f t="shared" si="11"/>
        <v>345.46125000000001</v>
      </c>
      <c r="S114" s="322" t="s">
        <v>188</v>
      </c>
      <c r="T114" s="323"/>
    </row>
    <row r="115" spans="1:20" s="93" customFormat="1" ht="20.5" customHeight="1">
      <c r="A115" s="111">
        <v>112</v>
      </c>
      <c r="B115" s="111" t="s">
        <v>150</v>
      </c>
      <c r="C115" s="111" t="s">
        <v>263</v>
      </c>
      <c r="D115" s="111" t="s">
        <v>113</v>
      </c>
      <c r="E115" s="111"/>
      <c r="F115" s="112">
        <v>45412</v>
      </c>
      <c r="G115" s="111" t="str">
        <f t="shared" si="9"/>
        <v>yyyy04</v>
      </c>
      <c r="H115" s="120" t="s">
        <v>284</v>
      </c>
      <c r="I115" s="113" t="s">
        <v>119</v>
      </c>
      <c r="J115" s="111">
        <v>4</v>
      </c>
      <c r="K115" s="111" t="s">
        <v>120</v>
      </c>
      <c r="L115" s="314">
        <f>L114*$M$1</f>
        <v>3.75</v>
      </c>
      <c r="M115" s="111" t="s">
        <v>187</v>
      </c>
      <c r="N115" s="320">
        <v>1</v>
      </c>
      <c r="O115" s="315">
        <f t="shared" si="10"/>
        <v>3.75</v>
      </c>
      <c r="P115" s="114">
        <v>1</v>
      </c>
      <c r="Q115" s="321">
        <v>0.92122999999999999</v>
      </c>
      <c r="R115" s="322">
        <f t="shared" si="11"/>
        <v>3.4546125000000001</v>
      </c>
      <c r="S115" s="322" t="s">
        <v>188</v>
      </c>
      <c r="T115" s="323"/>
    </row>
    <row r="116" spans="1:20" s="93" customFormat="1" ht="20.5" customHeight="1">
      <c r="A116" s="111">
        <v>113</v>
      </c>
      <c r="B116" s="111" t="s">
        <v>159</v>
      </c>
      <c r="C116" s="111" t="s">
        <v>263</v>
      </c>
      <c r="D116" s="111" t="s">
        <v>113</v>
      </c>
      <c r="E116" s="111"/>
      <c r="F116" s="112">
        <v>45412</v>
      </c>
      <c r="G116" s="111" t="str">
        <f t="shared" si="9"/>
        <v>yyyy04</v>
      </c>
      <c r="H116" s="120" t="s">
        <v>285</v>
      </c>
      <c r="I116" s="113" t="s">
        <v>286</v>
      </c>
      <c r="J116" s="111">
        <v>1</v>
      </c>
      <c r="K116" s="111" t="s">
        <v>162</v>
      </c>
      <c r="L116" s="314">
        <v>216.67</v>
      </c>
      <c r="M116" s="111" t="s">
        <v>187</v>
      </c>
      <c r="N116" s="320">
        <v>1</v>
      </c>
      <c r="O116" s="315">
        <f t="shared" si="10"/>
        <v>216.67</v>
      </c>
      <c r="P116" s="114">
        <v>1</v>
      </c>
      <c r="Q116" s="321">
        <v>0.92122999999999999</v>
      </c>
      <c r="R116" s="322">
        <f t="shared" si="11"/>
        <v>199.60290409999999</v>
      </c>
      <c r="S116" s="322" t="s">
        <v>188</v>
      </c>
      <c r="T116" s="323"/>
    </row>
    <row r="117" spans="1:20" s="93" customFormat="1" ht="20.5" customHeight="1">
      <c r="A117" s="111">
        <v>114</v>
      </c>
      <c r="B117" s="111" t="s">
        <v>159</v>
      </c>
      <c r="C117" s="111" t="s">
        <v>263</v>
      </c>
      <c r="D117" s="111" t="s">
        <v>113</v>
      </c>
      <c r="E117" s="111"/>
      <c r="F117" s="112">
        <v>45412</v>
      </c>
      <c r="G117" s="111" t="str">
        <f t="shared" si="9"/>
        <v>yyyy04</v>
      </c>
      <c r="H117" s="120" t="s">
        <v>287</v>
      </c>
      <c r="I117" s="113" t="s">
        <v>119</v>
      </c>
      <c r="J117" s="111">
        <v>4</v>
      </c>
      <c r="K117" s="111" t="s">
        <v>120</v>
      </c>
      <c r="L117" s="314">
        <f>L116*$M$1</f>
        <v>2.1667000000000001</v>
      </c>
      <c r="M117" s="111" t="s">
        <v>187</v>
      </c>
      <c r="N117" s="320">
        <v>1</v>
      </c>
      <c r="O117" s="315">
        <f t="shared" si="10"/>
        <v>2.1667000000000001</v>
      </c>
      <c r="P117" s="114">
        <v>1</v>
      </c>
      <c r="Q117" s="321">
        <v>0.92122999999999999</v>
      </c>
      <c r="R117" s="322">
        <f t="shared" si="11"/>
        <v>1.9960290410000001</v>
      </c>
      <c r="S117" s="322" t="s">
        <v>188</v>
      </c>
      <c r="T117" s="323"/>
    </row>
    <row r="118" spans="1:20" s="93" customFormat="1" ht="20.5" customHeight="1">
      <c r="A118" s="111">
        <v>115</v>
      </c>
      <c r="B118" s="111" t="s">
        <v>164</v>
      </c>
      <c r="C118" s="111" t="s">
        <v>263</v>
      </c>
      <c r="D118" s="111" t="s">
        <v>113</v>
      </c>
      <c r="E118" s="111"/>
      <c r="F118" s="112">
        <v>45412</v>
      </c>
      <c r="G118" s="111" t="str">
        <f t="shared" si="9"/>
        <v>yyyy04</v>
      </c>
      <c r="H118" s="120" t="s">
        <v>288</v>
      </c>
      <c r="I118" s="113" t="s">
        <v>166</v>
      </c>
      <c r="J118" s="111">
        <v>1</v>
      </c>
      <c r="K118" s="111" t="s">
        <v>167</v>
      </c>
      <c r="L118" s="314">
        <v>650</v>
      </c>
      <c r="M118" s="111" t="s">
        <v>187</v>
      </c>
      <c r="N118" s="320">
        <v>1</v>
      </c>
      <c r="O118" s="315">
        <f t="shared" si="10"/>
        <v>650</v>
      </c>
      <c r="P118" s="114">
        <v>1</v>
      </c>
      <c r="Q118" s="321">
        <v>0.92122999999999999</v>
      </c>
      <c r="R118" s="322">
        <f t="shared" si="11"/>
        <v>598.79949999999997</v>
      </c>
      <c r="S118" s="322" t="s">
        <v>188</v>
      </c>
      <c r="T118" s="323"/>
    </row>
    <row r="119" spans="1:20" s="93" customFormat="1" ht="20.5" customHeight="1">
      <c r="A119" s="111">
        <v>116</v>
      </c>
      <c r="B119" s="111" t="s">
        <v>164</v>
      </c>
      <c r="C119" s="111" t="s">
        <v>263</v>
      </c>
      <c r="D119" s="111" t="s">
        <v>113</v>
      </c>
      <c r="E119" s="111"/>
      <c r="F119" s="112">
        <v>45412</v>
      </c>
      <c r="G119" s="111" t="str">
        <f t="shared" si="9"/>
        <v>yyyy04</v>
      </c>
      <c r="H119" s="120" t="s">
        <v>289</v>
      </c>
      <c r="I119" s="113" t="s">
        <v>119</v>
      </c>
      <c r="J119" s="111">
        <v>4</v>
      </c>
      <c r="K119" s="111" t="s">
        <v>120</v>
      </c>
      <c r="L119" s="314">
        <f>L118*M1</f>
        <v>6.5</v>
      </c>
      <c r="M119" s="111" t="s">
        <v>187</v>
      </c>
      <c r="N119" s="320">
        <v>1</v>
      </c>
      <c r="O119" s="315">
        <f t="shared" si="10"/>
        <v>6.5</v>
      </c>
      <c r="P119" s="114">
        <v>1</v>
      </c>
      <c r="Q119" s="321">
        <v>0.92122999999999999</v>
      </c>
      <c r="R119" s="322">
        <f t="shared" si="11"/>
        <v>5.9879949999999997</v>
      </c>
      <c r="S119" s="322" t="s">
        <v>188</v>
      </c>
      <c r="T119" s="323"/>
    </row>
    <row r="120" spans="1:20" s="93" customFormat="1" ht="20.5" customHeight="1">
      <c r="A120" s="111">
        <v>117</v>
      </c>
      <c r="B120" s="111" t="s">
        <v>164</v>
      </c>
      <c r="C120" s="111" t="s">
        <v>263</v>
      </c>
      <c r="D120" s="111" t="s">
        <v>113</v>
      </c>
      <c r="E120" s="111"/>
      <c r="F120" s="112">
        <v>45412</v>
      </c>
      <c r="G120" s="111" t="str">
        <f t="shared" si="9"/>
        <v>yyyy04</v>
      </c>
      <c r="H120" s="120" t="s">
        <v>290</v>
      </c>
      <c r="I120" s="111" t="s">
        <v>171</v>
      </c>
      <c r="J120" s="111">
        <v>1</v>
      </c>
      <c r="K120" s="111" t="s">
        <v>172</v>
      </c>
      <c r="L120" s="314">
        <v>650</v>
      </c>
      <c r="M120" s="111" t="s">
        <v>187</v>
      </c>
      <c r="N120" s="320">
        <v>1</v>
      </c>
      <c r="O120" s="315">
        <f t="shared" si="10"/>
        <v>650</v>
      </c>
      <c r="P120" s="114">
        <v>0.25</v>
      </c>
      <c r="Q120" s="321">
        <v>0.92122999999999999</v>
      </c>
      <c r="R120" s="322">
        <f t="shared" si="11"/>
        <v>149.69987499999999</v>
      </c>
      <c r="S120" s="322" t="s">
        <v>188</v>
      </c>
      <c r="T120" s="323"/>
    </row>
    <row r="121" spans="1:20" s="93" customFormat="1" ht="20.5" customHeight="1">
      <c r="A121" s="111">
        <v>118</v>
      </c>
      <c r="B121" s="111" t="s">
        <v>164</v>
      </c>
      <c r="C121" s="111" t="s">
        <v>263</v>
      </c>
      <c r="D121" s="111" t="s">
        <v>113</v>
      </c>
      <c r="E121" s="111"/>
      <c r="F121" s="112">
        <v>45412</v>
      </c>
      <c r="G121" s="111" t="str">
        <f t="shared" si="9"/>
        <v>yyyy04</v>
      </c>
      <c r="H121" s="120" t="s">
        <v>291</v>
      </c>
      <c r="I121" s="113" t="s">
        <v>119</v>
      </c>
      <c r="J121" s="111">
        <v>4</v>
      </c>
      <c r="K121" s="111" t="s">
        <v>120</v>
      </c>
      <c r="L121" s="314">
        <f>L120*M1</f>
        <v>6.5</v>
      </c>
      <c r="M121" s="111" t="s">
        <v>187</v>
      </c>
      <c r="N121" s="320">
        <v>1</v>
      </c>
      <c r="O121" s="315">
        <f t="shared" si="10"/>
        <v>6.5</v>
      </c>
      <c r="P121" s="114">
        <v>0.25</v>
      </c>
      <c r="Q121" s="321">
        <v>0.92122999999999999</v>
      </c>
      <c r="R121" s="322">
        <f t="shared" si="11"/>
        <v>1.4969987499999999</v>
      </c>
      <c r="S121" s="322" t="s">
        <v>188</v>
      </c>
      <c r="T121" s="323"/>
    </row>
    <row r="122" spans="1:20" s="93" customFormat="1" ht="20.5" customHeight="1">
      <c r="A122" s="111">
        <v>119</v>
      </c>
      <c r="B122" s="111" t="s">
        <v>292</v>
      </c>
      <c r="C122" s="111" t="s">
        <v>263</v>
      </c>
      <c r="D122" s="111" t="s">
        <v>175</v>
      </c>
      <c r="E122" s="111"/>
      <c r="F122" s="112">
        <v>45412</v>
      </c>
      <c r="G122" s="111" t="str">
        <f>TEXT(F123,"yyyymm")</f>
        <v>yyyy04</v>
      </c>
      <c r="H122" s="120" t="s">
        <v>293</v>
      </c>
      <c r="I122" s="111" t="s">
        <v>294</v>
      </c>
      <c r="J122" s="111">
        <v>1</v>
      </c>
      <c r="K122" s="111" t="s">
        <v>295</v>
      </c>
      <c r="L122" s="314">
        <v>1125</v>
      </c>
      <c r="M122" s="111" t="s">
        <v>187</v>
      </c>
      <c r="N122" s="320">
        <v>1</v>
      </c>
      <c r="O122" s="315">
        <f t="shared" si="10"/>
        <v>1125</v>
      </c>
      <c r="P122" s="114">
        <v>1</v>
      </c>
      <c r="Q122" s="321">
        <v>0.92122999999999999</v>
      </c>
      <c r="R122" s="322">
        <f t="shared" si="11"/>
        <v>1036.38375</v>
      </c>
      <c r="S122" s="322" t="s">
        <v>188</v>
      </c>
      <c r="T122" s="323">
        <v>45389</v>
      </c>
    </row>
    <row r="123" spans="1:20" s="93" customFormat="1" ht="20.5" customHeight="1">
      <c r="A123" s="111">
        <v>120</v>
      </c>
      <c r="B123" s="111" t="s">
        <v>292</v>
      </c>
      <c r="C123" s="111" t="s">
        <v>263</v>
      </c>
      <c r="D123" s="111" t="s">
        <v>175</v>
      </c>
      <c r="E123" s="111"/>
      <c r="F123" s="112">
        <v>45412</v>
      </c>
      <c r="G123" s="111" t="str">
        <f>TEXT(F123,"yyyymm")</f>
        <v>yyyy04</v>
      </c>
      <c r="H123" s="120" t="s">
        <v>296</v>
      </c>
      <c r="I123" s="111" t="s">
        <v>119</v>
      </c>
      <c r="J123" s="111">
        <v>4</v>
      </c>
      <c r="K123" s="111" t="s">
        <v>120</v>
      </c>
      <c r="L123" s="314">
        <f>L122*0.01</f>
        <v>11.25</v>
      </c>
      <c r="M123" s="111" t="s">
        <v>187</v>
      </c>
      <c r="N123" s="320">
        <v>1</v>
      </c>
      <c r="O123" s="315">
        <f t="shared" si="10"/>
        <v>11.25</v>
      </c>
      <c r="P123" s="114">
        <v>1</v>
      </c>
      <c r="Q123" s="321">
        <v>0.92122999999999999</v>
      </c>
      <c r="R123" s="322">
        <f t="shared" si="11"/>
        <v>10.363837500000001</v>
      </c>
      <c r="S123" s="322" t="s">
        <v>188</v>
      </c>
      <c r="T123" s="323">
        <v>45389</v>
      </c>
    </row>
    <row r="124" spans="1:20" s="93" customFormat="1" ht="20.5" customHeight="1">
      <c r="A124" s="111">
        <v>121</v>
      </c>
      <c r="B124" s="111" t="s">
        <v>297</v>
      </c>
      <c r="C124" s="111" t="s">
        <v>263</v>
      </c>
      <c r="D124" s="111" t="s">
        <v>175</v>
      </c>
      <c r="E124" s="111"/>
      <c r="F124" s="112">
        <v>45412</v>
      </c>
      <c r="G124" s="111" t="str">
        <f>TEXT(F125,"yyyymm")</f>
        <v>yyyy04</v>
      </c>
      <c r="H124" s="120" t="s">
        <v>298</v>
      </c>
      <c r="I124" s="111" t="s">
        <v>299</v>
      </c>
      <c r="J124" s="111">
        <v>1</v>
      </c>
      <c r="K124" s="111" t="s">
        <v>300</v>
      </c>
      <c r="L124" s="314">
        <v>1100</v>
      </c>
      <c r="M124" s="111" t="s">
        <v>187</v>
      </c>
      <c r="N124" s="320">
        <v>1</v>
      </c>
      <c r="O124" s="315">
        <f t="shared" si="10"/>
        <v>1100</v>
      </c>
      <c r="P124" s="114">
        <v>1</v>
      </c>
      <c r="Q124" s="321">
        <v>0.92122999999999999</v>
      </c>
      <c r="R124" s="322">
        <f t="shared" si="11"/>
        <v>1013.353</v>
      </c>
      <c r="S124" s="322" t="s">
        <v>188</v>
      </c>
      <c r="T124" s="323">
        <v>45398</v>
      </c>
    </row>
    <row r="125" spans="1:20" s="93" customFormat="1" ht="20.5" customHeight="1">
      <c r="A125" s="111">
        <v>122</v>
      </c>
      <c r="B125" s="111" t="s">
        <v>297</v>
      </c>
      <c r="C125" s="111" t="s">
        <v>263</v>
      </c>
      <c r="D125" s="111" t="s">
        <v>175</v>
      </c>
      <c r="E125" s="111"/>
      <c r="F125" s="112">
        <v>45412</v>
      </c>
      <c r="G125" s="111" t="str">
        <f>TEXT(F125,"yyyymm")</f>
        <v>yyyy04</v>
      </c>
      <c r="H125" s="120" t="s">
        <v>301</v>
      </c>
      <c r="I125" s="111" t="s">
        <v>119</v>
      </c>
      <c r="J125" s="111">
        <v>4</v>
      </c>
      <c r="K125" s="111" t="s">
        <v>120</v>
      </c>
      <c r="L125" s="314">
        <f>L124*0.01</f>
        <v>11</v>
      </c>
      <c r="M125" s="111" t="s">
        <v>187</v>
      </c>
      <c r="N125" s="320">
        <v>1</v>
      </c>
      <c r="O125" s="315">
        <f t="shared" si="10"/>
        <v>11</v>
      </c>
      <c r="P125" s="114">
        <v>1</v>
      </c>
      <c r="Q125" s="321">
        <v>0.92122999999999999</v>
      </c>
      <c r="R125" s="322">
        <f t="shared" si="11"/>
        <v>10.13353</v>
      </c>
      <c r="S125" s="322" t="s">
        <v>188</v>
      </c>
      <c r="T125" s="323">
        <v>45398</v>
      </c>
    </row>
    <row r="126" spans="1:20" s="93" customFormat="1" ht="20.5" customHeight="1">
      <c r="A126" s="111">
        <v>123</v>
      </c>
      <c r="B126" s="111" t="s">
        <v>297</v>
      </c>
      <c r="C126" s="111" t="s">
        <v>263</v>
      </c>
      <c r="D126" s="111" t="s">
        <v>175</v>
      </c>
      <c r="E126" s="111"/>
      <c r="F126" s="112">
        <v>45412</v>
      </c>
      <c r="G126" s="111" t="str">
        <f>TEXT(F127,"yyyymm")</f>
        <v>yyyy04</v>
      </c>
      <c r="H126" s="120" t="s">
        <v>302</v>
      </c>
      <c r="I126" s="111" t="s">
        <v>299</v>
      </c>
      <c r="J126" s="111">
        <v>1</v>
      </c>
      <c r="K126" s="111" t="s">
        <v>303</v>
      </c>
      <c r="L126" s="314">
        <v>890</v>
      </c>
      <c r="M126" s="111" t="s">
        <v>187</v>
      </c>
      <c r="N126" s="320">
        <v>1</v>
      </c>
      <c r="O126" s="315">
        <f t="shared" si="10"/>
        <v>890</v>
      </c>
      <c r="P126" s="114">
        <v>1</v>
      </c>
      <c r="Q126" s="321">
        <v>0.92122999999999999</v>
      </c>
      <c r="R126" s="322">
        <f t="shared" si="11"/>
        <v>819.89469999999994</v>
      </c>
      <c r="S126" s="322" t="s">
        <v>188</v>
      </c>
      <c r="T126" s="323">
        <v>45398</v>
      </c>
    </row>
    <row r="127" spans="1:20" s="93" customFormat="1" ht="20.5" customHeight="1">
      <c r="A127" s="111">
        <v>124</v>
      </c>
      <c r="B127" s="111" t="s">
        <v>297</v>
      </c>
      <c r="C127" s="111" t="s">
        <v>263</v>
      </c>
      <c r="D127" s="111" t="s">
        <v>175</v>
      </c>
      <c r="E127" s="111"/>
      <c r="F127" s="112">
        <v>45412</v>
      </c>
      <c r="G127" s="111" t="str">
        <f>TEXT(F127,"yyyymm")</f>
        <v>yyyy04</v>
      </c>
      <c r="H127" s="120" t="s">
        <v>304</v>
      </c>
      <c r="I127" s="111" t="s">
        <v>119</v>
      </c>
      <c r="J127" s="111">
        <v>4</v>
      </c>
      <c r="K127" s="111" t="s">
        <v>120</v>
      </c>
      <c r="L127" s="314">
        <f>L126*0.01</f>
        <v>8.9</v>
      </c>
      <c r="M127" s="111" t="s">
        <v>187</v>
      </c>
      <c r="N127" s="320">
        <v>1</v>
      </c>
      <c r="O127" s="315">
        <f t="shared" si="10"/>
        <v>8.9</v>
      </c>
      <c r="P127" s="114">
        <v>1</v>
      </c>
      <c r="Q127" s="321">
        <v>0.92122999999999999</v>
      </c>
      <c r="R127" s="322">
        <f t="shared" si="11"/>
        <v>8.1989470000000004</v>
      </c>
      <c r="S127" s="322" t="s">
        <v>188</v>
      </c>
      <c r="T127" s="323">
        <v>45398</v>
      </c>
    </row>
    <row r="128" spans="1:20" s="93" customFormat="1" ht="20.5" customHeight="1">
      <c r="A128" s="111">
        <v>125</v>
      </c>
      <c r="B128" s="111" t="s">
        <v>297</v>
      </c>
      <c r="C128" s="111" t="s">
        <v>263</v>
      </c>
      <c r="D128" s="111" t="s">
        <v>175</v>
      </c>
      <c r="E128" s="111"/>
      <c r="F128" s="112">
        <v>45412</v>
      </c>
      <c r="G128" s="111" t="str">
        <f>TEXT(F129,"yyyymm")</f>
        <v>yyyy04</v>
      </c>
      <c r="H128" s="120" t="s">
        <v>305</v>
      </c>
      <c r="I128" s="111" t="s">
        <v>299</v>
      </c>
      <c r="J128" s="111">
        <v>1</v>
      </c>
      <c r="K128" s="111" t="s">
        <v>306</v>
      </c>
      <c r="L128" s="314">
        <v>350</v>
      </c>
      <c r="M128" s="111" t="s">
        <v>187</v>
      </c>
      <c r="N128" s="320">
        <v>1</v>
      </c>
      <c r="O128" s="315">
        <f t="shared" si="10"/>
        <v>350</v>
      </c>
      <c r="P128" s="114">
        <v>1</v>
      </c>
      <c r="Q128" s="321">
        <v>0.92122999999999999</v>
      </c>
      <c r="R128" s="322">
        <f t="shared" si="11"/>
        <v>322.43049999999999</v>
      </c>
      <c r="S128" s="322" t="s">
        <v>188</v>
      </c>
      <c r="T128" s="323">
        <v>45398</v>
      </c>
    </row>
    <row r="129" spans="1:20" s="93" customFormat="1" ht="20.5" customHeight="1">
      <c r="A129" s="111">
        <v>126</v>
      </c>
      <c r="B129" s="111" t="s">
        <v>297</v>
      </c>
      <c r="C129" s="111" t="s">
        <v>263</v>
      </c>
      <c r="D129" s="111" t="s">
        <v>175</v>
      </c>
      <c r="E129" s="111"/>
      <c r="F129" s="112">
        <v>45412</v>
      </c>
      <c r="G129" s="111" t="str">
        <f>TEXT(F129,"yyyymm")</f>
        <v>yyyy04</v>
      </c>
      <c r="H129" s="120" t="s">
        <v>307</v>
      </c>
      <c r="I129" s="111" t="s">
        <v>119</v>
      </c>
      <c r="J129" s="111">
        <v>4</v>
      </c>
      <c r="K129" s="111" t="s">
        <v>120</v>
      </c>
      <c r="L129" s="314">
        <f>L128*0.01</f>
        <v>3.5</v>
      </c>
      <c r="M129" s="111" t="s">
        <v>187</v>
      </c>
      <c r="N129" s="320">
        <v>1</v>
      </c>
      <c r="O129" s="315">
        <f t="shared" si="10"/>
        <v>3.5</v>
      </c>
      <c r="P129" s="114">
        <v>1</v>
      </c>
      <c r="Q129" s="321">
        <v>0.92122999999999999</v>
      </c>
      <c r="R129" s="322">
        <f t="shared" si="11"/>
        <v>3.2243050000000002</v>
      </c>
      <c r="S129" s="322" t="s">
        <v>188</v>
      </c>
      <c r="T129" s="323">
        <v>45398</v>
      </c>
    </row>
    <row r="130" spans="1:20" s="93" customFormat="1" ht="20.5" customHeight="1">
      <c r="A130" s="111">
        <v>127</v>
      </c>
      <c r="B130" s="111" t="s">
        <v>297</v>
      </c>
      <c r="C130" s="111" t="s">
        <v>263</v>
      </c>
      <c r="D130" s="111" t="s">
        <v>175</v>
      </c>
      <c r="E130" s="111"/>
      <c r="F130" s="112">
        <v>45412</v>
      </c>
      <c r="G130" s="111" t="str">
        <f>TEXT(F131,"yyyymm")</f>
        <v>yyyy04</v>
      </c>
      <c r="H130" s="120" t="s">
        <v>308</v>
      </c>
      <c r="I130" s="111" t="s">
        <v>299</v>
      </c>
      <c r="J130" s="111">
        <v>1</v>
      </c>
      <c r="K130" s="111" t="s">
        <v>309</v>
      </c>
      <c r="L130" s="314">
        <v>230</v>
      </c>
      <c r="M130" s="111" t="s">
        <v>187</v>
      </c>
      <c r="N130" s="320">
        <v>1</v>
      </c>
      <c r="O130" s="315">
        <f t="shared" si="10"/>
        <v>230</v>
      </c>
      <c r="P130" s="114">
        <v>1</v>
      </c>
      <c r="Q130" s="321">
        <v>0.92122999999999999</v>
      </c>
      <c r="R130" s="322">
        <f t="shared" si="11"/>
        <v>211.88290000000001</v>
      </c>
      <c r="S130" s="322" t="s">
        <v>188</v>
      </c>
      <c r="T130" s="323">
        <v>45398</v>
      </c>
    </row>
    <row r="131" spans="1:20" s="93" customFormat="1" ht="20.5" customHeight="1">
      <c r="A131" s="111">
        <v>128</v>
      </c>
      <c r="B131" s="111" t="s">
        <v>297</v>
      </c>
      <c r="C131" s="111" t="s">
        <v>263</v>
      </c>
      <c r="D131" s="111" t="s">
        <v>175</v>
      </c>
      <c r="E131" s="111"/>
      <c r="F131" s="112">
        <v>45412</v>
      </c>
      <c r="G131" s="111" t="str">
        <f>TEXT(F131,"yyyymm")</f>
        <v>yyyy04</v>
      </c>
      <c r="H131" s="120" t="s">
        <v>310</v>
      </c>
      <c r="I131" s="111" t="s">
        <v>119</v>
      </c>
      <c r="J131" s="111">
        <v>4</v>
      </c>
      <c r="K131" s="111" t="s">
        <v>120</v>
      </c>
      <c r="L131" s="314">
        <f>L130*0.01</f>
        <v>2.3000000000000003</v>
      </c>
      <c r="M131" s="111" t="s">
        <v>187</v>
      </c>
      <c r="N131" s="320">
        <v>1</v>
      </c>
      <c r="O131" s="315">
        <f t="shared" si="10"/>
        <v>2.3000000000000003</v>
      </c>
      <c r="P131" s="114">
        <v>1</v>
      </c>
      <c r="Q131" s="321">
        <v>0.92122999999999999</v>
      </c>
      <c r="R131" s="322">
        <f t="shared" si="11"/>
        <v>2.1188290000000003</v>
      </c>
      <c r="S131" s="322" t="s">
        <v>188</v>
      </c>
      <c r="T131" s="323">
        <v>45398</v>
      </c>
    </row>
    <row r="132" spans="1:20" s="93" customFormat="1" ht="20.5" customHeight="1">
      <c r="A132" s="111">
        <v>129</v>
      </c>
      <c r="B132" s="111" t="s">
        <v>297</v>
      </c>
      <c r="C132" s="111" t="s">
        <v>263</v>
      </c>
      <c r="D132" s="111" t="s">
        <v>175</v>
      </c>
      <c r="E132" s="111"/>
      <c r="F132" s="112">
        <v>45412</v>
      </c>
      <c r="G132" s="111" t="str">
        <f>TEXT(F133,"yyyymm")</f>
        <v>yyyy04</v>
      </c>
      <c r="H132" s="120" t="s">
        <v>311</v>
      </c>
      <c r="I132" s="111" t="s">
        <v>299</v>
      </c>
      <c r="J132" s="111">
        <v>1</v>
      </c>
      <c r="K132" s="111" t="s">
        <v>312</v>
      </c>
      <c r="L132" s="314">
        <v>690</v>
      </c>
      <c r="M132" s="111" t="s">
        <v>187</v>
      </c>
      <c r="N132" s="320">
        <v>1</v>
      </c>
      <c r="O132" s="315">
        <f t="shared" ref="O132:O163" si="12">L132/N132</f>
        <v>690</v>
      </c>
      <c r="P132" s="114">
        <v>1</v>
      </c>
      <c r="Q132" s="321">
        <v>0.92122999999999999</v>
      </c>
      <c r="R132" s="322">
        <f t="shared" ref="R132:R163" si="13">O132*P132*Q132</f>
        <v>635.64869999999996</v>
      </c>
      <c r="S132" s="322" t="s">
        <v>188</v>
      </c>
      <c r="T132" s="323">
        <v>45398</v>
      </c>
    </row>
    <row r="133" spans="1:20" s="93" customFormat="1" ht="20.5" customHeight="1">
      <c r="A133" s="111">
        <v>130</v>
      </c>
      <c r="B133" s="111" t="s">
        <v>297</v>
      </c>
      <c r="C133" s="111" t="s">
        <v>263</v>
      </c>
      <c r="D133" s="111" t="s">
        <v>175</v>
      </c>
      <c r="E133" s="111"/>
      <c r="F133" s="112">
        <v>45412</v>
      </c>
      <c r="G133" s="111" t="str">
        <f>TEXT(F133,"yyyymm")</f>
        <v>yyyy04</v>
      </c>
      <c r="H133" s="120" t="s">
        <v>313</v>
      </c>
      <c r="I133" s="111" t="s">
        <v>119</v>
      </c>
      <c r="J133" s="111">
        <v>4</v>
      </c>
      <c r="K133" s="111" t="s">
        <v>120</v>
      </c>
      <c r="L133" s="314">
        <f>L132*0.01</f>
        <v>6.9</v>
      </c>
      <c r="M133" s="111" t="s">
        <v>187</v>
      </c>
      <c r="N133" s="320">
        <v>1</v>
      </c>
      <c r="O133" s="315">
        <f t="shared" si="12"/>
        <v>6.9</v>
      </c>
      <c r="P133" s="114">
        <v>1</v>
      </c>
      <c r="Q133" s="321">
        <v>0.92122999999999999</v>
      </c>
      <c r="R133" s="322">
        <f t="shared" si="13"/>
        <v>6.3564870000000004</v>
      </c>
      <c r="S133" s="322" t="s">
        <v>188</v>
      </c>
      <c r="T133" s="323">
        <v>45398</v>
      </c>
    </row>
    <row r="134" spans="1:20" s="93" customFormat="1" ht="20.5" customHeight="1">
      <c r="A134" s="111">
        <v>131</v>
      </c>
      <c r="B134" s="111" t="s">
        <v>314</v>
      </c>
      <c r="C134" s="111" t="s">
        <v>263</v>
      </c>
      <c r="D134" s="111" t="s">
        <v>175</v>
      </c>
      <c r="E134" s="111"/>
      <c r="F134" s="112">
        <v>45412</v>
      </c>
      <c r="G134" s="111" t="str">
        <f>TEXT(F135,"yyyymm")</f>
        <v>yyyy04</v>
      </c>
      <c r="H134" s="120" t="s">
        <v>315</v>
      </c>
      <c r="I134" s="111" t="s">
        <v>316</v>
      </c>
      <c r="J134" s="111">
        <v>1</v>
      </c>
      <c r="K134" s="111">
        <v>4.0999999999999996</v>
      </c>
      <c r="L134" s="314">
        <v>60</v>
      </c>
      <c r="M134" s="111" t="s">
        <v>187</v>
      </c>
      <c r="N134" s="320">
        <v>1</v>
      </c>
      <c r="O134" s="315">
        <f t="shared" si="12"/>
        <v>60</v>
      </c>
      <c r="P134" s="114">
        <v>1</v>
      </c>
      <c r="Q134" s="321">
        <v>0.92122999999999999</v>
      </c>
      <c r="R134" s="322">
        <f t="shared" si="13"/>
        <v>55.273800000000001</v>
      </c>
      <c r="S134" s="322" t="s">
        <v>188</v>
      </c>
      <c r="T134" s="323">
        <v>45400</v>
      </c>
    </row>
    <row r="135" spans="1:20" s="93" customFormat="1" ht="20.5" customHeight="1">
      <c r="A135" s="111">
        <v>132</v>
      </c>
      <c r="B135" s="111" t="s">
        <v>314</v>
      </c>
      <c r="C135" s="111" t="s">
        <v>263</v>
      </c>
      <c r="D135" s="111" t="s">
        <v>175</v>
      </c>
      <c r="E135" s="111"/>
      <c r="F135" s="112">
        <v>45412</v>
      </c>
      <c r="G135" s="111" t="str">
        <f>TEXT(F135,"yyyymm")</f>
        <v>yyyy04</v>
      </c>
      <c r="H135" s="120" t="s">
        <v>317</v>
      </c>
      <c r="I135" s="111" t="s">
        <v>119</v>
      </c>
      <c r="J135" s="111">
        <v>4</v>
      </c>
      <c r="K135" s="111" t="s">
        <v>120</v>
      </c>
      <c r="L135" s="314">
        <f>L134*0.01</f>
        <v>0.6</v>
      </c>
      <c r="M135" s="111" t="s">
        <v>187</v>
      </c>
      <c r="N135" s="320">
        <v>1</v>
      </c>
      <c r="O135" s="315">
        <f t="shared" si="12"/>
        <v>0.6</v>
      </c>
      <c r="P135" s="114">
        <v>1</v>
      </c>
      <c r="Q135" s="321">
        <v>0.92122999999999999</v>
      </c>
      <c r="R135" s="322">
        <f t="shared" si="13"/>
        <v>0.55273799999999995</v>
      </c>
      <c r="S135" s="322" t="s">
        <v>188</v>
      </c>
      <c r="T135" s="323">
        <v>45400</v>
      </c>
    </row>
    <row r="136" spans="1:20" s="93" customFormat="1" ht="20.5" customHeight="1">
      <c r="A136" s="111">
        <v>133</v>
      </c>
      <c r="B136" s="111" t="s">
        <v>318</v>
      </c>
      <c r="C136" s="111" t="s">
        <v>263</v>
      </c>
      <c r="D136" s="111" t="s">
        <v>175</v>
      </c>
      <c r="E136" s="111"/>
      <c r="F136" s="112">
        <v>45412</v>
      </c>
      <c r="G136" s="111" t="str">
        <f>TEXT(F137,"yyyymm")</f>
        <v>yyyy04</v>
      </c>
      <c r="H136" s="120" t="s">
        <v>319</v>
      </c>
      <c r="I136" s="111" t="s">
        <v>320</v>
      </c>
      <c r="J136" s="111">
        <v>1</v>
      </c>
      <c r="K136" s="111">
        <v>4.2</v>
      </c>
      <c r="L136" s="314">
        <v>3450</v>
      </c>
      <c r="M136" s="111" t="s">
        <v>187</v>
      </c>
      <c r="N136" s="320">
        <v>1</v>
      </c>
      <c r="O136" s="315">
        <f t="shared" si="12"/>
        <v>3450</v>
      </c>
      <c r="P136" s="114">
        <v>1</v>
      </c>
      <c r="Q136" s="321">
        <v>0.92122999999999999</v>
      </c>
      <c r="R136" s="322">
        <f t="shared" si="13"/>
        <v>3178.2435</v>
      </c>
      <c r="S136" s="322" t="s">
        <v>188</v>
      </c>
      <c r="T136" s="323">
        <v>45344</v>
      </c>
    </row>
    <row r="137" spans="1:20" s="93" customFormat="1" ht="20.5" customHeight="1">
      <c r="A137" s="111">
        <v>134</v>
      </c>
      <c r="B137" s="111" t="s">
        <v>318</v>
      </c>
      <c r="C137" s="111" t="s">
        <v>263</v>
      </c>
      <c r="D137" s="111" t="s">
        <v>175</v>
      </c>
      <c r="E137" s="111"/>
      <c r="F137" s="112">
        <v>45412</v>
      </c>
      <c r="G137" s="111" t="str">
        <f>TEXT(F137,"yyyymm")</f>
        <v>yyyy04</v>
      </c>
      <c r="H137" s="120" t="s">
        <v>321</v>
      </c>
      <c r="I137" s="111" t="s">
        <v>119</v>
      </c>
      <c r="J137" s="111">
        <v>4</v>
      </c>
      <c r="K137" s="111" t="s">
        <v>120</v>
      </c>
      <c r="L137" s="314">
        <f>L136*0.01</f>
        <v>34.5</v>
      </c>
      <c r="M137" s="111" t="s">
        <v>187</v>
      </c>
      <c r="N137" s="320">
        <v>1</v>
      </c>
      <c r="O137" s="315">
        <f t="shared" si="12"/>
        <v>34.5</v>
      </c>
      <c r="P137" s="114">
        <v>1</v>
      </c>
      <c r="Q137" s="321">
        <v>0.92122999999999999</v>
      </c>
      <c r="R137" s="322">
        <f t="shared" si="13"/>
        <v>31.782435</v>
      </c>
      <c r="S137" s="322" t="s">
        <v>188</v>
      </c>
      <c r="T137" s="323">
        <v>45344</v>
      </c>
    </row>
    <row r="138" spans="1:20" s="93" customFormat="1" ht="20.5" customHeight="1">
      <c r="A138" s="111">
        <v>135</v>
      </c>
      <c r="B138" s="111" t="s">
        <v>322</v>
      </c>
      <c r="C138" s="111" t="s">
        <v>263</v>
      </c>
      <c r="D138" s="111" t="s">
        <v>175</v>
      </c>
      <c r="E138" s="111"/>
      <c r="F138" s="112">
        <v>45412</v>
      </c>
      <c r="G138" s="111" t="str">
        <f>TEXT(F139,"yyyymm")</f>
        <v>yyyy04</v>
      </c>
      <c r="H138" s="120" t="s">
        <v>323</v>
      </c>
      <c r="I138" s="111" t="s">
        <v>240</v>
      </c>
      <c r="J138" s="111">
        <v>1</v>
      </c>
      <c r="K138" s="111">
        <v>4.0999999999999996</v>
      </c>
      <c r="L138" s="314">
        <v>888.64</v>
      </c>
      <c r="M138" s="111" t="s">
        <v>187</v>
      </c>
      <c r="N138" s="320">
        <v>1</v>
      </c>
      <c r="O138" s="315">
        <f t="shared" si="12"/>
        <v>888.64</v>
      </c>
      <c r="P138" s="114">
        <v>1</v>
      </c>
      <c r="Q138" s="321">
        <v>0.92122999999999999</v>
      </c>
      <c r="R138" s="322">
        <f t="shared" si="13"/>
        <v>818.64182719999997</v>
      </c>
      <c r="S138" s="322" t="s">
        <v>188</v>
      </c>
      <c r="T138" s="323">
        <v>45407</v>
      </c>
    </row>
    <row r="139" spans="1:20" s="93" customFormat="1" ht="20.5" customHeight="1">
      <c r="A139" s="111">
        <v>136</v>
      </c>
      <c r="B139" s="111" t="s">
        <v>322</v>
      </c>
      <c r="C139" s="111" t="s">
        <v>263</v>
      </c>
      <c r="D139" s="111" t="s">
        <v>175</v>
      </c>
      <c r="E139" s="111"/>
      <c r="F139" s="112">
        <v>45412</v>
      </c>
      <c r="G139" s="111" t="str">
        <f>TEXT(F139,"yyyymm")</f>
        <v>yyyy04</v>
      </c>
      <c r="H139" s="120" t="s">
        <v>324</v>
      </c>
      <c r="I139" s="111" t="s">
        <v>119</v>
      </c>
      <c r="J139" s="111">
        <v>4</v>
      </c>
      <c r="K139" s="111" t="s">
        <v>120</v>
      </c>
      <c r="L139" s="314">
        <f>L138*0.01</f>
        <v>8.8864000000000001</v>
      </c>
      <c r="M139" s="111" t="s">
        <v>187</v>
      </c>
      <c r="N139" s="320">
        <v>1</v>
      </c>
      <c r="O139" s="315">
        <f t="shared" si="12"/>
        <v>8.8864000000000001</v>
      </c>
      <c r="P139" s="114">
        <v>1</v>
      </c>
      <c r="Q139" s="321">
        <v>0.92122999999999999</v>
      </c>
      <c r="R139" s="322">
        <f t="shared" si="13"/>
        <v>8.1864182719999992</v>
      </c>
      <c r="S139" s="322" t="s">
        <v>188</v>
      </c>
      <c r="T139" s="323">
        <v>45407</v>
      </c>
    </row>
    <row r="140" spans="1:20" s="93" customFormat="1" ht="20.5" customHeight="1">
      <c r="A140" s="111">
        <v>137</v>
      </c>
      <c r="B140" s="111" t="s">
        <v>325</v>
      </c>
      <c r="C140" s="111" t="s">
        <v>263</v>
      </c>
      <c r="D140" s="111" t="s">
        <v>175</v>
      </c>
      <c r="E140" s="111"/>
      <c r="F140" s="112">
        <v>45412</v>
      </c>
      <c r="G140" s="111" t="str">
        <f>TEXT(F141,"yyyymm")</f>
        <v>yyyy04</v>
      </c>
      <c r="H140" s="120" t="s">
        <v>326</v>
      </c>
      <c r="I140" s="111" t="s">
        <v>327</v>
      </c>
      <c r="J140" s="111">
        <v>1</v>
      </c>
      <c r="K140" s="111">
        <v>4.3</v>
      </c>
      <c r="L140" s="314">
        <v>178</v>
      </c>
      <c r="M140" s="111" t="s">
        <v>187</v>
      </c>
      <c r="N140" s="320">
        <v>1</v>
      </c>
      <c r="O140" s="315">
        <f t="shared" si="12"/>
        <v>178</v>
      </c>
      <c r="P140" s="114">
        <v>1</v>
      </c>
      <c r="Q140" s="321">
        <v>0.92122999999999999</v>
      </c>
      <c r="R140" s="322">
        <f t="shared" si="13"/>
        <v>163.97893999999999</v>
      </c>
      <c r="S140" s="322" t="s">
        <v>188</v>
      </c>
      <c r="T140" s="323">
        <v>45407</v>
      </c>
    </row>
    <row r="141" spans="1:20" s="93" customFormat="1" ht="20.5" customHeight="1">
      <c r="A141" s="111">
        <v>138</v>
      </c>
      <c r="B141" s="111" t="s">
        <v>325</v>
      </c>
      <c r="C141" s="111" t="s">
        <v>263</v>
      </c>
      <c r="D141" s="111" t="s">
        <v>175</v>
      </c>
      <c r="E141" s="111"/>
      <c r="F141" s="112">
        <v>45412</v>
      </c>
      <c r="G141" s="111" t="str">
        <f t="shared" ref="G141:G164" si="14">TEXT(F141,"yyyymm")</f>
        <v>yyyy04</v>
      </c>
      <c r="H141" s="120" t="s">
        <v>328</v>
      </c>
      <c r="I141" s="111" t="s">
        <v>119</v>
      </c>
      <c r="J141" s="111">
        <v>4</v>
      </c>
      <c r="K141" s="111" t="s">
        <v>120</v>
      </c>
      <c r="L141" s="314">
        <f>L140*0.01</f>
        <v>1.78</v>
      </c>
      <c r="M141" s="111" t="s">
        <v>187</v>
      </c>
      <c r="N141" s="320">
        <v>1</v>
      </c>
      <c r="O141" s="315">
        <f t="shared" si="12"/>
        <v>1.78</v>
      </c>
      <c r="P141" s="114">
        <v>1</v>
      </c>
      <c r="Q141" s="321">
        <v>0.92122999999999999</v>
      </c>
      <c r="R141" s="322">
        <f t="shared" si="13"/>
        <v>1.6397894</v>
      </c>
      <c r="S141" s="322" t="s">
        <v>188</v>
      </c>
      <c r="T141" s="323">
        <v>45407</v>
      </c>
    </row>
    <row r="142" spans="1:20" s="93" customFormat="1" ht="20.5" customHeight="1">
      <c r="A142" s="111">
        <v>139</v>
      </c>
      <c r="B142" s="111" t="s">
        <v>329</v>
      </c>
      <c r="C142" s="111" t="s">
        <v>263</v>
      </c>
      <c r="D142" s="111" t="s">
        <v>175</v>
      </c>
      <c r="E142" s="111"/>
      <c r="F142" s="112">
        <v>45412</v>
      </c>
      <c r="G142" s="111" t="str">
        <f t="shared" si="14"/>
        <v>yyyy04</v>
      </c>
      <c r="H142" s="120" t="s">
        <v>330</v>
      </c>
      <c r="I142" s="111" t="s">
        <v>331</v>
      </c>
      <c r="J142" s="111">
        <v>3</v>
      </c>
      <c r="K142" s="111" t="s">
        <v>53</v>
      </c>
      <c r="L142" s="314">
        <f>24000*32.5111</f>
        <v>780266.4</v>
      </c>
      <c r="M142" s="111" t="s">
        <v>116</v>
      </c>
      <c r="N142" s="320">
        <v>32.511099999999999</v>
      </c>
      <c r="O142" s="315">
        <f t="shared" si="12"/>
        <v>24000</v>
      </c>
      <c r="P142" s="114">
        <v>1</v>
      </c>
      <c r="Q142" s="321">
        <v>0.92122999999999999</v>
      </c>
      <c r="R142" s="322">
        <f t="shared" si="13"/>
        <v>22109.52</v>
      </c>
      <c r="S142" s="322" t="s">
        <v>188</v>
      </c>
      <c r="T142" s="323">
        <v>45409</v>
      </c>
    </row>
    <row r="143" spans="1:20" s="93" customFormat="1" ht="20.5" customHeight="1">
      <c r="A143" s="111">
        <v>140</v>
      </c>
      <c r="B143" s="111" t="s">
        <v>329</v>
      </c>
      <c r="C143" s="111" t="s">
        <v>263</v>
      </c>
      <c r="D143" s="111" t="s">
        <v>175</v>
      </c>
      <c r="E143" s="111"/>
      <c r="F143" s="112">
        <v>45412</v>
      </c>
      <c r="G143" s="111" t="str">
        <f t="shared" si="14"/>
        <v>yyyy04</v>
      </c>
      <c r="H143" s="120" t="s">
        <v>332</v>
      </c>
      <c r="I143" s="111" t="s">
        <v>331</v>
      </c>
      <c r="J143" s="111">
        <v>3</v>
      </c>
      <c r="K143" s="111" t="s">
        <v>55</v>
      </c>
      <c r="L143" s="314">
        <f>2080*32.5111</f>
        <v>67623.088000000003</v>
      </c>
      <c r="M143" s="111" t="s">
        <v>116</v>
      </c>
      <c r="N143" s="320">
        <v>32.511099999999999</v>
      </c>
      <c r="O143" s="315">
        <f t="shared" si="12"/>
        <v>2080</v>
      </c>
      <c r="P143" s="114">
        <v>1</v>
      </c>
      <c r="Q143" s="321">
        <v>0.92122999999999999</v>
      </c>
      <c r="R143" s="322">
        <f t="shared" si="13"/>
        <v>1916.1584</v>
      </c>
      <c r="S143" s="322" t="s">
        <v>188</v>
      </c>
      <c r="T143" s="323">
        <v>45409</v>
      </c>
    </row>
    <row r="144" spans="1:20" s="93" customFormat="1" ht="20.5" customHeight="1">
      <c r="A144" s="111">
        <v>141</v>
      </c>
      <c r="B144" s="111" t="s">
        <v>329</v>
      </c>
      <c r="C144" s="111" t="s">
        <v>263</v>
      </c>
      <c r="D144" s="111" t="s">
        <v>175</v>
      </c>
      <c r="E144" s="111"/>
      <c r="F144" s="112">
        <v>45412</v>
      </c>
      <c r="G144" s="111" t="str">
        <f t="shared" si="14"/>
        <v>yyyy04</v>
      </c>
      <c r="H144" s="120" t="s">
        <v>333</v>
      </c>
      <c r="I144" s="111" t="s">
        <v>331</v>
      </c>
      <c r="J144" s="111">
        <v>3</v>
      </c>
      <c r="K144" s="111" t="s">
        <v>334</v>
      </c>
      <c r="L144" s="314">
        <f>15285*32.5111</f>
        <v>496932.16349999997</v>
      </c>
      <c r="M144" s="111" t="s">
        <v>116</v>
      </c>
      <c r="N144" s="320">
        <v>32.511099999999999</v>
      </c>
      <c r="O144" s="315">
        <f t="shared" si="12"/>
        <v>15285</v>
      </c>
      <c r="P144" s="114">
        <v>1</v>
      </c>
      <c r="Q144" s="321">
        <v>0.92122999999999999</v>
      </c>
      <c r="R144" s="322">
        <f t="shared" si="13"/>
        <v>14081.000550000001</v>
      </c>
      <c r="S144" s="322" t="s">
        <v>188</v>
      </c>
      <c r="T144" s="323">
        <v>45409</v>
      </c>
    </row>
    <row r="145" spans="1:20" s="93" customFormat="1" ht="20.5" customHeight="1">
      <c r="A145" s="111">
        <v>142</v>
      </c>
      <c r="B145" s="111" t="s">
        <v>329</v>
      </c>
      <c r="C145" s="111" t="s">
        <v>263</v>
      </c>
      <c r="D145" s="111" t="s">
        <v>175</v>
      </c>
      <c r="E145" s="111"/>
      <c r="F145" s="112">
        <v>45412</v>
      </c>
      <c r="G145" s="111" t="str">
        <f t="shared" si="14"/>
        <v>yyyy04</v>
      </c>
      <c r="H145" s="120" t="s">
        <v>335</v>
      </c>
      <c r="I145" s="111" t="s">
        <v>331</v>
      </c>
      <c r="J145" s="111">
        <v>3</v>
      </c>
      <c r="K145" s="111" t="s">
        <v>336</v>
      </c>
      <c r="L145" s="314">
        <v>88267.64</v>
      </c>
      <c r="M145" s="111" t="s">
        <v>116</v>
      </c>
      <c r="N145" s="320">
        <v>32.511099999999999</v>
      </c>
      <c r="O145" s="315">
        <f t="shared" si="12"/>
        <v>2715.0001076555391</v>
      </c>
      <c r="P145" s="114">
        <v>1</v>
      </c>
      <c r="Q145" s="321">
        <v>0.92122999999999999</v>
      </c>
      <c r="R145" s="322">
        <f t="shared" si="13"/>
        <v>2501.1395491755125</v>
      </c>
      <c r="S145" s="322" t="s">
        <v>188</v>
      </c>
      <c r="T145" s="323">
        <v>45409</v>
      </c>
    </row>
    <row r="146" spans="1:20" s="126" customFormat="1" ht="16.25" customHeight="1">
      <c r="A146" s="111">
        <v>143</v>
      </c>
      <c r="B146" s="122" t="s">
        <v>179</v>
      </c>
      <c r="C146" s="122" t="s">
        <v>263</v>
      </c>
      <c r="D146" s="122" t="s">
        <v>180</v>
      </c>
      <c r="E146" s="122"/>
      <c r="F146" s="123">
        <v>45412</v>
      </c>
      <c r="G146" s="122" t="str">
        <f t="shared" si="14"/>
        <v>yyyy04</v>
      </c>
      <c r="H146" s="124" t="s">
        <v>337</v>
      </c>
      <c r="I146" s="122" t="s">
        <v>182</v>
      </c>
      <c r="J146" s="122">
        <v>1</v>
      </c>
      <c r="K146" s="122" t="s">
        <v>183</v>
      </c>
      <c r="L146" s="327">
        <v>64618.2</v>
      </c>
      <c r="M146" s="122" t="s">
        <v>116</v>
      </c>
      <c r="N146" s="328">
        <v>32.309100000000001</v>
      </c>
      <c r="O146" s="329">
        <f t="shared" si="12"/>
        <v>1999.9999999999998</v>
      </c>
      <c r="P146" s="125">
        <v>0.25</v>
      </c>
      <c r="Q146" s="330">
        <v>0.92122999999999999</v>
      </c>
      <c r="R146" s="331">
        <f t="shared" si="13"/>
        <v>460.61499999999995</v>
      </c>
      <c r="S146" s="322" t="s">
        <v>117</v>
      </c>
      <c r="T146" s="323"/>
    </row>
    <row r="147" spans="1:20" ht="16.25" customHeight="1">
      <c r="A147" s="111">
        <v>144</v>
      </c>
      <c r="B147" s="111" t="s">
        <v>179</v>
      </c>
      <c r="C147" s="111" t="s">
        <v>263</v>
      </c>
      <c r="D147" s="111" t="s">
        <v>180</v>
      </c>
      <c r="E147" s="111"/>
      <c r="F147" s="112">
        <v>45412</v>
      </c>
      <c r="G147" s="111" t="str">
        <f t="shared" si="14"/>
        <v>yyyy04</v>
      </c>
      <c r="H147" s="120" t="s">
        <v>338</v>
      </c>
      <c r="I147" s="111" t="s">
        <v>182</v>
      </c>
      <c r="J147" s="111">
        <v>1</v>
      </c>
      <c r="K147" s="111" t="s">
        <v>183</v>
      </c>
      <c r="L147" s="325">
        <v>34695.769999999997</v>
      </c>
      <c r="M147" s="111" t="s">
        <v>116</v>
      </c>
      <c r="N147" s="320">
        <v>32.309100000000001</v>
      </c>
      <c r="O147" s="315">
        <f t="shared" si="12"/>
        <v>1073.8699004305288</v>
      </c>
      <c r="P147" s="114">
        <v>0.25</v>
      </c>
      <c r="Q147" s="321">
        <v>0.92122999999999999</v>
      </c>
      <c r="R147" s="322">
        <f t="shared" si="13"/>
        <v>247.32029209340402</v>
      </c>
      <c r="S147" s="322" t="s">
        <v>117</v>
      </c>
      <c r="T147" s="323"/>
    </row>
    <row r="148" spans="1:20" ht="16.25" customHeight="1">
      <c r="A148" s="111">
        <v>145</v>
      </c>
      <c r="B148" s="111" t="s">
        <v>179</v>
      </c>
      <c r="C148" s="111" t="s">
        <v>263</v>
      </c>
      <c r="D148" s="111" t="s">
        <v>180</v>
      </c>
      <c r="E148" s="111"/>
      <c r="F148" s="112">
        <v>45412</v>
      </c>
      <c r="G148" s="111" t="str">
        <f t="shared" si="14"/>
        <v>yyyy04</v>
      </c>
      <c r="H148" s="120" t="s">
        <v>339</v>
      </c>
      <c r="I148" s="111" t="s">
        <v>182</v>
      </c>
      <c r="J148" s="111">
        <v>1</v>
      </c>
      <c r="K148" s="111" t="s">
        <v>183</v>
      </c>
      <c r="L148" s="324">
        <v>16292.49</v>
      </c>
      <c r="M148" s="111" t="s">
        <v>116</v>
      </c>
      <c r="N148" s="320">
        <v>32.309100000000001</v>
      </c>
      <c r="O148" s="315">
        <f t="shared" si="12"/>
        <v>504.26938540535019</v>
      </c>
      <c r="P148" s="114">
        <v>0.25</v>
      </c>
      <c r="Q148" s="321">
        <v>0.92122999999999999</v>
      </c>
      <c r="R148" s="322">
        <f t="shared" si="13"/>
        <v>116.13702147924269</v>
      </c>
      <c r="S148" s="322" t="s">
        <v>117</v>
      </c>
      <c r="T148" s="323"/>
    </row>
    <row r="149" spans="1:20" ht="16.25" customHeight="1">
      <c r="A149" s="111">
        <v>146</v>
      </c>
      <c r="B149" s="111" t="s">
        <v>179</v>
      </c>
      <c r="C149" s="111" t="s">
        <v>263</v>
      </c>
      <c r="D149" s="111" t="s">
        <v>180</v>
      </c>
      <c r="E149" s="111"/>
      <c r="F149" s="112">
        <v>45412</v>
      </c>
      <c r="G149" s="111" t="str">
        <f t="shared" si="14"/>
        <v>yyyy04</v>
      </c>
      <c r="H149" s="120" t="s">
        <v>340</v>
      </c>
      <c r="I149" s="111" t="s">
        <v>182</v>
      </c>
      <c r="J149" s="111">
        <v>1</v>
      </c>
      <c r="K149" s="111" t="s">
        <v>183</v>
      </c>
      <c r="L149" s="314">
        <v>83.33</v>
      </c>
      <c r="M149" s="111" t="s">
        <v>187</v>
      </c>
      <c r="N149" s="320">
        <v>1</v>
      </c>
      <c r="O149" s="315">
        <f t="shared" si="12"/>
        <v>83.33</v>
      </c>
      <c r="P149" s="114">
        <v>0.25</v>
      </c>
      <c r="Q149" s="321">
        <v>0.92122999999999999</v>
      </c>
      <c r="R149" s="322">
        <f t="shared" si="13"/>
        <v>19.191523974999999</v>
      </c>
      <c r="S149" s="322" t="s">
        <v>188</v>
      </c>
      <c r="T149" s="323"/>
    </row>
    <row r="150" spans="1:20" ht="16.25" customHeight="1">
      <c r="A150" s="111">
        <v>147</v>
      </c>
      <c r="B150" s="111" t="s">
        <v>189</v>
      </c>
      <c r="C150" s="111" t="s">
        <v>263</v>
      </c>
      <c r="D150" s="111" t="s">
        <v>180</v>
      </c>
      <c r="E150" s="111"/>
      <c r="F150" s="112">
        <v>45412</v>
      </c>
      <c r="G150" s="111" t="str">
        <f t="shared" si="14"/>
        <v>yyyy04</v>
      </c>
      <c r="H150" s="120" t="s">
        <v>341</v>
      </c>
      <c r="I150" s="111" t="s">
        <v>191</v>
      </c>
      <c r="J150" s="111">
        <v>1</v>
      </c>
      <c r="K150" s="111" t="s">
        <v>192</v>
      </c>
      <c r="L150" s="326">
        <v>113081.85</v>
      </c>
      <c r="M150" s="111" t="s">
        <v>116</v>
      </c>
      <c r="N150" s="320">
        <v>32.309100000000001</v>
      </c>
      <c r="O150" s="315">
        <f t="shared" si="12"/>
        <v>3500</v>
      </c>
      <c r="P150" s="114">
        <v>0.25</v>
      </c>
      <c r="Q150" s="321">
        <v>0.92122999999999999</v>
      </c>
      <c r="R150" s="322">
        <f t="shared" si="13"/>
        <v>806.07624999999996</v>
      </c>
      <c r="S150" s="322" t="s">
        <v>117</v>
      </c>
      <c r="T150" s="323"/>
    </row>
    <row r="151" spans="1:20" ht="16.25" customHeight="1">
      <c r="A151" s="111">
        <v>148</v>
      </c>
      <c r="B151" s="111" t="s">
        <v>189</v>
      </c>
      <c r="C151" s="111" t="s">
        <v>263</v>
      </c>
      <c r="D151" s="111" t="s">
        <v>180</v>
      </c>
      <c r="E151" s="111"/>
      <c r="F151" s="112">
        <v>45412</v>
      </c>
      <c r="G151" s="111" t="str">
        <f t="shared" si="14"/>
        <v>yyyy04</v>
      </c>
      <c r="H151" s="120" t="s">
        <v>342</v>
      </c>
      <c r="I151" s="111" t="s">
        <v>191</v>
      </c>
      <c r="J151" s="111">
        <v>1</v>
      </c>
      <c r="K151" s="111" t="s">
        <v>192</v>
      </c>
      <c r="L151" s="326">
        <v>39948.300000000003</v>
      </c>
      <c r="M151" s="111" t="s">
        <v>116</v>
      </c>
      <c r="N151" s="320">
        <v>32.309100000000001</v>
      </c>
      <c r="O151" s="315">
        <f t="shared" si="12"/>
        <v>1236.4411264937742</v>
      </c>
      <c r="P151" s="114">
        <v>0.25</v>
      </c>
      <c r="Q151" s="321">
        <v>0.92122999999999999</v>
      </c>
      <c r="R151" s="322">
        <f t="shared" si="13"/>
        <v>284.76166473996489</v>
      </c>
      <c r="S151" s="322" t="s">
        <v>117</v>
      </c>
      <c r="T151" s="323"/>
    </row>
    <row r="152" spans="1:20" ht="16.25" customHeight="1">
      <c r="A152" s="111">
        <v>149</v>
      </c>
      <c r="B152" s="111" t="s">
        <v>189</v>
      </c>
      <c r="C152" s="111" t="s">
        <v>263</v>
      </c>
      <c r="D152" s="111" t="s">
        <v>180</v>
      </c>
      <c r="E152" s="111"/>
      <c r="F152" s="112">
        <v>45412</v>
      </c>
      <c r="G152" s="111" t="str">
        <f t="shared" si="14"/>
        <v>yyyy04</v>
      </c>
      <c r="H152" s="120" t="s">
        <v>343</v>
      </c>
      <c r="I152" s="111" t="s">
        <v>191</v>
      </c>
      <c r="J152" s="111">
        <v>1</v>
      </c>
      <c r="K152" s="111" t="s">
        <v>192</v>
      </c>
      <c r="L152" s="326">
        <v>53830.95</v>
      </c>
      <c r="M152" s="111" t="s">
        <v>116</v>
      </c>
      <c r="N152" s="320">
        <v>32.309100000000001</v>
      </c>
      <c r="O152" s="315">
        <f t="shared" si="12"/>
        <v>1666.1234760485436</v>
      </c>
      <c r="P152" s="114">
        <v>0.25</v>
      </c>
      <c r="Q152" s="321">
        <v>0.92122999999999999</v>
      </c>
      <c r="R152" s="322">
        <f t="shared" si="13"/>
        <v>383.72073246004993</v>
      </c>
      <c r="S152" s="322" t="s">
        <v>117</v>
      </c>
      <c r="T152" s="323"/>
    </row>
    <row r="153" spans="1:20" ht="16.25" customHeight="1">
      <c r="A153" s="111">
        <v>150</v>
      </c>
      <c r="B153" s="111" t="s">
        <v>189</v>
      </c>
      <c r="C153" s="111" t="s">
        <v>263</v>
      </c>
      <c r="D153" s="111" t="s">
        <v>180</v>
      </c>
      <c r="E153" s="111"/>
      <c r="F153" s="112">
        <v>45412</v>
      </c>
      <c r="G153" s="111" t="str">
        <f t="shared" si="14"/>
        <v>yyyy04</v>
      </c>
      <c r="H153" s="120" t="s">
        <v>344</v>
      </c>
      <c r="I153" s="111" t="s">
        <v>191</v>
      </c>
      <c r="J153" s="111">
        <v>1</v>
      </c>
      <c r="K153" s="111" t="s">
        <v>192</v>
      </c>
      <c r="L153" s="326">
        <v>83.33</v>
      </c>
      <c r="M153" s="111" t="s">
        <v>187</v>
      </c>
      <c r="N153" s="320">
        <v>1</v>
      </c>
      <c r="O153" s="315">
        <f t="shared" si="12"/>
        <v>83.33</v>
      </c>
      <c r="P153" s="114">
        <v>0.25</v>
      </c>
      <c r="Q153" s="321">
        <v>0.92122999999999999</v>
      </c>
      <c r="R153" s="322">
        <f t="shared" si="13"/>
        <v>19.191523974999999</v>
      </c>
      <c r="S153" s="322" t="s">
        <v>188</v>
      </c>
      <c r="T153" s="323"/>
    </row>
    <row r="154" spans="1:20" ht="16.25" customHeight="1">
      <c r="A154" s="111">
        <v>151</v>
      </c>
      <c r="B154" s="111" t="s">
        <v>196</v>
      </c>
      <c r="C154" s="111" t="s">
        <v>263</v>
      </c>
      <c r="D154" s="111" t="s">
        <v>180</v>
      </c>
      <c r="E154" s="111"/>
      <c r="F154" s="112">
        <v>45412</v>
      </c>
      <c r="G154" s="111" t="str">
        <f t="shared" si="14"/>
        <v>yyyy04</v>
      </c>
      <c r="H154" s="120" t="s">
        <v>345</v>
      </c>
      <c r="I154" s="111" t="s">
        <v>198</v>
      </c>
      <c r="J154" s="111">
        <v>1</v>
      </c>
      <c r="K154" s="121" t="s">
        <v>199</v>
      </c>
      <c r="L154" s="326">
        <v>96927.299999999988</v>
      </c>
      <c r="M154" s="111" t="s">
        <v>116</v>
      </c>
      <c r="N154" s="320">
        <v>32.309100000000001</v>
      </c>
      <c r="O154" s="315">
        <f t="shared" si="12"/>
        <v>2999.9999999999995</v>
      </c>
      <c r="P154" s="114">
        <v>0.25</v>
      </c>
      <c r="Q154" s="321">
        <v>0.92122999999999999</v>
      </c>
      <c r="R154" s="322">
        <f t="shared" si="13"/>
        <v>690.9224999999999</v>
      </c>
      <c r="S154" s="322" t="s">
        <v>117</v>
      </c>
      <c r="T154" s="323"/>
    </row>
    <row r="155" spans="1:20" ht="16.25" customHeight="1">
      <c r="A155" s="111">
        <v>152</v>
      </c>
      <c r="B155" s="111" t="s">
        <v>196</v>
      </c>
      <c r="C155" s="111" t="s">
        <v>263</v>
      </c>
      <c r="D155" s="111" t="s">
        <v>180</v>
      </c>
      <c r="E155" s="111"/>
      <c r="F155" s="112">
        <v>45412</v>
      </c>
      <c r="G155" s="111" t="str">
        <f t="shared" si="14"/>
        <v>yyyy04</v>
      </c>
      <c r="H155" s="120" t="s">
        <v>346</v>
      </c>
      <c r="I155" s="111" t="s">
        <v>198</v>
      </c>
      <c r="J155" s="111">
        <v>1</v>
      </c>
      <c r="K155" s="121" t="s">
        <v>199</v>
      </c>
      <c r="L155" s="326">
        <v>33740.82</v>
      </c>
      <c r="M155" s="111" t="s">
        <v>116</v>
      </c>
      <c r="N155" s="320">
        <v>32.309100000000001</v>
      </c>
      <c r="O155" s="315">
        <f t="shared" si="12"/>
        <v>1044.3132120671885</v>
      </c>
      <c r="P155" s="114">
        <v>0.25</v>
      </c>
      <c r="Q155" s="321">
        <v>0.92122999999999999</v>
      </c>
      <c r="R155" s="322">
        <f t="shared" si="13"/>
        <v>240.51316508816402</v>
      </c>
      <c r="S155" s="322" t="s">
        <v>117</v>
      </c>
      <c r="T155" s="323"/>
    </row>
    <row r="156" spans="1:20" ht="16.25" customHeight="1">
      <c r="A156" s="111">
        <v>153</v>
      </c>
      <c r="B156" s="111" t="s">
        <v>196</v>
      </c>
      <c r="C156" s="111" t="s">
        <v>263</v>
      </c>
      <c r="D156" s="111" t="s">
        <v>180</v>
      </c>
      <c r="E156" s="111"/>
      <c r="F156" s="112">
        <v>45412</v>
      </c>
      <c r="G156" s="111" t="str">
        <f t="shared" si="14"/>
        <v>yyyy04</v>
      </c>
      <c r="H156" s="120" t="s">
        <v>347</v>
      </c>
      <c r="I156" s="111" t="s">
        <v>198</v>
      </c>
      <c r="J156" s="111">
        <v>1</v>
      </c>
      <c r="K156" s="121" t="s">
        <v>199</v>
      </c>
      <c r="L156" s="326">
        <v>49771.219999999987</v>
      </c>
      <c r="M156" s="111" t="s">
        <v>116</v>
      </c>
      <c r="N156" s="320">
        <v>32.309100000000001</v>
      </c>
      <c r="O156" s="315">
        <f t="shared" si="12"/>
        <v>1540.4706413982433</v>
      </c>
      <c r="P156" s="114">
        <v>0.25</v>
      </c>
      <c r="Q156" s="321">
        <v>0.92122999999999999</v>
      </c>
      <c r="R156" s="322">
        <f t="shared" si="13"/>
        <v>354.78194224382594</v>
      </c>
      <c r="S156" s="322" t="s">
        <v>117</v>
      </c>
      <c r="T156" s="323"/>
    </row>
    <row r="157" spans="1:20" ht="16.25" customHeight="1">
      <c r="A157" s="111">
        <v>154</v>
      </c>
      <c r="B157" s="111" t="s">
        <v>196</v>
      </c>
      <c r="C157" s="111" t="s">
        <v>263</v>
      </c>
      <c r="D157" s="111" t="s">
        <v>180</v>
      </c>
      <c r="E157" s="111"/>
      <c r="F157" s="112">
        <v>45412</v>
      </c>
      <c r="G157" s="111" t="str">
        <f t="shared" si="14"/>
        <v>yyyy04</v>
      </c>
      <c r="H157" s="120" t="s">
        <v>348</v>
      </c>
      <c r="I157" s="111" t="s">
        <v>198</v>
      </c>
      <c r="J157" s="111">
        <v>1</v>
      </c>
      <c r="K157" s="121" t="s">
        <v>199</v>
      </c>
      <c r="L157" s="326">
        <v>83.33</v>
      </c>
      <c r="M157" s="111" t="s">
        <v>187</v>
      </c>
      <c r="N157" s="320">
        <v>1</v>
      </c>
      <c r="O157" s="315">
        <f t="shared" si="12"/>
        <v>83.33</v>
      </c>
      <c r="P157" s="114">
        <v>0.25</v>
      </c>
      <c r="Q157" s="321">
        <v>0.92122999999999999</v>
      </c>
      <c r="R157" s="322">
        <f t="shared" si="13"/>
        <v>19.191523974999999</v>
      </c>
      <c r="S157" s="322" t="s">
        <v>188</v>
      </c>
      <c r="T157" s="323"/>
    </row>
    <row r="158" spans="1:20" ht="16.25" customHeight="1">
      <c r="A158" s="111">
        <v>155</v>
      </c>
      <c r="B158" s="111" t="s">
        <v>203</v>
      </c>
      <c r="C158" s="111" t="s">
        <v>263</v>
      </c>
      <c r="D158" s="111" t="s">
        <v>180</v>
      </c>
      <c r="E158" s="111"/>
      <c r="F158" s="112">
        <v>45412</v>
      </c>
      <c r="G158" s="111" t="str">
        <f t="shared" si="14"/>
        <v>yyyy04</v>
      </c>
      <c r="H158" s="120" t="s">
        <v>349</v>
      </c>
      <c r="I158" s="111" t="s">
        <v>205</v>
      </c>
      <c r="J158" s="111">
        <v>1</v>
      </c>
      <c r="K158" s="121" t="s">
        <v>206</v>
      </c>
      <c r="L158" s="324">
        <v>64618.2</v>
      </c>
      <c r="M158" s="111" t="s">
        <v>116</v>
      </c>
      <c r="N158" s="320">
        <v>32.309100000000001</v>
      </c>
      <c r="O158" s="315">
        <f t="shared" si="12"/>
        <v>1999.9999999999998</v>
      </c>
      <c r="P158" s="114">
        <v>0.3</v>
      </c>
      <c r="Q158" s="321">
        <v>0.92122999999999999</v>
      </c>
      <c r="R158" s="322">
        <f t="shared" si="13"/>
        <v>552.73799999999994</v>
      </c>
      <c r="S158" s="322" t="s">
        <v>117</v>
      </c>
      <c r="T158" s="323"/>
    </row>
    <row r="159" spans="1:20" ht="16.25" customHeight="1">
      <c r="A159" s="111">
        <v>156</v>
      </c>
      <c r="B159" s="111" t="s">
        <v>203</v>
      </c>
      <c r="C159" s="111" t="s">
        <v>263</v>
      </c>
      <c r="D159" s="111" t="s">
        <v>180</v>
      </c>
      <c r="E159" s="111"/>
      <c r="F159" s="112">
        <v>45412</v>
      </c>
      <c r="G159" s="111" t="str">
        <f t="shared" si="14"/>
        <v>yyyy04</v>
      </c>
      <c r="H159" s="120" t="s">
        <v>350</v>
      </c>
      <c r="I159" s="111" t="s">
        <v>119</v>
      </c>
      <c r="J159" s="111">
        <v>4</v>
      </c>
      <c r="K159" s="111" t="s">
        <v>120</v>
      </c>
      <c r="L159" s="314">
        <f>L158*M1</f>
        <v>646.18200000000002</v>
      </c>
      <c r="M159" s="111" t="s">
        <v>116</v>
      </c>
      <c r="N159" s="320">
        <v>32.309100000000001</v>
      </c>
      <c r="O159" s="315">
        <f t="shared" si="12"/>
        <v>20</v>
      </c>
      <c r="P159" s="114">
        <v>0.3</v>
      </c>
      <c r="Q159" s="321">
        <v>0.92122999999999999</v>
      </c>
      <c r="R159" s="322">
        <f t="shared" si="13"/>
        <v>5.52738</v>
      </c>
      <c r="S159" s="322" t="s">
        <v>117</v>
      </c>
      <c r="T159" s="323"/>
    </row>
    <row r="160" spans="1:20" ht="16.25" customHeight="1">
      <c r="A160" s="111">
        <v>157</v>
      </c>
      <c r="B160" s="113" t="s">
        <v>255</v>
      </c>
      <c r="C160" s="111" t="s">
        <v>263</v>
      </c>
      <c r="D160" s="111" t="s">
        <v>180</v>
      </c>
      <c r="E160" s="111"/>
      <c r="F160" s="112">
        <v>45412</v>
      </c>
      <c r="G160" s="111" t="str">
        <f t="shared" si="14"/>
        <v>yyyy04</v>
      </c>
      <c r="H160" s="120" t="s">
        <v>351</v>
      </c>
      <c r="I160" s="111" t="s">
        <v>257</v>
      </c>
      <c r="J160" s="111">
        <v>1</v>
      </c>
      <c r="K160" s="111" t="s">
        <v>258</v>
      </c>
      <c r="L160" s="314">
        <v>90465.48</v>
      </c>
      <c r="M160" s="111" t="s">
        <v>116</v>
      </c>
      <c r="N160" s="320">
        <v>32.309100000000001</v>
      </c>
      <c r="O160" s="315">
        <f t="shared" si="12"/>
        <v>2800</v>
      </c>
      <c r="P160" s="114">
        <v>0.5</v>
      </c>
      <c r="Q160" s="321">
        <v>0.92122999999999999</v>
      </c>
      <c r="R160" s="322">
        <f t="shared" si="13"/>
        <v>1289.722</v>
      </c>
      <c r="S160" s="322" t="s">
        <v>117</v>
      </c>
      <c r="T160" s="323"/>
    </row>
    <row r="161" spans="1:20" ht="16.25" customHeight="1">
      <c r="A161" s="111">
        <v>158</v>
      </c>
      <c r="B161" s="113" t="s">
        <v>255</v>
      </c>
      <c r="C161" s="111" t="s">
        <v>263</v>
      </c>
      <c r="D161" s="111" t="s">
        <v>180</v>
      </c>
      <c r="E161" s="111"/>
      <c r="F161" s="112">
        <v>45412</v>
      </c>
      <c r="G161" s="111" t="str">
        <f t="shared" si="14"/>
        <v>yyyy04</v>
      </c>
      <c r="H161" s="120" t="s">
        <v>352</v>
      </c>
      <c r="I161" s="111" t="s">
        <v>257</v>
      </c>
      <c r="J161" s="111">
        <v>1</v>
      </c>
      <c r="K161" s="111" t="s">
        <v>258</v>
      </c>
      <c r="L161" s="314">
        <v>51198.640000000007</v>
      </c>
      <c r="M161" s="111" t="s">
        <v>116</v>
      </c>
      <c r="N161" s="320">
        <v>32.309100000000001</v>
      </c>
      <c r="O161" s="315">
        <f t="shared" si="12"/>
        <v>1584.6507640262344</v>
      </c>
      <c r="P161" s="114">
        <v>0.5</v>
      </c>
      <c r="Q161" s="321">
        <v>0.92122999999999999</v>
      </c>
      <c r="R161" s="322">
        <f t="shared" si="13"/>
        <v>729.91391167194388</v>
      </c>
      <c r="S161" s="322" t="s">
        <v>117</v>
      </c>
      <c r="T161" s="323"/>
    </row>
    <row r="162" spans="1:20" ht="16.25" customHeight="1">
      <c r="A162" s="111">
        <v>159</v>
      </c>
      <c r="B162" s="113" t="s">
        <v>255</v>
      </c>
      <c r="C162" s="111" t="s">
        <v>263</v>
      </c>
      <c r="D162" s="111" t="s">
        <v>180</v>
      </c>
      <c r="E162" s="111"/>
      <c r="F162" s="112">
        <v>45412</v>
      </c>
      <c r="G162" s="111" t="str">
        <f t="shared" si="14"/>
        <v>yyyy04</v>
      </c>
      <c r="H162" s="120" t="s">
        <v>353</v>
      </c>
      <c r="I162" s="111" t="s">
        <v>257</v>
      </c>
      <c r="J162" s="111">
        <v>1</v>
      </c>
      <c r="K162" s="111" t="s">
        <v>258</v>
      </c>
      <c r="L162" s="314">
        <v>27851.72</v>
      </c>
      <c r="M162" s="111" t="s">
        <v>116</v>
      </c>
      <c r="N162" s="320">
        <v>32.309100000000001</v>
      </c>
      <c r="O162" s="315">
        <f t="shared" si="12"/>
        <v>862.03948732709978</v>
      </c>
      <c r="P162" s="114">
        <v>0.5</v>
      </c>
      <c r="Q162" s="321">
        <v>0.92122999999999999</v>
      </c>
      <c r="R162" s="322">
        <f t="shared" si="13"/>
        <v>397.06831845517206</v>
      </c>
      <c r="S162" s="322" t="s">
        <v>117</v>
      </c>
      <c r="T162" s="323"/>
    </row>
    <row r="163" spans="1:20" ht="16.25" customHeight="1">
      <c r="A163" s="111">
        <v>160</v>
      </c>
      <c r="B163" s="113" t="s">
        <v>255</v>
      </c>
      <c r="C163" s="111" t="s">
        <v>263</v>
      </c>
      <c r="D163" s="111" t="s">
        <v>180</v>
      </c>
      <c r="E163" s="111"/>
      <c r="F163" s="112">
        <v>45412</v>
      </c>
      <c r="G163" s="111" t="str">
        <f t="shared" si="14"/>
        <v>yyyy04</v>
      </c>
      <c r="H163" s="120" t="s">
        <v>354</v>
      </c>
      <c r="I163" s="111" t="s">
        <v>257</v>
      </c>
      <c r="J163" s="111">
        <v>1</v>
      </c>
      <c r="K163" s="111" t="s">
        <v>258</v>
      </c>
      <c r="L163" s="314">
        <v>83.33</v>
      </c>
      <c r="M163" s="111" t="s">
        <v>187</v>
      </c>
      <c r="N163" s="320">
        <v>1</v>
      </c>
      <c r="O163" s="315">
        <f t="shared" si="12"/>
        <v>83.33</v>
      </c>
      <c r="P163" s="114">
        <v>0.5</v>
      </c>
      <c r="Q163" s="321">
        <v>0.92122999999999999</v>
      </c>
      <c r="R163" s="322">
        <f t="shared" si="13"/>
        <v>38.383047949999998</v>
      </c>
      <c r="S163" s="322" t="s">
        <v>188</v>
      </c>
      <c r="T163" s="323"/>
    </row>
    <row r="164" spans="1:20" ht="16.25" customHeight="1" thickBot="1">
      <c r="A164" s="111">
        <v>161</v>
      </c>
      <c r="B164" s="115"/>
      <c r="C164" s="115"/>
      <c r="D164" s="115"/>
      <c r="E164" s="115">
        <v>45</v>
      </c>
      <c r="F164" s="112">
        <v>45412</v>
      </c>
      <c r="G164" s="111" t="str">
        <f t="shared" si="14"/>
        <v>yyyy04</v>
      </c>
      <c r="H164" s="120" t="s">
        <v>355</v>
      </c>
      <c r="I164" s="111"/>
      <c r="J164" s="111"/>
      <c r="K164" s="111"/>
      <c r="L164" s="314"/>
      <c r="M164" s="111" t="s">
        <v>211</v>
      </c>
      <c r="N164" s="320">
        <v>1</v>
      </c>
      <c r="O164" s="315">
        <f t="shared" ref="O164" si="15">L164/N164</f>
        <v>0</v>
      </c>
      <c r="P164" s="114">
        <v>0.1</v>
      </c>
      <c r="Q164" s="321">
        <v>1</v>
      </c>
      <c r="R164" s="322">
        <f t="shared" ref="R164" si="16">O164*P164*Q164</f>
        <v>0</v>
      </c>
      <c r="S164" s="322" t="s">
        <v>188</v>
      </c>
      <c r="T164" s="323"/>
    </row>
    <row r="165" spans="1:20" ht="16.25" customHeight="1">
      <c r="A165" s="95"/>
      <c r="B165" s="95"/>
      <c r="C165" s="96"/>
      <c r="D165" s="96"/>
      <c r="E165" s="96"/>
      <c r="F165" s="96"/>
      <c r="G165" s="96"/>
      <c r="H165" s="118"/>
      <c r="I165" s="96"/>
      <c r="J165" s="96"/>
      <c r="K165" s="97"/>
      <c r="L165" s="97"/>
      <c r="M165" s="96"/>
      <c r="N165" s="96"/>
      <c r="O165" s="96"/>
      <c r="P165" s="98"/>
      <c r="Q165" s="99"/>
      <c r="R165" s="100"/>
      <c r="S165" s="100"/>
      <c r="T165" s="317"/>
    </row>
  </sheetData>
  <autoFilter ref="B3:S164" xr:uid="{00000000-0009-0000-0000-000004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4C70827CE1643B5B73FB1777F5DED" ma:contentTypeVersion="3" ma:contentTypeDescription="Crée un document." ma:contentTypeScope="" ma:versionID="01cf83ad81305ca96ce9e6ad6c2380a9">
  <xsd:schema xmlns:xsd="http://www.w3.org/2001/XMLSchema" xmlns:xs="http://www.w3.org/2001/XMLSchema" xmlns:p="http://schemas.microsoft.com/office/2006/metadata/properties" xmlns:ns2="3079b3ca-dd4f-4e66-a9f9-5e0fc6984ea8" targetNamespace="http://schemas.microsoft.com/office/2006/metadata/properties" ma:root="true" ma:fieldsID="5a990775ec9fe13f5e9ec4203d501fa4" ns2:_="">
    <xsd:import namespace="3079b3ca-dd4f-4e66-a9f9-5e0fc6984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9b3ca-dd4f-4e66-a9f9-5e0fc6984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97689-65B4-4CBD-BEED-83CCCD4DFFC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F054F4-289B-4DCE-8E34-9561A04D2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9b3ca-dd4f-4e66-a9f9-5e0fc6984e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FC8DCB-C5E7-4929-A918-6C29CFB591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Project Budget in TRY</vt:lpstr>
      <vt:lpstr>Transaction Journal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Appel à projets FDF / CFSI 2010</dc:title>
  <dc:subject>Soutien aux Agricultures familiales en Afrique de l'Ouest</dc:subject>
  <dc:creator>FLOC'H Jérôme</dc:creator>
  <cp:keywords/>
  <dc:description/>
  <cp:lastModifiedBy>LATIF Marya</cp:lastModifiedBy>
  <cp:revision/>
  <dcterms:created xsi:type="dcterms:W3CDTF">2007-06-06T18:00:06Z</dcterms:created>
  <dcterms:modified xsi:type="dcterms:W3CDTF">2026-02-28T12:54:41Z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0x0101007474C70827CE1643B5B73FB1777F5DED</vt:lpwstr>
  </property>
  <property fmtid="{D5CDD505-2E9C-101B-9397-08002B2CF9AE}" pid="3" name="MediaServiceImageTags">
    <vt:lpwstr/>
  </property>
  <property fmtid="{D5CDD505-2E9C-101B-9397-08002B2CF9AE}" pid="4" name="MSIP_Label_99e75c80-4ae8-4de9-a5cc-10a5a198532d_Enabled">
    <vt:lpwstr>true</vt:lpwstr>
  </property>
  <property fmtid="{D5CDD505-2E9C-101B-9397-08002B2CF9AE}" pid="5" name="MSIP_Label_99e75c80-4ae8-4de9-a5cc-10a5a198532d_SetDate">
    <vt:lpwstr>2025-10-17T13:48:06Z</vt:lpwstr>
  </property>
  <property fmtid="{D5CDD505-2E9C-101B-9397-08002B2CF9AE}" pid="6" name="MSIP_Label_99e75c80-4ae8-4de9-a5cc-10a5a198532d_Method">
    <vt:lpwstr>Standard</vt:lpwstr>
  </property>
  <property fmtid="{D5CDD505-2E9C-101B-9397-08002B2CF9AE}" pid="7" name="MSIP_Label_99e75c80-4ae8-4de9-a5cc-10a5a198532d_Name">
    <vt:lpwstr>Public</vt:lpwstr>
  </property>
  <property fmtid="{D5CDD505-2E9C-101B-9397-08002B2CF9AE}" pid="8" name="MSIP_Label_99e75c80-4ae8-4de9-a5cc-10a5a198532d_SiteId">
    <vt:lpwstr>c307faef-2b20-4230-8fe2-82615b77dcea</vt:lpwstr>
  </property>
  <property fmtid="{D5CDD505-2E9C-101B-9397-08002B2CF9AE}" pid="9" name="MSIP_Label_99e75c80-4ae8-4de9-a5cc-10a5a198532d_ActionId">
    <vt:lpwstr>308181ca-7907-4325-be5f-84f678f28fe4</vt:lpwstr>
  </property>
  <property fmtid="{D5CDD505-2E9C-101B-9397-08002B2CF9AE}" pid="10" name="MSIP_Label_99e75c80-4ae8-4de9-a5cc-10a5a198532d_ContentBits">
    <vt:lpwstr>0</vt:lpwstr>
  </property>
  <property fmtid="{D5CDD505-2E9C-101B-9397-08002B2CF9AE}" pid="11" name="MSIP_Label_99e75c80-4ae8-4de9-a5cc-10a5a198532d_Tag">
    <vt:lpwstr>10, 3, 0, 2</vt:lpwstr>
  </property>
</Properties>
</file>
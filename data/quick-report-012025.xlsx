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a/Documents/ESILV/A4/S8/Pi2/"/>
    </mc:Choice>
  </mc:AlternateContent>
  <xr:revisionPtr revIDLastSave="0" documentId="13_ncr:1_{9248C920-B93B-7F42-A6DC-66597D477D5A}" xr6:coauthVersionLast="47" xr6:coauthVersionMax="47" xr10:uidLastSave="{00000000-0000-0000-0000-000000000000}"/>
  <bookViews>
    <workbookView xWindow="-11180" yWindow="-2880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0" i="1" l="1"/>
  <c r="J366" i="1"/>
  <c r="J346" i="1"/>
  <c r="J343" i="1"/>
  <c r="J267" i="1"/>
  <c r="J264" i="1"/>
  <c r="J259" i="1"/>
  <c r="J256" i="1"/>
  <c r="J253" i="1"/>
  <c r="J250" i="1"/>
  <c r="J245" i="1"/>
  <c r="J227" i="1"/>
  <c r="J222" i="1"/>
  <c r="J202" i="1"/>
  <c r="J182" i="1"/>
  <c r="J174" i="1"/>
  <c r="J166" i="1"/>
  <c r="J130" i="1"/>
  <c r="J39" i="1"/>
  <c r="J31" i="1"/>
  <c r="J17" i="1"/>
  <c r="J223" i="1" l="1"/>
  <c r="J381" i="1"/>
  <c r="J382" i="1" l="1"/>
  <c r="J383" i="1" s="1"/>
  <c r="J384" i="1" s="1"/>
</calcChain>
</file>

<file path=xl/sharedStrings.xml><?xml version="1.0" encoding="utf-8"?>
<sst xmlns="http://schemas.openxmlformats.org/spreadsheetml/2006/main" count="2029" uniqueCount="584">
  <si>
    <t>Account QuickReport</t>
  </si>
  <si>
    <t>ULUSLAR ARASI SAVAŞ VE AFET MAĞDURLARINI KORUMA DERNEĞİ</t>
  </si>
  <si>
    <t>All Dates</t>
  </si>
  <si>
    <t>Distribution account</t>
  </si>
  <si>
    <t>Transaction date</t>
  </si>
  <si>
    <t>Transaction type</t>
  </si>
  <si>
    <t>Number</t>
  </si>
  <si>
    <t>Name</t>
  </si>
  <si>
    <t>Memo/Description</t>
  </si>
  <si>
    <t>Full name</t>
  </si>
  <si>
    <t>Cleared</t>
  </si>
  <si>
    <t>Amount</t>
  </si>
  <si>
    <t>Balance</t>
  </si>
  <si>
    <t>12. Expenses</t>
  </si>
  <si>
    <t>121. Direct expenses ( Projects )</t>
  </si>
  <si>
    <t>121137 - ID157H24 - Sarmad &amp; Mashhad Rohin Physiotherapy and Artificial Limbs Centers</t>
  </si>
  <si>
    <t>A - Staff and Other Personnel Costs - 121137 - ID157H24 - Sarmad &amp; Mashhad Rohin Physiotherapy .....</t>
  </si>
  <si>
    <t>1.01 - Person AM - 121137 - ID157H24 - Sarmad &amp; Mashhad Rohin Physiotherapy and Ar..</t>
  </si>
  <si>
    <t>31/08/2024</t>
  </si>
  <si>
    <t>Journal Entry</t>
  </si>
  <si>
    <t>18030</t>
  </si>
  <si>
    <t>Person AM | Aug - Person DE - Ariha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</si>
  <si>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.....:1.01 - Person AM - 121137 - ID157H24 - Sarmad &amp; Mashhad Rohin Physiotherapy and Ar..</t>
  </si>
  <si>
    <t>30/09/2024</t>
  </si>
  <si>
    <t>18043</t>
  </si>
  <si>
    <t>Person AM | Sep - Person DE - Ariha TC  | PV-PaySlip - Inv-PayRoll |</t>
  </si>
  <si>
    <t>31/10/2024</t>
  </si>
  <si>
    <t>18165</t>
  </si>
  <si>
    <t>Person AM | Oct - Person DE - Ariha TC  | PV-PaySlip - Inv-PayRoll |</t>
  </si>
  <si>
    <t>30/11/2024</t>
  </si>
  <si>
    <t>18257</t>
  </si>
  <si>
    <t>Person AM | Nov - Person DE - Ariha TC  | PV-PaySlip - Inv-PayRoll |</t>
  </si>
  <si>
    <t>31/12/2024</t>
  </si>
  <si>
    <t>18717</t>
  </si>
  <si>
    <t>Person AM | Dec - Person DE - Ariha TC  | PV-PaySlip - Inv-PayRoll |</t>
  </si>
  <si>
    <t>31/01/2025</t>
  </si>
  <si>
    <t>18734</t>
  </si>
  <si>
    <t>Person AM | Jan - Person DE - Ariha TC  | PV-PaySlip - Inv-PayRoll |</t>
  </si>
  <si>
    <t>Total for 1.01 - Person AM - 121137 - ID157H24 - Sarmad &amp; Mashhad Rohin Physiotherapy and Ar..</t>
  </si>
  <si>
    <t>1.02 - Person AG - 121137 - ID157H24 - Sarmad &amp; Mashhad Rohin Physiotherapy and Artificia....</t>
  </si>
  <si>
    <t>18031</t>
  </si>
  <si>
    <t>Person AG | Aug - Person BL - Mashhad Rohin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</si>
  <si>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.....:1.02 - Person AG - 121137 - ID157H24 - Sarmad &amp; Mashhad Rohin Physiotherapy and Artificia....</t>
  </si>
  <si>
    <t>18032</t>
  </si>
  <si>
    <t>Person AG | Aug - Person D - Sarmada TC  | PV-PaySlip - Inv-PayRoll |</t>
  </si>
  <si>
    <t>18044</t>
  </si>
  <si>
    <t>Person AG | Sep - Person BL - Mashhad Rohin TC  | PV-PaySlip - Inv-PayRoll |</t>
  </si>
  <si>
    <t>18045</t>
  </si>
  <si>
    <t>Person AG | Sep - Person D - Sarmada TC  | PV-PaySlip - Inv-PayRoll |</t>
  </si>
  <si>
    <t>18166</t>
  </si>
  <si>
    <t>Person AG | Oct - Person BL - Mashhad Rohin TC  | PV-PaySlip - Inv-PayRoll |</t>
  </si>
  <si>
    <t>18167</t>
  </si>
  <si>
    <t>Person AG | Oct - Person D - Sarmada TC  | PV-PaySlip - Inv-PayRoll |</t>
  </si>
  <si>
    <t>18258</t>
  </si>
  <si>
    <t>Person AG | Nov - Person BL - Mashhad Rohin TC  | PV-PaySlip - Inv-PayRoll |</t>
  </si>
  <si>
    <t>18259</t>
  </si>
  <si>
    <t>Person AG | Nov - Person D - Sarmada TC  | PV-PaySlip - Inv-PayRoll |</t>
  </si>
  <si>
    <t>18718</t>
  </si>
  <si>
    <t>Person AG | Dec - Person BL - Mashhad Rohin TC  | PV-PaySlip - Inv-PayRoll |</t>
  </si>
  <si>
    <t>18719</t>
  </si>
  <si>
    <t>Person AG | Dec - Person D - Sarmada TC  | PV-PaySlip - Inv-PayRoll |</t>
  </si>
  <si>
    <t>18736</t>
  </si>
  <si>
    <t>Person AG | Jan - Person BL - Mashhad Rohin TC  | PV-PaySlip - Inv-PayRoll |</t>
  </si>
  <si>
    <t>18737</t>
  </si>
  <si>
    <t>Person AG | Jan - Person D - Sarmada TC  | PV-PaySlip - Inv-PayRoll |</t>
  </si>
  <si>
    <t>Total for 1.02 - Person AG - 121137 - ID157H24 - Sarmad &amp; Mashhad Rohin Physiotherapy and Artificia....</t>
  </si>
  <si>
    <t>1.03 - Receptionist - 121137 - ID157H24 - Sarmad &amp; Mashhad Rohin Physiotherapy and Artificial Limb..</t>
  </si>
  <si>
    <t>Receptionist | Aug - Person AE - Ariha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</si>
  <si>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.....:1.03 - Receptionist - 121137 - ID157H24 - Sarmad &amp; Mashhad Rohin Physiotherapy and Artificial Limb..</t>
  </si>
  <si>
    <t>Receptionist | Sep - Person AE - Ariha TC  | PV-PaySlip - Inv-PayRoll |</t>
  </si>
  <si>
    <t>Receptionist | Oct - Person AE - Ariha TC  | PV-PaySlip - Inv-PayRoll |</t>
  </si>
  <si>
    <t>Receptionist | Nov - Person AE - Ariha TC  | PV-PaySlip - Inv-PayRoll |</t>
  </si>
  <si>
    <t>Receptionist | Dec - Person AE - Ariha TC  | PV-PaySlip - Inv-PayRoll |</t>
  </si>
  <si>
    <t>Receptionist | Jan - Person AE - Ariha TC  | PV-PaySlip - Inv-PayRoll |</t>
  </si>
  <si>
    <t>Total for 1.03 - Receptionist - 121137 - ID157H24 - Sarmad &amp; Mashhad Rohin Physiotherapy and Artificial Limb..</t>
  </si>
  <si>
    <t>1.04 - Physiotherapist - 121137 - ID157H24 - Sarmad &amp; Mashhad Rohin Physiotherapy and Artificial ...</t>
  </si>
  <si>
    <t>Physiotherapist | Aug - Person E - Ariha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</si>
  <si>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.....:1.04 - Physiotherapist - 121137 - ID157H24 - Sarmad &amp; Mashhad Rohin Physiotherapy and Artificial ...</t>
  </si>
  <si>
    <t>Physiotherapist | Aug - Person CS - Ariha TC  | PV-PaySlip - Inv-PayRoll |</t>
  </si>
  <si>
    <t>Physiotherapist | Aug - Person CU - Ariha TC  | PV-PaySlip - Inv-PayRoll |</t>
  </si>
  <si>
    <t>Physiotherapist | Aug - Person C - Ariha TC  | PV-PaySlip - Inv-PayRoll |</t>
  </si>
  <si>
    <t>Physiotherapist | Aug - Person BG - Mashhad Rohin TC  | PV-PaySlip - Inv-PayRoll |</t>
  </si>
  <si>
    <t>Physiotherapist | Aug - Person A - Mashhad Rohin TC  | PV-PaySlip - Inv-PayRoll |</t>
  </si>
  <si>
    <t>Physiotherapist | Aug - Person BF - Mashhad Rohin TC  | PV-PaySlip - Inv-PayRoll |</t>
  </si>
  <si>
    <t>Physiotherapist | Aug - Person AF - Mashhad Rohin TC  | PV-PaySlip - Inv-PayRoll |</t>
  </si>
  <si>
    <t>Physiotherapist | Aug - Person BE - Mashhad Rohin TC  | PV-PaySlip - Inv-PayRoll |</t>
  </si>
  <si>
    <t>Physiotherapist | Aug - Person AR - Sarmada TC  | PV-PaySlip - Inv-PayRoll |</t>
  </si>
  <si>
    <t>Physiotherapist | Aug - Person CT - Sarmada TC  | PV-PaySlip - Inv-PayRoll |</t>
  </si>
  <si>
    <t>Physiotherapist | Aug - Person AQ - Sarmada TC  | PV-PaySlip - Inv-PayRoll |</t>
  </si>
  <si>
    <t>Physiotherapist | Aug - Person AY - Sarmada TC  | PV-PaySlip - Inv-PayRoll |</t>
  </si>
  <si>
    <t>Physiotherapist | Aug - Person DD - Sarmada TC  | PV-PaySlip - Inv-PayRoll |</t>
  </si>
  <si>
    <t>Physiotherapist | Sep - Person E - Ariha TC  | PV-PaySlip - Inv-PayRoll |</t>
  </si>
  <si>
    <t>Physiotherapist | Sep - Person CS - Ariha TC  | PV-PaySlip - Inv-PayRoll |</t>
  </si>
  <si>
    <t>Physiotherapist | Sep - Person CU - Ariha TC  | PV-PaySlip - Inv-PayRoll |</t>
  </si>
  <si>
    <t>Physiotherapist | Sep - Person AO - Ariha TC  | PV-PaySlip - Inv-PayRoll |</t>
  </si>
  <si>
    <t>Physiotherapist | Sep - Person C - Ariha TC  | PV-PaySlip - Inv-PayRoll |</t>
  </si>
  <si>
    <t>Physiotherapist | Sep - Person BG - Mashhad Rohin TC  | PV-PaySlip - Inv-PayRoll |</t>
  </si>
  <si>
    <t>Physiotherapist | Sep - Person A - Mashhad Rohin TC  | PV-PaySlip - Inv-PayRoll |</t>
  </si>
  <si>
    <t>Physiotherapist | Sep - Person BF - Mashhad Rohin TC  | PV-PaySlip - Inv-PayRoll |</t>
  </si>
  <si>
    <t>Physiotherapist | Sep - Person AF - Mashhad Rohin TC  | PV-PaySlip - Inv-PayRoll |</t>
  </si>
  <si>
    <t>Physiotherapist | Sep - Person BE - Mashhad Rohin TC  | PV-PaySlip - Inv-PayRoll |</t>
  </si>
  <si>
    <t>Physiotherapist | Sep - Person AR - Sarmada TC  | PV-PaySlip - Inv-PayRoll |</t>
  </si>
  <si>
    <t>Physiotherapist | Sep - Person CT - Sarmada TC  | PV-PaySlip - Inv-PayRoll |</t>
  </si>
  <si>
    <t>Physiotherapist | Sep - Person AQ - Sarmada TC  | PV-PaySlip - Inv-PayRoll |</t>
  </si>
  <si>
    <t>Physiotherapist | Sep - Person AY - Sarmada TC  | PV-PaySlip - Inv-PayRoll |</t>
  </si>
  <si>
    <t>Physiotherapist | Sep - Person DD - Sarmada TC  | PV-PaySlip - Inv-PayRoll |</t>
  </si>
  <si>
    <t>Physiotherapist | Oct - Person E - Ariha TC  | PV-PaySlip - Inv-PayRoll |</t>
  </si>
  <si>
    <t>Physiotherapist | Oct - Person CS - Ariha TC  | PV-PaySlip - Inv-PayRoll |</t>
  </si>
  <si>
    <t>Physiotherapist | Oct - Person CU - Ariha TC  | PV-PaySlip - Inv-PayRoll |</t>
  </si>
  <si>
    <t>Physiotherapist | Oct - Person AO - Ariha TC  | PV-PaySlip - Inv-PayRoll |</t>
  </si>
  <si>
    <t>Physiotherapist | Oct - Person C - Ariha TC  | PV-PaySlip - Inv-PayRoll |</t>
  </si>
  <si>
    <t>Physiotherapist | Oct - Person BG - Mashhad Rohin TC  | PV-PaySlip - Inv-PayRoll |</t>
  </si>
  <si>
    <t>Physiotherapist | Oct - Person A - Mashhad Rohin TC  | PV-PaySlip - Inv-PayRoll |</t>
  </si>
  <si>
    <t>Physiotherapist | Oct - Person BF - Mashhad Rohin TC  | PV-PaySlip - Inv-PayRoll |</t>
  </si>
  <si>
    <t>Physiotherapist | Oct - Person AF - Mashhad Rohin TC  | PV-PaySlip - Inv-PayRoll |</t>
  </si>
  <si>
    <t>Physiotherapist | Oct - Person BE - Mashhad Rohin TC  | PV-PaySlip - Inv-PayRoll |</t>
  </si>
  <si>
    <t>Physiotherapist | Oct - Person AR - Sarmada TC  | PV-PaySlip - Inv-PayRoll |</t>
  </si>
  <si>
    <t>Physiotherapist | Oct - Person CT - Sarmada TC  | PV-PaySlip - Inv-PayRoll |</t>
  </si>
  <si>
    <t>Physiotherapist | Oct - Person AQ - Sarmada TC  | PV-PaySlip - Inv-PayRoll |</t>
  </si>
  <si>
    <t>Physiotherapist | Oct - Person AY - Sarmada TC  | PV-PaySlip - Inv-PayRoll |</t>
  </si>
  <si>
    <t>Physiotherapist | Oct - Person DD - Sarmada TC  | PV-PaySlip - Inv-PayRoll |</t>
  </si>
  <si>
    <t>Physiotherapist | Nov - Person E - Ariha TC  | PV-PaySlip - Inv-PayRoll |</t>
  </si>
  <si>
    <t>Physiotherapist | Nov - Person CS - Ariha TC  | PV-PaySlip - Inv-PayRoll |</t>
  </si>
  <si>
    <t>Physiotherapist | Nov - Person CU - Ariha TC  | PV-PaySlip - Inv-PayRoll |</t>
  </si>
  <si>
    <t>Physiotherapist | Nov - Person AO - Ariha TC  | PV-PaySlip - Inv-PayRoll |</t>
  </si>
  <si>
    <t>Physiotherapist | Nov - Person C - Ariha TC  | PV-PaySlip - Inv-PayRoll |</t>
  </si>
  <si>
    <t>Physiotherapist | Nov - Person BG - Mashhad Rohin TC  | PV-PaySlip - Inv-PayRoll |</t>
  </si>
  <si>
    <t>Physiotherapist | Nov - Person A - Mashhad Rohin TC  | PV-PaySlip - Inv-PayRoll |</t>
  </si>
  <si>
    <t>Physiotherapist | Nov - Person BF - Mashhad Rohin TC  | PV-PaySlip - Inv-PayRoll |</t>
  </si>
  <si>
    <t>Physiotherapist | Nov - Person AF - Mashhad Rohin TC  | PV-PaySlip - Inv-PayRoll |</t>
  </si>
  <si>
    <t>Physiotherapist | Nov - Person BE - Mashhad Rohin TC  | PV-PaySlip - Inv-PayRoll |</t>
  </si>
  <si>
    <t>Physiotherapist | Nov - Person AR - Sarmada TC  | PV-PaySlip - Inv-PayRoll |</t>
  </si>
  <si>
    <t>Physiotherapist | Nov - Person CT - Sarmada TC  | PV-PaySlip - Inv-PayRoll |</t>
  </si>
  <si>
    <t>Physiotherapist | Nov - Person AQ - Sarmada TC  | PV-PaySlip - Inv-PayRoll |</t>
  </si>
  <si>
    <t>Physiotherapist | Nov - Person AY - Sarmada TC  | PV-PaySlip - Inv-PayRoll |</t>
  </si>
  <si>
    <t>Physiotherapist | Nov - Person DD - Sarmada TC  | PV-PaySlip - Inv-PayRoll |</t>
  </si>
  <si>
    <t>Physiotherapist | Dec - Person E - Ariha TC  | PV-PaySlip - Inv-PayRoll |</t>
  </si>
  <si>
    <t>Physiotherapist | Dec - Person CS - Ariha TC  | PV-PaySlip - Inv-PayRoll |</t>
  </si>
  <si>
    <t>Physiotherapist | Dec - Person CU - Ariha TC  | PV-PaySlip - Inv-PayRoll |</t>
  </si>
  <si>
    <t>Physiotherapist | Dec - Person AO - Ariha TC  | PV-PaySlip - Inv-PayRoll |</t>
  </si>
  <si>
    <t>Physiotherapist | Dec - Person C - Ariha TC  | PV-PaySlip - Inv-PayRoll |</t>
  </si>
  <si>
    <t>Physiotherapist | Dec - Person BG - Mashhad Rohin TC  | PV-PaySlip - Inv-PayRoll |</t>
  </si>
  <si>
    <t>Physiotherapist | Dec - Person A - Mashhad Rohin TC  | PV-PaySlip - Inv-PayRoll |</t>
  </si>
  <si>
    <t>Physiotherapist | Dec - Person BF - Mashhad Rohin TC  | PV-PaySlip - Inv-PayRoll |</t>
  </si>
  <si>
    <t>Physiotherapist | Dec - Person AF - Mashhad Rohin TC  | PV-PaySlip - Inv-PayRoll |</t>
  </si>
  <si>
    <t>Physiotherapist | Dec - Person BE - Mashhad Rohin TC  | PV-PaySlip - Inv-PayRoll |</t>
  </si>
  <si>
    <t>Physiotherapist | Dec - Person AR - Sarmada TC  | PV-PaySlip - Inv-PayRoll |</t>
  </si>
  <si>
    <t>Physiotherapist | Dec - Person CT - Sarmada TC  | PV-PaySlip - Inv-PayRoll |</t>
  </si>
  <si>
    <t>Physiotherapist | Dec - Person AQ - Sarmada TC  | PV-PaySlip - Inv-PayRoll |</t>
  </si>
  <si>
    <t>Physiotherapist | Dec - Person AY - Sarmada TC  | PV-PaySlip - Inv-PayRoll |</t>
  </si>
  <si>
    <t>Physiotherapist | Dec - Person DD - Sarmada TC  | PV-PaySlip - Inv-PayRoll |</t>
  </si>
  <si>
    <t>Physiotherapist | Jan - Person E - Ariha TC  | PV-PaySlip - Inv-PayRoll |</t>
  </si>
  <si>
    <t>Physiotherapist | Jan - Person CS - Ariha TC  | PV-PaySlip - Inv-PayRoll |</t>
  </si>
  <si>
    <t>Physiotherapist | Jan - Person CU - Ariha TC  | PV-PaySlip - Inv-PayRoll |</t>
  </si>
  <si>
    <t>Physiotherapist | Jan - Person AO - Ariha TC  | PV-PaySlip - Inv-PayRoll |</t>
  </si>
  <si>
    <t>Physiotherapist | Jan - Person C - Ariha TC  | PV-PaySlip - Inv-PayRoll |</t>
  </si>
  <si>
    <t>Physiotherapist | Jan - Person BG - Mashhad Rohin TC  | PV-PaySlip - Inv-PayRoll |</t>
  </si>
  <si>
    <t>Physiotherapist | Jan - Person A - Mashhad Rohin TC  | PV-PaySlip - Inv-PayRoll |</t>
  </si>
  <si>
    <t>Physiotherapist | Jan - Person BF - Mashhad Rohin TC  | PV-PaySlip - Inv-PayRoll |</t>
  </si>
  <si>
    <t>Physiotherapist | Jan - Person AF - Mashhad Rohin TC  | PV-PaySlip - Inv-PayRoll |</t>
  </si>
  <si>
    <t>Physiotherapist | Jan - Person BE - Mashhad Rohin TC  | PV-PaySlip - Inv-PayRoll |</t>
  </si>
  <si>
    <t>Physiotherapist | Jan - Person AR - Sarmada TC  | PV-PaySlip - Inv-PayRoll |</t>
  </si>
  <si>
    <t>Physiotherapist | Jan - Person CT - Sarmada TC  | PV-PaySlip - Inv-PayRoll |</t>
  </si>
  <si>
    <t>Physiotherapist | Jan - Person AQ - Sarmada TC  | PV-PaySlip - Inv-PayRoll |</t>
  </si>
  <si>
    <t>Physiotherapist | Jan - Person AY - Sarmada TC  | PV-PaySlip - Inv-PayRoll |</t>
  </si>
  <si>
    <t>Physiotherapist | Jan - Person DD - Sarmada TC  | PV-PaySlip - Inv-PayRoll |</t>
  </si>
  <si>
    <t>Total for 1.04 - Physiotherapist - 121137 - ID157H24 - Sarmad &amp; Mashhad Rohin Physiotherapy and Artificial ...</t>
  </si>
  <si>
    <t>1.05 - PSW - 121137 - ID157H24 - Sarmad &amp; Mashhad Rohin Physiotherapy and Artificial Limbs Centers</t>
  </si>
  <si>
    <t>PSW | Aug - Person AS - Ariha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</si>
  <si>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.....:1.05 - PSW - 121137 - ID157H24 - Sarmad &amp; Mashhad Rohin Physiotherapy and Artificial Limbs Centers</t>
  </si>
  <si>
    <t>PSW | Aug - Person DA - Mashhad Rohin TC  | PV-PaySlip - Inv-PayRoll |</t>
  </si>
  <si>
    <t>PSW | Aug - Person AC - Sarmada TC  | PV-PaySlip - Inv-PayRoll |</t>
  </si>
  <si>
    <t>PSW | Aug - Person X - Sarmada TC  | PV-PaySlip - Inv-PayRoll |</t>
  </si>
  <si>
    <t>PSW | Sep - Person AD - Ariha TC  | PV-PaySlip - Inv-PayRoll |</t>
  </si>
  <si>
    <t>PSW | Sep - Person AS - Ariha TC  | PV-PaySlip - Inv-PayRoll |</t>
  </si>
  <si>
    <t>PSW | Sep - Person DA - Mashhad Rohin TC  | PV-PaySlip - Inv-PayRoll |</t>
  </si>
  <si>
    <t>PSW | Sep - Person DI - Mashhad Rohin TC  | PV-PaySlip - Inv-PayRoll |</t>
  </si>
  <si>
    <t>PSW | Sep - Person AC - Sarmada TC  | PV-PaySlip - Inv-PayRoll |</t>
  </si>
  <si>
    <t>PSW | Sep - Person X - Sarmada TC  | PV-PaySlip - Inv-PayRoll |</t>
  </si>
  <si>
    <t>PSW | Oct - Person AD - Ariha TC  | PV-PaySlip - Inv-PayRoll |</t>
  </si>
  <si>
    <t>PSW | Oct - Person AS - Ariha TC  | PV-PaySlip - Inv-PayRoll |</t>
  </si>
  <si>
    <t>PSW | Oct - Person DA - Mashhad Rohin TC  | PV-PaySlip - Inv-PayRoll |</t>
  </si>
  <si>
    <t>PSW | Oct - Person DI - Mashhad Rohin TC  | PV-PaySlip - Inv-PayRoll |</t>
  </si>
  <si>
    <t>PSW | Oct - Person AC - Sarmada TC  | PV-PaySlip - Inv-PayRoll |</t>
  </si>
  <si>
    <t>PSW | Oct - Person X - Sarmada TC  | PV-PaySlip - Inv-PayRoll |</t>
  </si>
  <si>
    <t>PSW | Nov - Person AD - Ariha TC  | PV-PaySlip - Inv-PayRoll |</t>
  </si>
  <si>
    <t>PSW | Nov - Person AS - Ariha TC  | PV-PaySlip - Inv-PayRoll |</t>
  </si>
  <si>
    <t>PSW | Nov - Person DA - Mashhad Rohin TC  | PV-PaySlip - Inv-PayRoll |</t>
  </si>
  <si>
    <t>PSW | Nov - Person DI - Mashhad Rohin TC  | PV-PaySlip - Inv-PayRoll |</t>
  </si>
  <si>
    <t>PSW | Nov - Person AC - Sarmada TC  | PV-PaySlip - Inv-PayRoll |</t>
  </si>
  <si>
    <t>PSW | Nov - Person X - Sarmada TC  | PV-PaySlip - Inv-PayRoll |</t>
  </si>
  <si>
    <t>PSW | Dec - Person AD - Ariha TC  | PV-PaySlip - Inv-PayRoll |</t>
  </si>
  <si>
    <t>PSW | Dec - Person AS - Ariha TC  | PV-PaySlip - Inv-PayRoll |</t>
  </si>
  <si>
    <t>PSW | Dec - Person DA - Mashhad Rohin TC  | PV-PaySlip - Inv-PayRoll |</t>
  </si>
  <si>
    <t>PSW | Dec - Person DI - Mashhad Rohin TC  | PV-PaySlip - Inv-PayRoll |</t>
  </si>
  <si>
    <t>PSW | Dec - Person AC - Sarmada TC  | PV-PaySlip - Inv-PayRoll |</t>
  </si>
  <si>
    <t>PSW | Dec - Person X - Sarmada TC  | PV-PaySlip - Inv-PayRoll |</t>
  </si>
  <si>
    <t>PSW | Jan - Person AD - Ariha TC  | PV-PaySlip - Inv-PayRoll |</t>
  </si>
  <si>
    <t>PSW | Jan - Person AS - Ariha TC  | PV-PaySlip - Inv-PayRoll |</t>
  </si>
  <si>
    <t>PSW | Jan - Person DA - Mashhad Rohin TC  | PV-PaySlip - Inv-PayRoll |</t>
  </si>
  <si>
    <t>PSW | Jan - Person DI - Mashhad Rohin TC  | PV-PaySlip - Inv-PayRoll |</t>
  </si>
  <si>
    <t>PSW | Jan - Person AC - Sarmada TC  | PV-PaySlip - Inv-PayRoll |</t>
  </si>
  <si>
    <t>PSW | Jan - Person X - Sarmada TC  | PV-PaySlip - Inv-PayRoll |</t>
  </si>
  <si>
    <t>Total for 1.05 - PSW - 121137 - ID157H24 - Sarmad &amp; Mashhad Rohin Physiotherapy and Artificial Limbs Centers</t>
  </si>
  <si>
    <t>1.06 - Artificial Limbs Technician - 121137 - ID157H24 - Sarmad &amp; Mashhad Rohin Physiotherapy and...</t>
  </si>
  <si>
    <t>Artificial Limbs Technician | Aug - Person BI - Sarmada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</si>
  <si>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.....:1.06 - Artificial Limbs Technician - 121137 - ID157H24 - Sarmad &amp; Mashhad Rohin Physiotherapy and...</t>
  </si>
  <si>
    <t>Artificial Limbs Technician | Sep - Person BI - Sarmada TC  | PV-PaySlip - Inv-PayRoll |</t>
  </si>
  <si>
    <t>Artificial Limbs Technician | Oct - Person BI - Sarmada TC  | PV-PaySlip - Inv-PayRoll |</t>
  </si>
  <si>
    <t>Artificial Limbs Technician | Nov - Person BI - Sarmada TC  | PV-PaySlip - Inv-PayRoll |</t>
  </si>
  <si>
    <t>Artificial Limbs Technician | Dec - Person BI - Sarmada TC  | PV-PaySlip - Inv-PayRoll |</t>
  </si>
  <si>
    <t>Artificial Limbs Technician | Jan - Person BI - Sarmada TC  | PV-PaySlip - Inv-PayRoll |</t>
  </si>
  <si>
    <t>Total for 1.06 - Artificial Limbs Technician - 121137 - ID157H24 - Sarmad &amp; Mashhad Rohin Physiotherapy and...</t>
  </si>
  <si>
    <t>1.07 - Artificial Limbs Assistant - 121137 - ID157H24 - Sarmad &amp; Mashhad Rohin Physiotherapy and....</t>
  </si>
  <si>
    <t>Artificial Limbs Assistant | Aug - Person CY - Sarmada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</si>
  <si>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.....:1.07 - Artificial Limbs Assistant - 121137 - ID157H24 - Sarmad &amp; Mashhad Rohin Physiotherapy and....</t>
  </si>
  <si>
    <t>Artificial Limbs Assistant | Sep - Person CY - Sarmada TC  | PV-PaySlip - Inv-PayRoll |</t>
  </si>
  <si>
    <t>Artificial Limbs Assistant | Oct - Person CY - Sarmada TC  | PV-PaySlip - Inv-PayRoll |</t>
  </si>
  <si>
    <t>Artificial Limbs Assistant | Nov - Person CY - Sarmada TC  | PV-PaySlip - Inv-PayRoll |</t>
  </si>
  <si>
    <t>Artificial Limbs Assistant | Dec - Person CY - Sarmada TC  | PV-PaySlip - Inv-PayRoll |</t>
  </si>
  <si>
    <t>Artificial Limbs Assistant | Jan - Person CY - Sarmada TC  | PV-PaySlip - Inv-PayRoll |</t>
  </si>
  <si>
    <t>Total for 1.07 - Artificial Limbs Assistant - 121137 - ID157H24 - Sarmad &amp; Mashhad Rohin Physiotherapy and....</t>
  </si>
  <si>
    <t>1.08 - Guard - 121137 - ID157H24 - Sarmad &amp; Mashhad Rohin Physiotherapy and Artificial Limbs Centers</t>
  </si>
  <si>
    <t>Guard | Aug - Person BH - Ariha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</si>
  <si>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.....:1.08 - Guard - 121137 - ID157H24 - Sarmad &amp; Mashhad Rohin Physiotherapy and Artificial Limbs Centers</t>
  </si>
  <si>
    <t>Guard | Aug - Person BK - Mashhad Rohin TC  | PV-PaySlip - Inv-PayRoll |</t>
  </si>
  <si>
    <t>Guard | Aug - Person B - Sarmada TC  | PV-PaySlip - Inv-PayRoll |</t>
  </si>
  <si>
    <t>Guard | Sep - Person BH - Ariha TC  | PV-PaySlip - Inv-PayRoll |</t>
  </si>
  <si>
    <t>Guard | Sep - Person BK - Mashhad Rohin TC  | PV-PaySlip - Inv-PayRoll |</t>
  </si>
  <si>
    <t>Guard | Sep - Person B - Sarmada TC  | PV-PaySlip - Inv-PayRoll |</t>
  </si>
  <si>
    <t>Guard | Oct - Person BH - Ariha TC  | PV-PaySlip - Inv-PayRoll |</t>
  </si>
  <si>
    <t>Guard | Oct - Person BK - Mashhad Rohin TC  | PV-PaySlip - Inv-PayRoll |</t>
  </si>
  <si>
    <t>Guard | Oct - Person B - Sarmada TC  | PV-PaySlip - Inv-PayRoll |</t>
  </si>
  <si>
    <t>Guard | Nov - Person BH - Ariha TC  | PV-PaySlip - Inv-PayRoll |</t>
  </si>
  <si>
    <t>Guard | Nov - Person BK - Mashhad Rohin TC  | PV-PaySlip - Inv-PayRoll |</t>
  </si>
  <si>
    <t>Guard | Nov - Person B - Sarmada TC  | PV-PaySlip - Inv-PayRoll |</t>
  </si>
  <si>
    <t>Guard | Dec - Person BH - Ariha TC  | PV-PaySlip - Inv-PayRoll |</t>
  </si>
  <si>
    <t>Guard | Dec - Person BK - Mashhad Rohin TC  | PV-PaySlip - Inv-PayRoll |</t>
  </si>
  <si>
    <t>Guard | Dec - Person B - Sarmada TC  | PV-PaySlip - Inv-PayRoll |</t>
  </si>
  <si>
    <t>Guard | Jan - Person BH - Ariha TC  | PV-PaySlip - Inv-PayRoll |</t>
  </si>
  <si>
    <t>Guard | Jan - Person BK - Mashhad Rohin TC  | PV-PaySlip - Inv-PayRoll |</t>
  </si>
  <si>
    <t>Guard | Jan - Person B - Sarmada TC  | PV-PaySlip - Inv-PayRoll |</t>
  </si>
  <si>
    <t>Total for 1.08 - Guard - 121137 - ID157H24 - Sarmad &amp; Mashhad Rohin Physiotherapy and Artificial Limbs Centers</t>
  </si>
  <si>
    <t>1.09 - Person CX - 121137 - ID157H24 - Sarmad &amp; Mashhad Rohin Physiotherapy and Artificial Limb</t>
  </si>
  <si>
    <t>Person CX | Aug - Person BJ - Ariha TC  | PV-PaySlip - Inv-PayRoll |</t>
  </si>
  <si>
    <t>12. Expenses:121. Direct expenses ( Projects ):121137 - ID157H24 - Sarmad &amp; Mashhad Rohin Physiotherapy and Artificial Limbs Centers:A - Staff and Other Personnel Costs - 121137 - ID157H24 - Sarmad &amp; Mashhad Rohin Physiotherapy .....:1.09 - Person CX - 121137 - ID157H24 - Sarmad &amp; Mashhad Rohin Physiotherapy and Artificial Limb</t>
  </si>
  <si>
    <t>Person CX | Aug - Person BD - Mashhad Rohin TC  | PV-PaySlip - Inv-PayRoll |</t>
  </si>
  <si>
    <t>Person CX | Aug - Person BA - Sarmada TC  | PV-PaySlip - Inv-PayRoll |</t>
  </si>
  <si>
    <t>Person CX | Sep - Person BJ - Ariha TC  | PV-PaySlip - Inv-PayRoll |</t>
  </si>
  <si>
    <t>Person CX | Sep - Person BD - Mashhad Rohin TC  | PV-PaySlip - Inv-PayRoll |</t>
  </si>
  <si>
    <t>Person CX | Sep - Person BA - Sarmada TC  | PV-PaySlip - Inv-PayRoll |</t>
  </si>
  <si>
    <t>Person CX | Oct - Person BJ - Ariha TC  | PV-PaySlip - Inv-PayRoll |</t>
  </si>
  <si>
    <t>Person CX | Oct - Person BD - Mashhad Rohin TC  | PV-PaySlip - Inv-PayRoll |</t>
  </si>
  <si>
    <t>Person CX | Oct - Person BA - Sarmada TC  | PV-PaySlip - Inv-PayRoll |</t>
  </si>
  <si>
    <t>Person CX | Nov - Person BJ - Ariha TC  | PV-PaySlip - Inv-PayRoll |</t>
  </si>
  <si>
    <t>Person CX | Nov - Person BD - Mashhad Rohin TC  | PV-PaySlip - Inv-PayRoll |</t>
  </si>
  <si>
    <t>Person CX | Nov - Person BA - Sarmada TC  | PV-PaySlip - Inv-PayRoll |</t>
  </si>
  <si>
    <t>Person CX | Dec - Person BJ - Ariha TC  | PV-PaySlip - Inv-PayRoll |</t>
  </si>
  <si>
    <t>Person CX | Dec - Person BD - Mashhad Rohin TC  | PV-PaySlip - Inv-PayRoll |</t>
  </si>
  <si>
    <t>Person CX | Dec - Person BA - Sarmada TC  | PV-PaySlip - Inv-PayRoll |</t>
  </si>
  <si>
    <t>Person CX | Jan - Person BJ - Ariha TC  | PV-PaySlip - Inv-PayRoll |</t>
  </si>
  <si>
    <t>Person CX | Jan - Person BD - Mashhad Rohin TC  | PV-PaySlip - Inv-PayRoll |</t>
  </si>
  <si>
    <t>Person CX | Jan - Person BA - Sarmada TC  | PV-PaySlip - Inv-PayRoll |</t>
  </si>
  <si>
    <t>Total for 1.09 - Person CX - 121137 - ID157H24 - Sarmad &amp; Mashhad Rohin Physiotherapy and Artificial Limb</t>
  </si>
  <si>
    <t>Total for A - Staff and Other Personnel Costs - 121137 - ID157H24 - Sarmad &amp; Mashhad Rohin Physiotherapy ..... with sub-accounts</t>
  </si>
  <si>
    <t>B - Supplies, Commodities, Materials - 121137 - ID157H24 - Sarmad &amp; Mashhad Rohin Physiotherapy a...</t>
  </si>
  <si>
    <t>2.01 - Laptops - 121137 - ID157H24 - Sarmad &amp; Mashhad Rohin Physiotherapy and Artificial Limbs Ce...</t>
  </si>
  <si>
    <t>19/08/2024</t>
  </si>
  <si>
    <t>18027</t>
  </si>
  <si>
    <t>Laptops | Aug - Alkhoarzmi Center - Ahmed Haj Latouf -  | PV-PTT - Inv-0956 |</t>
  </si>
  <si>
    <t>12. Expenses:121. Direct expenses ( Projects ):121137 - ID157H24 - Sarmad &amp; Mashhad Rohin Physiotherapy and Artificial Limbs Centers:B - Supplies, Commodities, Materials - 121137 - ID157H24 - Sarmad &amp; Mashhad Rohin Physiotherapy a...:2.01 - Laptops - 121137 - ID157H24 - Sarmad &amp; Mashhad Rohin Physiotherapy and Artificial Limbs Ce...</t>
  </si>
  <si>
    <t>Total for 2.01 - Laptops - 121137 - ID157H24 - Sarmad &amp; Mashhad Rohin Physiotherapy and Artificial Limbs Ce...</t>
  </si>
  <si>
    <t>2.02 - Electricity - 121137 - ID157H24 - Sarmad &amp; Mashhad Rohin Physiotherapy and Artificial Limb...</t>
  </si>
  <si>
    <t>11/08/2024</t>
  </si>
  <si>
    <t>18026</t>
  </si>
  <si>
    <t>Electricity | Aug - Green Energy  - Sarmada TC  | PV-PTT - Inv-8337353 + 8336799 |</t>
  </si>
  <si>
    <t>12. Expenses:121. Direct expenses ( Projects ):121137 - ID157H24 - Sarmad &amp; Mashhad Rohin Physiotherapy and Artificial Limbs Centers:B - Supplies, Commodities, Materials - 121137 - ID157H24 - Sarmad &amp; Mashhad Rohin Physiotherapy a...:2.02 - Electricity - 121137 - ID157H24 - Sarmad &amp; Mashhad Rohin Physiotherapy and Artificial Limb...</t>
  </si>
  <si>
    <t>09/09/2024</t>
  </si>
  <si>
    <t>18036</t>
  </si>
  <si>
    <t>Electricity | Sep - Green Energy  - Ariha TC  | PV-PTT - Inv-8793393 |</t>
  </si>
  <si>
    <t>15/09/2024</t>
  </si>
  <si>
    <t>18039</t>
  </si>
  <si>
    <t>Electricity | Sep - Green Energy  - Sarmada TC  | PV-PTT - Inv-8878095+2734894 |</t>
  </si>
  <si>
    <t>18046</t>
  </si>
  <si>
    <t>Electricity | Sep - Green Energy  - Ariha TC  | PV-PTT - Inv-9087858 |</t>
  </si>
  <si>
    <t>22/10/2024</t>
  </si>
  <si>
    <t>18055</t>
  </si>
  <si>
    <t>Electricity | Oct - Green Energy  - Ariha TC  | PV-PTT - Inv-9372790 |</t>
  </si>
  <si>
    <t>18056</t>
  </si>
  <si>
    <t>Electricity | Oct - Green Energy  - Sarmada TC  | PV-PTT - Inv-9371090+2943670 |</t>
  </si>
  <si>
    <t>26/11/2024</t>
  </si>
  <si>
    <t>18213</t>
  </si>
  <si>
    <t>Electricity | Nov - Green Energy  - Sarmada TC  | PV-PTT - Inv-9782453+3145278 |</t>
  </si>
  <si>
    <t>18214</t>
  </si>
  <si>
    <t>Electricity | Nov - Green Energy  - Ariha TC  | PV-PTT - Inv-9831080 |</t>
  </si>
  <si>
    <t>02/12/2024</t>
  </si>
  <si>
    <t>18269</t>
  </si>
  <si>
    <t>Electricity | Dec -  Jod Heating Center - Wahid Hazarini - Mashhad Rohin TC  | PV-PTT - Inv-8405 |</t>
  </si>
  <si>
    <t>11/12/2024</t>
  </si>
  <si>
    <t>18272</t>
  </si>
  <si>
    <t>Electricity | Dec - Green Energy  - Sarmada TC  | PV-PTT - Inv-9953966+3256688 |</t>
  </si>
  <si>
    <t>15/12/2024</t>
  </si>
  <si>
    <t>18274</t>
  </si>
  <si>
    <t>Electricity | Dec - Green Energy  - Sarmada TC  | PV-PTT - Inv-10002343 |</t>
  </si>
  <si>
    <t>21/12/2024</t>
  </si>
  <si>
    <t>18275</t>
  </si>
  <si>
    <t>Electricity | Dec - Green Energy  - Sarmada TC  | PV-PTT - Inv-10070499 |</t>
  </si>
  <si>
    <t>29/12/2024</t>
  </si>
  <si>
    <t>18276</t>
  </si>
  <si>
    <t>Electricity | Dec - Green Energy  - Ariha TC  | PV-PTT - Inv-10181380 |</t>
  </si>
  <si>
    <t>02/01/2025</t>
  </si>
  <si>
    <t>18720</t>
  </si>
  <si>
    <t>Electricity | Jan - Green Energy  - Sarmada TC  | PV-PTT - Inv-10251594+3373547 |</t>
  </si>
  <si>
    <t>06/01/2025</t>
  </si>
  <si>
    <t>18724</t>
  </si>
  <si>
    <t>Electricity | Jan - Green Energy  - Sarmada TC  | PV-PTT - Inv-10298853 |</t>
  </si>
  <si>
    <t>28/01/2025</t>
  </si>
  <si>
    <t>18732</t>
  </si>
  <si>
    <t>Electricity | Jan - Green Energy  - Ariha TC  | PV-PTT - Inv-10553551 |</t>
  </si>
  <si>
    <t>Total for 2.02 - Electricity - 121137 - ID157H24 - Sarmad &amp; Mashhad Rohin Physiotherapy and Artificial Limb...</t>
  </si>
  <si>
    <t>2.03 - Installment of artificial limb - 121137 - ID157H24 - Sarmad &amp; Mashhad Rohin Physiotherapy....</t>
  </si>
  <si>
    <t>12/09/2024</t>
  </si>
  <si>
    <t>18038</t>
  </si>
  <si>
    <t>Installment of artificial limb | Sep - Boşnak Ve Ridvan Group Medikal İth. İhr. Ltd. Şti. - Sarmada TC  | PV-F07062 - Inv-BRM2024000000032 |</t>
  </si>
  <si>
    <t>12. Expenses:121. Direct expenses ( Projects ):121137 - ID157H24 - Sarmad &amp; Mashhad Rohin Physiotherapy and Artificial Limbs Centers:B - Supplies, Commodities, Materials - 121137 - ID157H24 - Sarmad &amp; Mashhad Rohin Physiotherapy a...:2.03 - Installment of artificial limb - 121137 - ID157H24 - Sarmad &amp; Mashhad Rohin Physiotherapy....</t>
  </si>
  <si>
    <t>24/09/2024</t>
  </si>
  <si>
    <t>18042</t>
  </si>
  <si>
    <t>Installment of artificial limb | Sep - Person U - Abdelhamid Obaid  - Sarmada TC  | PV-PTT - Inv-IH20240924 |</t>
  </si>
  <si>
    <t>27/01/2025</t>
  </si>
  <si>
    <t>18731</t>
  </si>
  <si>
    <t>Installment of artificial limb | Jan - Person U - Abdelhamid Obaid  - Sarmada TC  | PV-PTT - Inv-IH202500002712 |</t>
  </si>
  <si>
    <t>Total for 2.03 - Installment of artificial limb - 121137 - ID157H24 - Sarmad &amp; Mashhad Rohin Physiotherapy....</t>
  </si>
  <si>
    <t>2.04 - Maintenance of artificial limb - 121137 - ID157H24 - Sarmad &amp; Mashhad Rohin Physiotherapy....</t>
  </si>
  <si>
    <t>Maintenance of artificial limb | Jan - Person U - Abdelhamid Obaid  - Sarmada TC  | PV-PTT - Inv-IH202500002712 |</t>
  </si>
  <si>
    <t>12. Expenses:121. Direct expenses ( Projects ):121137 - ID157H24 - Sarmad &amp; Mashhad Rohin Physiotherapy and Artificial Limbs Centers:B - Supplies, Commodities, Materials - 121137 - ID157H24 - Sarmad &amp; Mashhad Rohin Physiotherapy a...:2.04 - Maintenance of artificial limb - 121137 - ID157H24 - Sarmad &amp; Mashhad Rohin Physiotherapy....</t>
  </si>
  <si>
    <t>Total for 2.04 - Maintenance of artificial limb - 121137 - ID157H24 - Sarmad &amp; Mashhad Rohin Physiotherapy....</t>
  </si>
  <si>
    <t>2.05 - Maintenance of silicon for the artificial limb - 121137 - ID157H24 - Sarmad &amp; Mashhad Rohi...</t>
  </si>
  <si>
    <t>Maintenance of silicon for the artificial limb | Jan - Person U - Abdelhamid Obaid  - Sarmada TC  | PV-PTT - Inv-IH202500002712 |</t>
  </si>
  <si>
    <t>12. Expenses:121. Direct expenses ( Projects ):121137 - ID157H24 - Sarmad &amp; Mashhad Rohin Physiotherapy and Artificial Limbs Centers:B - Supplies, Commodities, Materials - 121137 - ID157H24 - Sarmad &amp; Mashhad Rohin Physiotherapy a...:2.05 - Maintenance of silicon for the artificial limb - 121137 - ID157H24 - Sarmad &amp; Mashhad Rohi...</t>
  </si>
  <si>
    <t>Total for 2.05 - Maintenance of silicon for the artificial limb - 121137 - ID157H24 - Sarmad &amp; Mashhad Rohi...</t>
  </si>
  <si>
    <t>2.06 - Person BM - 121137 - ID157H24 - Sarmad &amp; Mashhad Rohin Physiotherapy and...</t>
  </si>
  <si>
    <t>19/09/2024</t>
  </si>
  <si>
    <t>18041</t>
  </si>
  <si>
    <t>Person BM | Sep -  Abo Obaida Company for Building Materials - Ibrahim Haj Hamoud - Mashhad Rohin TC  | PV-PTT - Inv-0043132 |</t>
  </si>
  <si>
    <t>12. Expenses:121. Direct expenses ( Projects ):121137 - ID157H24 - Sarmad &amp; Mashhad Rohin Physiotherapy and Artificial Limbs Centers:B - Supplies, Commodities, Materials - 121137 - ID157H24 - Sarmad &amp; Mashhad Rohin Physiotherapy a...:2.06 - Person BM - 121137 - ID157H24 - Sarmad &amp; Mashhad Rohin Physiotherapy and...</t>
  </si>
  <si>
    <t>Total for 2.06 - Person BM - 121137 - ID157H24 - Sarmad &amp; Mashhad Rohin Physiotherapy and...</t>
  </si>
  <si>
    <t>2.07 - Person CV - 121137 - ID157H24 - Sarmad &amp; Mashhad Rohin Physiotherapy and ...</t>
  </si>
  <si>
    <t>25/08/2024</t>
  </si>
  <si>
    <t>18028</t>
  </si>
  <si>
    <t>Person CV | Aug -  Watad Company for Painting - Muhammet adil Vted - Sarmada TC  | PV-PTT - Inv-839 |</t>
  </si>
  <si>
    <t>12. Expenses:121. Direct expenses ( Projects ):121137 - ID157H24 - Sarmad &amp; Mashhad Rohin Physiotherapy and Artificial Limbs Centers:B - Supplies, Commodities, Materials - 121137 - ID157H24 - Sarmad &amp; Mashhad Rohin Physiotherapy a...:2.07 - Person CV - 121137 - ID157H24 - Sarmad &amp; Mashhad Rohin Physiotherapy and ...</t>
  </si>
  <si>
    <t>29/08/2024</t>
  </si>
  <si>
    <t>18029</t>
  </si>
  <si>
    <t>Person CV | Aug - Person AX - Mahmud Halaj - Sarmada TC  | PV-PTT - Inv-0028801 |</t>
  </si>
  <si>
    <t>18037</t>
  </si>
  <si>
    <t>Person CV | Sep -  Abo Obaida Company for Building Materials - Ibrahim Haj Hamoud - Mashhad Rohin TC  | PV-PTT - Inv-0043130 |</t>
  </si>
  <si>
    <t>Total for 2.07 - Person CV - 121137 - ID157H24 - Sarmad &amp; Mashhad Rohin Physiotherapy and ...</t>
  </si>
  <si>
    <t>2.08 - Cleaning materials - 121137 - ID157H24 - Sarmad &amp; Mashhad Rohin Physiotherapy and Artificia..</t>
  </si>
  <si>
    <t>18047</t>
  </si>
  <si>
    <t>Cleaning materials | Sep - Resho for cleaning Materials - Mustafa Alahmad -  | PV-PTT - Inv-03072 |</t>
  </si>
  <si>
    <t>12. Expenses:121. Direct expenses ( Projects ):121137 - ID157H24 - Sarmad &amp; Mashhad Rohin Physiotherapy and Artificial Limbs Centers:B - Supplies, Commodities, Materials - 121137 - ID157H24 - Sarmad &amp; Mashhad Rohin Physiotherapy a...:2.08 - Cleaning materials - 121137 - ID157H24 - Sarmad &amp; Mashhad Rohin Physiotherapy and Artificia..</t>
  </si>
  <si>
    <t>Total for 2.08 - Cleaning materials - 121137 - ID157H24 - Sarmad &amp; Mashhad Rohin Physiotherapy and Artificia..</t>
  </si>
  <si>
    <t>2.09 - Perdiem for inpatient - 121137 - ID157H24 - Sarmad &amp; Mashhad Rohin Physiotherapy and Artifi..</t>
  </si>
  <si>
    <t>08/08/2024</t>
  </si>
  <si>
    <t>18220</t>
  </si>
  <si>
    <t>Perdiem for inpatient | Aug - Person BX - Ariha TC  | PV-221 - Inv-Patient attendance |</t>
  </si>
  <si>
    <t>12. Expenses:121. Direct expenses ( Projects ):121137 - ID157H24 - Sarmad &amp; Mashhad Rohin Physiotherapy and Artificial Limbs Centers:B - Supplies, Commodities, Materials - 121137 - ID157H24 - Sarmad &amp; Mashhad Rohin Physiotherapy a...:2.09 - Perdiem for inpatient - 121137 - ID157H24 - Sarmad &amp; Mashhad Rohin Physiotherapy and Artifi..</t>
  </si>
  <si>
    <t>Perdiem for inpatient | Aug - Person CI - Ariha TC  | PV-222 - Inv-Patient attendance |</t>
  </si>
  <si>
    <t>Perdiem for inpatient | Aug - Person W  - Ariha TC  | PV-223 - Inv-Patient attendance |</t>
  </si>
  <si>
    <t>Perdiem for inpatient | Aug - Person BS  - Ariha TC  | PV-224 - Inv-Patient attendance |</t>
  </si>
  <si>
    <t>Perdiem for inpatient | Aug - Person AZ  - Ariha TC  | PV-225 - Inv-Patient attendance |</t>
  </si>
  <si>
    <t>13/08/2024</t>
  </si>
  <si>
    <t>18221</t>
  </si>
  <si>
    <t>Perdiem for inpatient | Aug - Person CK  - Ariha TC  | PV-226 - Inv-Patient attendance |</t>
  </si>
  <si>
    <t>14/08/2024</t>
  </si>
  <si>
    <t>18222</t>
  </si>
  <si>
    <t>Perdiem for inpatient | Aug - Person AV  - Ariha TC  | PV-227 - Inv-Patient attendance |</t>
  </si>
  <si>
    <t>15/08/2024</t>
  </si>
  <si>
    <t>18223</t>
  </si>
  <si>
    <t>Perdiem for inpatient | Aug - Person BR  - Ariha TC  | PV-228 - Inv-Patient attendance |</t>
  </si>
  <si>
    <t>Perdiem for inpatient | Aug - Person R  - Ariha TC  | PV-229 - Inv-Patient attendance |</t>
  </si>
  <si>
    <t>Perdiem for inpatient | Aug - Person M - Ariha TC  | PV-230 - Inv-Patient attendance |</t>
  </si>
  <si>
    <t>21/08/2024</t>
  </si>
  <si>
    <t>18224</t>
  </si>
  <si>
    <t>Perdiem for inpatient | Aug - Person AJ  - Ariha TC  | PV-231 - Inv-Patient attendance |</t>
  </si>
  <si>
    <t>Perdiem for inpatient | Aug - Person AL  - Ariha TC  | PV-232 - Inv-Patient attendance |</t>
  </si>
  <si>
    <t>22/08/2024</t>
  </si>
  <si>
    <t>18225</t>
  </si>
  <si>
    <t>Perdiem for inpatient | Aug - Person S - Ariha TC  | PV-233 - Inv-Patient attendance |</t>
  </si>
  <si>
    <t>18226</t>
  </si>
  <si>
    <t>Perdiem for inpatient | Aug - Person CD - Ariha TC  | PV-234 - Inv-Patient attendance |</t>
  </si>
  <si>
    <t>04/09/2024</t>
  </si>
  <si>
    <t>18227</t>
  </si>
  <si>
    <t>Perdiem for inpatient | Sep - Person AA  - Ariha TC  | PV-235 - Inv-Patient attendance |</t>
  </si>
  <si>
    <t>Perdiem for inpatient | Sep - Person BO  - Ariha TC  | PV-236 - Inv-Patient attendance |</t>
  </si>
  <si>
    <t>Perdiem for inpatient | Sep - Person T - Ariha TC  | PV-237 - Inv-Patient attendance |</t>
  </si>
  <si>
    <t>10/09/2024</t>
  </si>
  <si>
    <t>18228</t>
  </si>
  <si>
    <t>Perdiem for inpatient | Sep - Person CP - Ariha TC  | PV-238 - Inv-Patient attendance |</t>
  </si>
  <si>
    <t>11/09/2024</t>
  </si>
  <si>
    <t>18229</t>
  </si>
  <si>
    <t>Perdiem for inpatient | Sep - Person DC - Ariha TC  | PV-239 - Inv-Patient attendance |</t>
  </si>
  <si>
    <t>Perdiem for inpatient | Sep - Person DB  - Ariha TC  | PV-240 - Inv-Patient attendance |</t>
  </si>
  <si>
    <t>18230</t>
  </si>
  <si>
    <t>Perdiem for inpatient | Sep - Person BQ - Ariha TC  | PV-241 - Inv-Patient attendance |</t>
  </si>
  <si>
    <t>Perdiem for inpatient | Sep - Person CB - Ariha TC  | PV-242 - Inv-Patient attendance |</t>
  </si>
  <si>
    <t>18/09/2024</t>
  </si>
  <si>
    <t>18231</t>
  </si>
  <si>
    <t>Perdiem for inpatient | Sep - Person CR  - Ariha TC  | PV-243 - Inv-Patient attendance |</t>
  </si>
  <si>
    <t>18232</t>
  </si>
  <si>
    <t>Perdiem for inpatient | Sep - Person CH  - Ariha TC  | PV-244 - Inv-Patient attendance |</t>
  </si>
  <si>
    <t>Perdiem for inpatient | Sep - Person AK - Ariha TC  | PV-245 - Inv-Patient attendance |</t>
  </si>
  <si>
    <t>Perdiem for inpatient | Sep - Person DF  - Ariha TC  | PV-246 - Inv-Patient attendance |</t>
  </si>
  <si>
    <t>18233</t>
  </si>
  <si>
    <t>Perdiem for inpatient | Sep - Person G  - Ariha TC  | PV-247 - Inv-Patient attendance |</t>
  </si>
  <si>
    <t>Perdiem for inpatient | Sep - Person BV  - Ariha TC  | PV-248 - Inv-Patient attendance |</t>
  </si>
  <si>
    <t>25/09/2024</t>
  </si>
  <si>
    <t>18234</t>
  </si>
  <si>
    <t>Perdiem for inpatient | Sep - Person Q  - Ariha TC  | PV-249 - Inv-Patient attendance |</t>
  </si>
  <si>
    <t>26/09/2024</t>
  </si>
  <si>
    <t>18235</t>
  </si>
  <si>
    <t>Perdiem for inpatient | Sep - Person AU  - Ariha TC  | PV-250 - Inv-Patient attendance |</t>
  </si>
  <si>
    <t>Perdiem for inpatient | Sep - Person AT  - Ariha TC  | PV-251 - Inv-Patient attendance |</t>
  </si>
  <si>
    <t>18236</t>
  </si>
  <si>
    <t>Perdiem for inpatient | Sep - Person CF  - Ariha TC  | PV-252 - Inv-Patient attendance |</t>
  </si>
  <si>
    <t>02/10/2024</t>
  </si>
  <si>
    <t>18237</t>
  </si>
  <si>
    <t>Perdiem for inpatient | Oct - Person DG  - Ariha TC  | PV-253 - Inv-Patient attendance |</t>
  </si>
  <si>
    <t>Perdiem for inpatient | Oct - Person Z  - Ariha TC  | PV-254 - Inv-Patient attendance |</t>
  </si>
  <si>
    <t>Perdiem for inpatient | Oct - Person H  - Ariha TC  | PV-255 - Inv-Patient attendance |</t>
  </si>
  <si>
    <t>09/10/2024</t>
  </si>
  <si>
    <t>18238</t>
  </si>
  <si>
    <t>Perdiem for inpatient | Oct - Person BN - Ariha TC  | PV-256 - Inv-Patient attendance |</t>
  </si>
  <si>
    <t>10/10/2024</t>
  </si>
  <si>
    <t>18239</t>
  </si>
  <si>
    <t>Perdiem for inpatient | Oct - Person DK - Ariha TC  | PV-258 - Inv-Patient attendance |</t>
  </si>
  <si>
    <t>Perdiem for inpatient | Oct - Person AP  - Ariha TC  | PV-257 - Inv-Patient attendance |</t>
  </si>
  <si>
    <t>16/10/2024</t>
  </si>
  <si>
    <t>18240</t>
  </si>
  <si>
    <t>Perdiem for inpatient | Oct - Person AB  - Ariha TC  | PV-259 - Inv-Patient attendance |</t>
  </si>
  <si>
    <t>17/10/2024</t>
  </si>
  <si>
    <t>18241</t>
  </si>
  <si>
    <t>Perdiem for inpatient | Oct - Person CM  - Ariha TC  | PV-260 - Inv-Patient attendance |</t>
  </si>
  <si>
    <t>Perdiem for inpatient | Oct - Person BP - Ariha TC  | PV-261 - Inv-Patient attendance |</t>
  </si>
  <si>
    <t>Perdiem for inpatient | Oct - Person N - Ariha TC  | PV-262 - Inv-Patient attendance |</t>
  </si>
  <si>
    <t>24/10/2024</t>
  </si>
  <si>
    <t>18242</t>
  </si>
  <si>
    <t>Perdiem for inpatient | Oct - Person V  - Ariha TC  | PV-263 - Inv-Patient attendance |</t>
  </si>
  <si>
    <t>Perdiem for inpatient | Oct - Person O  - Ariha TC  | PV-264 - Inv-Patient attendance |</t>
  </si>
  <si>
    <t>Perdiem for inpatient | Oct - Person F  - Ariha TC  | PV-265 - Inv-Patient attendance |</t>
  </si>
  <si>
    <t>30/10/2024</t>
  </si>
  <si>
    <t>18243</t>
  </si>
  <si>
    <t>Perdiem for inpatient | Oct - Person CA  - Ariha TC  | PV-266 - Inv-Patient attendance |</t>
  </si>
  <si>
    <t>18244</t>
  </si>
  <si>
    <t>Perdiem for inpatient | Oct - Person BU  - Ariha TC  | PV-267 - Inv-Patient attendance |</t>
  </si>
  <si>
    <t>Perdiem for inpatient | Oct - Person DL  - Ariha TC  | PV-268 - Inv-Patient attendance |</t>
  </si>
  <si>
    <t>21/11/2024</t>
  </si>
  <si>
    <t>18712</t>
  </si>
  <si>
    <t>Perdiem for inpatient | Nov - Person DH - Ariha TC  | PV-287 - Inv-Patient attendance |</t>
  </si>
  <si>
    <t>Perdiem for inpatient | Nov - Person L  - Ariha TC  | PV-291 - Inv-Patient attendance |</t>
  </si>
  <si>
    <t>28/11/2024</t>
  </si>
  <si>
    <t>18713</t>
  </si>
  <si>
    <t>Perdiem for inpatient | Nov - Person Y - Ariha TC  | PV-293 - Inv-Patient attendance |</t>
  </si>
  <si>
    <t>Perdiem for inpatient | Nov - Person CZ - Ariha TC  | PV-269 - Inv-Patient attendance |</t>
  </si>
  <si>
    <t>Perdiem for inpatient | Nov - Person BY - Ariha TC  | PV-270 - Inv-Patient attendance |</t>
  </si>
  <si>
    <t>05/12/2024</t>
  </si>
  <si>
    <t>18714</t>
  </si>
  <si>
    <t>Perdiem for inpatient | Dec - Person AH - Ariha TC  | PV-294 - Inv-Patient attendance |</t>
  </si>
  <si>
    <t>Perdiem for inpatient | Dec - Person AI - Ariha TC  | PV-271 - Inv-Patient attendance |</t>
  </si>
  <si>
    <t>Perdiem for inpatient | Dec - Person CN  - Ariha TC  | PV-290 - Inv-Patient attendance |</t>
  </si>
  <si>
    <t>19/12/2024</t>
  </si>
  <si>
    <t>18715</t>
  </si>
  <si>
    <t>Perdiem for inpatient | Dec - Person BC - Ariha TC  | PV-279 - Inv-Patient attendance |</t>
  </si>
  <si>
    <t>26/12/2024</t>
  </si>
  <si>
    <t>18716</t>
  </si>
  <si>
    <t>Perdiem for inpatient | Dec - Person CG  - Ariha TC  | PV-278 - Inv-Patient attendance |</t>
  </si>
  <si>
    <t>18721</t>
  </si>
  <si>
    <t>Perdiem for inpatient | Jan - Person BB - Ariha TC  | PV-277 - Inv-Patient attendance |</t>
  </si>
  <si>
    <t>Perdiem for inpatient | Jan - Person DJ - Ariha TC  | PV-285 - Inv-Patient attendance |</t>
  </si>
  <si>
    <t>09/01/2025</t>
  </si>
  <si>
    <t>18726</t>
  </si>
  <si>
    <t>Perdiem for inpatient | Jan - Person CW - Ariha TC  | PV-274 - Inv-Patient attendance |</t>
  </si>
  <si>
    <t>Perdiem for inpatient | Jan - Person I - Ariha TC  | PV-283 - Inv-Patient attendance |</t>
  </si>
  <si>
    <t>Perdiem for inpatient | Jan - Person CL  - Ariha TC  | PV-289 - Inv-Patient attendance |</t>
  </si>
  <si>
    <t>16/01/2025</t>
  </si>
  <si>
    <t>18729</t>
  </si>
  <si>
    <t>Perdiem for inpatient | Jan - Person CO - Ariha TC  | PV-275 - Inv-Patient attendance |</t>
  </si>
  <si>
    <t>Perdiem for inpatient | Jan - Person CJ - Ariha TC  | PV-281 - Inv-Patient attendance |</t>
  </si>
  <si>
    <t>Perdiem for inpatient | Jan - Person CC - Ariha TC  | PV-292 - Inv-Patient attendance |</t>
  </si>
  <si>
    <t>23/01/2025</t>
  </si>
  <si>
    <t>18730</t>
  </si>
  <si>
    <t>Perdiem for inpatient | Jan - Person BZ - Ariha TC  | PV-272 - Inv-Patient attendance |</t>
  </si>
  <si>
    <t>Perdiem for inpatient | Jan - Person BT - Ariha TC  | PV-282 - Inv-Patient attendance |</t>
  </si>
  <si>
    <t>Perdiem for inpatient | Jan - Person CQ  - Ariha TC  | PV-286 - Inv-Patient attendance |</t>
  </si>
  <si>
    <t>Perdiem for inpatient | Jan - Person BW - Ariha TC  | PV-288 - Inv-Patient attendance |</t>
  </si>
  <si>
    <t>30/01/2025</t>
  </si>
  <si>
    <t>18733</t>
  </si>
  <si>
    <t>Perdiem for inpatient | Jan - Person CE - Ariha TC  | PV-273 - Inv-Patient attendance |</t>
  </si>
  <si>
    <t>Perdiem for inpatient | Jan - Person K - Ariha TC  | PV-276 - Inv-Patient attendance |</t>
  </si>
  <si>
    <t>Perdiem for inpatient | Jan - Person AW - Ariha TC  | PV-280 - Inv-Patient attendance |</t>
  </si>
  <si>
    <t>Perdiem for inpatient | Jan - Person J - Ariha TC  | PV-284 - Inv-Patient attendance |</t>
  </si>
  <si>
    <t>Total for 2.09 - Perdiem for inpatient - 121137 - ID157H24 - Sarmad &amp; Mashhad Rohin Physiotherapy and Artifi..</t>
  </si>
  <si>
    <t>2.11 - Stationry - 121137 - ID157H24 - Sarmad &amp; Mashhad Rohin Physiotherapy and Artificial Limbs....</t>
  </si>
  <si>
    <t>18049</t>
  </si>
  <si>
    <t>Stationry | Oct - Al Ayman Library - Mohamad Abdulkader -  | PV-PTT - Inv-0290 |</t>
  </si>
  <si>
    <t>12. Expenses:121. Direct expenses ( Projects ):121137 - ID157H24 - Sarmad &amp; Mashhad Rohin Physiotherapy and Artificial Limbs Centers:B - Supplies, Commodities, Materials - 121137 - ID157H24 - Sarmad &amp; Mashhad Rohin Physiotherapy a...:2.11 - Stationry - 121137 - ID157H24 - Sarmad &amp; Mashhad Rohin Physiotherapy and Artificial Limbs....</t>
  </si>
  <si>
    <t>Total for 2.11 - Stationry - 121137 - ID157H24 - Sarmad &amp; Mashhad Rohin Physiotherapy and Artificial Limbs....</t>
  </si>
  <si>
    <t>2.12 - Internet - 121137 - ID157H24 - Sarmad &amp; Mashhad Rohin Physiotherapy and Artificial Limbs.....</t>
  </si>
  <si>
    <t>18023</t>
  </si>
  <si>
    <t>Internet | Aug - Ariha Net - Mohamed Zaher Halabia - Ariha TC  | PV-PTT - Inv-9295 |</t>
  </si>
  <si>
    <t>12. Expenses:121. Direct expenses ( Projects ):121137 - ID157H24 - Sarmad &amp; Mashhad Rohin Physiotherapy and Artificial Limbs Centers:B - Supplies, Commodities, Materials - 121137 - ID157H24 - Sarmad &amp; Mashhad Rohin Physiotherapy a...:2.12 - Internet - 121137 - ID157H24 - Sarmad &amp; Mashhad Rohin Physiotherapy and Artificial Limbs.....</t>
  </si>
  <si>
    <t>18024</t>
  </si>
  <si>
    <t>Internet | Aug -  Net Work Speed - Jamal Alnajjar - Mashhad Rohin TC  | PV-PTT - Inv-052 |</t>
  </si>
  <si>
    <t>18025</t>
  </si>
  <si>
    <t>Internet | Aug - BYAN NET - Ahmad Alkhlef - Sarmada TC  | PV-PTT - Inv-0201 |</t>
  </si>
  <si>
    <t>08/09/2024</t>
  </si>
  <si>
    <t>18033</t>
  </si>
  <si>
    <t>Internet | Sep - Ariha Net - Mohamed Zaher Halabia - Ariha TC  | PV-PTT - Inv-9299 |</t>
  </si>
  <si>
    <t>18034</t>
  </si>
  <si>
    <t>Internet | Sep -  Net Work Speed - Jamal Alnajjar - Mashhad Rohin TC  | PV-PTT - Inv-055 |</t>
  </si>
  <si>
    <t>18035</t>
  </si>
  <si>
    <t>Internet | Sep - BYAN NET - Ahmad Alkhlef - Sarmada TC  | PV-PTT - Inv-0206 |</t>
  </si>
  <si>
    <t>07/10/2024</t>
  </si>
  <si>
    <t>18051</t>
  </si>
  <si>
    <t>Internet | Oct - Ariha Net - Mohamed Zaher Halabia - Ariha TC  | PV-PTT - Inv-0044657 |</t>
  </si>
  <si>
    <t>18052</t>
  </si>
  <si>
    <t>Internet | Oct -  Net Work Speed - Jamal Alnajjar - Mashhad Rohin TC  | PV-PTT - Inv-056 |</t>
  </si>
  <si>
    <t>18053</t>
  </si>
  <si>
    <t>Internet | Oct - BYAN NET - Ahmad Alkhlef - Sarmada TC  | PV-PTT - Inv-0209 |</t>
  </si>
  <si>
    <t>04/11/2024</t>
  </si>
  <si>
    <t>18211</t>
  </si>
  <si>
    <t>Internet | Nov - Ariha Net - Mohamed Zaher Halabia - Ariha TC  | PV-PTT - Inv-0044660 |</t>
  </si>
  <si>
    <t>Internet | Nov -  Net Work Speed - Jamal Alnajjar - Mashhad Rohin TC  | PV-PTT - Inv-058 |</t>
  </si>
  <si>
    <t>Internet | Nov - BYAN NET - Ahmad Alkhlef - Sarmada TC  | PV-PTT - Inv-0213 |</t>
  </si>
  <si>
    <t>18273</t>
  </si>
  <si>
    <t>Internet | Dec - Ariha Net - Mohamed Zaher Halabia - Ariha TC  | PV-PTT - Inv-0044664 |</t>
  </si>
  <si>
    <t>Internet | Dec -  Net Work Speed - Jamal Alnajjar - Mashhad Rohin TC  | PV-PTT - Inv-061 |</t>
  </si>
  <si>
    <t>Internet | Dec - BYAN NET - Ahmad Alkhlef - Sarmada TC  | PV-PTT - Inv-0216 |</t>
  </si>
  <si>
    <t>18722</t>
  </si>
  <si>
    <t>Internet | Jan - Ariha Net - Mohamed Zaher Halabia - Ariha TC  | PV-PTT - Inv-0044666 |</t>
  </si>
  <si>
    <t>18723</t>
  </si>
  <si>
    <t>Internet | Jan - BYAN NET - Ahmad Alkhlef - Sarmada TC  | PV-PTT - Inv-0218 |</t>
  </si>
  <si>
    <t>13/01/2025</t>
  </si>
  <si>
    <t>18727</t>
  </si>
  <si>
    <t>Internet | Jan -  Net Work Speed - Jamal Alnajjar - Mashhad Rohin TC  | PV-PTT - Inv-075 |</t>
  </si>
  <si>
    <t>Total for 2.12 - Internet - 121137 - ID157H24 - Sarmad &amp; Mashhad Rohin Physiotherapy and Artificial Limbs.....</t>
  </si>
  <si>
    <t>2.1 - Person AN - 121137 - ID157H24 - Sarmad &amp; Mashhad Rohin Physiotherapy and Artificia..</t>
  </si>
  <si>
    <t>16/09/2024</t>
  </si>
  <si>
    <t>18040</t>
  </si>
  <si>
    <t>Person AN | Sep -  Abo Obaida Company for Building Materials - Ibrahim Haj Hamoud - Mashhad Rohin TC  | PV-PTT - Inv-0043131 |</t>
  </si>
  <si>
    <t>12. Expenses:121. Direct expenses ( Projects ):121137 - ID157H24 - Sarmad &amp; Mashhad Rohin Physiotherapy and Artificial Limbs Centers:B - Supplies, Commodities, Materials - 121137 - ID157H24 - Sarmad &amp; Mashhad Rohin Physiotherapy a...:2.1 - Person AN - 121137 - ID157H24 - Sarmad &amp; Mashhad Rohin Physiotherapy and Artificia..</t>
  </si>
  <si>
    <t>18048</t>
  </si>
  <si>
    <t>Person AN | Sep - Alkhateb Technology - Alaa Alkhateb - Sarmada TC  | PV-PTT - Inv-0043205 |</t>
  </si>
  <si>
    <t>03/10/2024</t>
  </si>
  <si>
    <t>18050</t>
  </si>
  <si>
    <t>Person AN | Oct - Alameen Company - Mohammad Haj Hmede - Sarmada TC  | PV-PTT - Inv-01127 |</t>
  </si>
  <si>
    <t>08/10/2024</t>
  </si>
  <si>
    <t>18054</t>
  </si>
  <si>
    <t>Person AN | Oct - Alkhateb Technology - Alaa Alkhateb - Mashhad Rohin TC  | PV-PTT - Inv-0043208 |</t>
  </si>
  <si>
    <t>Person AN | Nov - Alkhateb Technology - Alaa Alkhateb - Sarmada TC  | PV-PTT - Inv-0043217 |</t>
  </si>
  <si>
    <t>07/11/2024</t>
  </si>
  <si>
    <t>18212</t>
  </si>
  <si>
    <t>Person AN | Nov - Alkhateb Technology - Alaa Alkhateb - Mashhad Rohin TC  | PV-PTT - Inv-0043221 |</t>
  </si>
  <si>
    <t>03/12/2024</t>
  </si>
  <si>
    <t>18270</t>
  </si>
  <si>
    <t>Person AN | Dec - Alkhateb Technology - Alaa Alkhateb - Sarmada TC  | PV-PTT - Inv-43226 |</t>
  </si>
  <si>
    <t>04/12/2024</t>
  </si>
  <si>
    <t>18271</t>
  </si>
  <si>
    <t>Person AN | Dec -  Person P - Ariha TC  | PV-PTT - Inv- 0010690 |</t>
  </si>
  <si>
    <t>Person AN | Dec - Alkhateb Technology - Alaa Alkhateb - Mashhad Rohin TC  | PV-PTT - Inv-43234 |</t>
  </si>
  <si>
    <t>Person AN | Dec - Green Energy  - Ariha TC  | PV-PTT - Inv-448658 |</t>
  </si>
  <si>
    <t>08/01/2025</t>
  </si>
  <si>
    <t>18725</t>
  </si>
  <si>
    <t>Person AN | Jan - Alkhateb Technology - Alaa Alkhateb - Mashhad Rohin TC  | PV-PTT - Inv-43240 |</t>
  </si>
  <si>
    <t>14/01/2025</t>
  </si>
  <si>
    <t>18728</t>
  </si>
  <si>
    <t>Person AN | Jan - Alkhateb Technology - Alaa Alkhateb - Sarmada TC  | PV-PTT - Inv-43243 |</t>
  </si>
  <si>
    <t>Total for 2.1 - Person AN - 121137 - ID157H24 - Sarmad &amp; Mashhad Rohin Physiotherapy and Artificia..</t>
  </si>
  <si>
    <t>Total for B - Supplies, Commodities, Materials - 121137 - ID157H24 - Sarmad &amp; Mashhad Rohin Physiotherapy a... with sub-accounts</t>
  </si>
  <si>
    <t>Total for 121137 - ID157H24 - Sarmad &amp; Mashhad Rohin Physiotherapy and Artificial Limbs Centers with sub-accounts</t>
  </si>
  <si>
    <t>Total for 121. Direct expenses ( Projects ) with sub-accounts</t>
  </si>
  <si>
    <t>Total for 12. Expenses with sub-accounts</t>
  </si>
  <si>
    <t>TOTAL</t>
  </si>
  <si>
    <t>Accrual Basis Sunday, November 09, 2025 04:28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</si>
</sst>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2">
    <xf numFmtId="0" fontId="0" fillId="0" borderId="0" xfId="0"/>
    <xf numFmtId="0" fontId="2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2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9"/>
  <sheetViews>
    <sheetView tabSelected="1" workbookViewId="0">
      <selection activeCell="H30" sqref="H30"/>
    </sheetView>
  </sheetViews>
  <sheetFormatPr baseColWidth="10" defaultColWidth="11.1640625" defaultRowHeight="16" outlineLevelRow="5" x14ac:dyDescent="0.2"/>
  <cols>
    <col min="1" max="2" width="86.6640625" style="3" customWidth="1"/>
    <col min="3" max="4" width="14.33203125" style="3" customWidth="1"/>
    <col min="5" max="6" width="7.5" style="3" customWidth="1"/>
    <col min="7" max="7" width="55.6640625" style="3" customWidth="1"/>
    <col min="8" max="8" width="52.83203125" style="3" customWidth="1"/>
    <col min="9" max="9" width="7.5" style="3" customWidth="1"/>
    <col min="10" max="11" width="16.1640625" style="3" customWidth="1"/>
  </cols>
  <sheetData>
    <row r="1" spans="1:11" ht="16.25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6.25" customHeight="1" x14ac:dyDescent="0.2">
      <c r="A2" s="21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ht="16.25" customHeight="1" x14ac:dyDescent="0.2">
      <c r="A3" s="20" t="s">
        <v>2</v>
      </c>
      <c r="B3" s="18"/>
      <c r="C3" s="18"/>
      <c r="D3" s="18"/>
      <c r="E3" s="18"/>
      <c r="F3" s="18"/>
      <c r="G3" s="18"/>
      <c r="H3" s="18"/>
      <c r="I3" s="18"/>
      <c r="J3" s="18"/>
    </row>
    <row r="5" spans="1:11" ht="16.25" customHeight="1" x14ac:dyDescent="0.2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spans="1:11" ht="16.25" customHeight="1" x14ac:dyDescent="0.2">
      <c r="A6" s="5" t="s">
        <v>13</v>
      </c>
    </row>
    <row r="7" spans="1:11" ht="16.25" customHeight="1" outlineLevel="1" x14ac:dyDescent="0.2">
      <c r="A7" s="6" t="s">
        <v>14</v>
      </c>
    </row>
    <row r="8" spans="1:11" ht="16.25" customHeight="1" outlineLevel="2" x14ac:dyDescent="0.2">
      <c r="A8" s="7" t="s">
        <v>15</v>
      </c>
    </row>
    <row r="9" spans="1:11" ht="16.25" customHeight="1" outlineLevel="3" x14ac:dyDescent="0.2">
      <c r="A9" s="8" t="s">
        <v>16</v>
      </c>
    </row>
    <row r="10" spans="1:11" ht="16.25" customHeight="1" outlineLevel="4" x14ac:dyDescent="0.2">
      <c r="A10" s="9" t="s">
        <v>17</v>
      </c>
    </row>
    <row r="11" spans="1:11" ht="49" outlineLevel="5" x14ac:dyDescent="0.2">
      <c r="B11" s="1" t="s">
        <v>17</v>
      </c>
      <c r="C11" s="1" t="s">
        <v>18</v>
      </c>
      <c r="D11" s="1" t="s">
        <v>19</v>
      </c>
      <c r="E11" s="1" t="s">
        <v>20</v>
      </c>
      <c r="F11" s="1"/>
      <c r="G11" s="1" t="s">
        <v>21</v>
      </c>
      <c r="H11" s="1" t="s">
        <v>22</v>
      </c>
      <c r="I11" s="1"/>
      <c r="J11" s="15">
        <v>1227.1199999999999</v>
      </c>
      <c r="K11" s="15">
        <v>1227.1199999999999</v>
      </c>
    </row>
    <row r="12" spans="1:11" ht="16.25" customHeight="1" outlineLevel="5" x14ac:dyDescent="0.2">
      <c r="B12" s="1" t="s">
        <v>17</v>
      </c>
      <c r="C12" s="1" t="s">
        <v>23</v>
      </c>
      <c r="D12" s="1" t="s">
        <v>19</v>
      </c>
      <c r="E12" s="1" t="s">
        <v>24</v>
      </c>
      <c r="F12" s="1"/>
      <c r="G12" s="1" t="s">
        <v>25</v>
      </c>
      <c r="H12" s="1" t="s">
        <v>22</v>
      </c>
      <c r="I12" s="1"/>
      <c r="J12" s="15">
        <v>1236.17</v>
      </c>
      <c r="K12" s="15">
        <v>2463.29</v>
      </c>
    </row>
    <row r="13" spans="1:11" ht="16.25" customHeight="1" outlineLevel="5" x14ac:dyDescent="0.2">
      <c r="B13" s="1" t="s">
        <v>17</v>
      </c>
      <c r="C13" s="1" t="s">
        <v>26</v>
      </c>
      <c r="D13" s="1" t="s">
        <v>19</v>
      </c>
      <c r="E13" s="1" t="s">
        <v>27</v>
      </c>
      <c r="F13" s="1"/>
      <c r="G13" s="1" t="s">
        <v>28</v>
      </c>
      <c r="H13" s="1" t="s">
        <v>22</v>
      </c>
      <c r="I13" s="1"/>
      <c r="J13" s="15">
        <v>1200.2</v>
      </c>
      <c r="K13" s="15">
        <v>3663.49</v>
      </c>
    </row>
    <row r="14" spans="1:11" ht="16.25" customHeight="1" outlineLevel="5" x14ac:dyDescent="0.2">
      <c r="B14" s="1" t="s">
        <v>17</v>
      </c>
      <c r="C14" s="1" t="s">
        <v>29</v>
      </c>
      <c r="D14" s="1" t="s">
        <v>19</v>
      </c>
      <c r="E14" s="1" t="s">
        <v>30</v>
      </c>
      <c r="F14" s="1"/>
      <c r="G14" s="1" t="s">
        <v>31</v>
      </c>
      <c r="H14" s="1" t="s">
        <v>22</v>
      </c>
      <c r="I14" s="1"/>
      <c r="J14" s="15">
        <v>1167.8800000000001</v>
      </c>
      <c r="K14" s="15">
        <v>4831.37</v>
      </c>
    </row>
    <row r="15" spans="1:11" ht="16.25" customHeight="1" outlineLevel="5" x14ac:dyDescent="0.2">
      <c r="B15" s="1" t="s">
        <v>17</v>
      </c>
      <c r="C15" s="1" t="s">
        <v>32</v>
      </c>
      <c r="D15" s="1" t="s">
        <v>19</v>
      </c>
      <c r="E15" s="1" t="s">
        <v>33</v>
      </c>
      <c r="F15" s="1"/>
      <c r="G15" s="1" t="s">
        <v>34</v>
      </c>
      <c r="H15" s="1" t="s">
        <v>22</v>
      </c>
      <c r="I15" s="1"/>
      <c r="J15" s="15">
        <v>1150.5999999999999</v>
      </c>
      <c r="K15" s="15">
        <v>5981.9699999999993</v>
      </c>
    </row>
    <row r="16" spans="1:11" ht="16.25" customHeight="1" outlineLevel="5" x14ac:dyDescent="0.2">
      <c r="B16" s="1" t="s">
        <v>17</v>
      </c>
      <c r="C16" s="1" t="s">
        <v>35</v>
      </c>
      <c r="D16" s="1" t="s">
        <v>19</v>
      </c>
      <c r="E16" s="1" t="s">
        <v>36</v>
      </c>
      <c r="F16" s="1"/>
      <c r="G16" s="1" t="s">
        <v>37</v>
      </c>
      <c r="H16" s="1" t="s">
        <v>22</v>
      </c>
      <c r="I16" s="1"/>
      <c r="J16" s="15">
        <v>1147.74</v>
      </c>
      <c r="K16" s="15">
        <v>7129.7099999999991</v>
      </c>
    </row>
    <row r="17" spans="1:11" ht="16.25" customHeight="1" outlineLevel="4" x14ac:dyDescent="0.2">
      <c r="A17" s="10" t="s">
        <v>38</v>
      </c>
      <c r="J17" s="16">
        <f>J10+J11+J12+J13+J14+J15+J16</f>
        <v>7129.7099999999991</v>
      </c>
    </row>
    <row r="18" spans="1:11" ht="16.25" customHeight="1" outlineLevel="4" x14ac:dyDescent="0.2">
      <c r="A18" s="9" t="s">
        <v>39</v>
      </c>
    </row>
    <row r="19" spans="1:11" ht="16.25" customHeight="1" outlineLevel="5" x14ac:dyDescent="0.2">
      <c r="B19" s="1" t="s">
        <v>39</v>
      </c>
      <c r="C19" s="1" t="s">
        <v>18</v>
      </c>
      <c r="D19" s="1" t="s">
        <v>19</v>
      </c>
      <c r="E19" s="1" t="s">
        <v>40</v>
      </c>
      <c r="F19" s="1"/>
      <c r="G19" s="1" t="s">
        <v>41</v>
      </c>
      <c r="H19" s="1" t="s">
        <v>42</v>
      </c>
      <c r="I19" s="1"/>
      <c r="J19" s="15">
        <v>510.84</v>
      </c>
      <c r="K19" s="15">
        <v>510.84</v>
      </c>
    </row>
    <row r="20" spans="1:11" ht="16.25" customHeight="1" outlineLevel="5" x14ac:dyDescent="0.2">
      <c r="B20" s="1" t="s">
        <v>39</v>
      </c>
      <c r="C20" s="1" t="s">
        <v>18</v>
      </c>
      <c r="D20" s="1" t="s">
        <v>19</v>
      </c>
      <c r="E20" s="1" t="s">
        <v>43</v>
      </c>
      <c r="F20" s="1"/>
      <c r="G20" s="1" t="s">
        <v>44</v>
      </c>
      <c r="H20" s="1" t="s">
        <v>42</v>
      </c>
      <c r="I20" s="1"/>
      <c r="J20" s="15">
        <v>510.84</v>
      </c>
      <c r="K20" s="15">
        <v>1021.68</v>
      </c>
    </row>
    <row r="21" spans="1:11" ht="16.25" customHeight="1" outlineLevel="5" x14ac:dyDescent="0.2">
      <c r="B21" s="1" t="s">
        <v>39</v>
      </c>
      <c r="C21" s="1" t="s">
        <v>23</v>
      </c>
      <c r="D21" s="1" t="s">
        <v>19</v>
      </c>
      <c r="E21" s="1" t="s">
        <v>45</v>
      </c>
      <c r="F21" s="1"/>
      <c r="G21" s="1" t="s">
        <v>46</v>
      </c>
      <c r="H21" s="1" t="s">
        <v>42</v>
      </c>
      <c r="I21" s="1"/>
      <c r="J21" s="15">
        <v>514.61</v>
      </c>
      <c r="K21" s="15">
        <v>1536.29</v>
      </c>
    </row>
    <row r="22" spans="1:11" ht="16.25" customHeight="1" outlineLevel="5" x14ac:dyDescent="0.2">
      <c r="B22" s="1" t="s">
        <v>39</v>
      </c>
      <c r="C22" s="1" t="s">
        <v>23</v>
      </c>
      <c r="D22" s="1" t="s">
        <v>19</v>
      </c>
      <c r="E22" s="1" t="s">
        <v>47</v>
      </c>
      <c r="F22" s="1"/>
      <c r="G22" s="1" t="s">
        <v>48</v>
      </c>
      <c r="H22" s="1" t="s">
        <v>42</v>
      </c>
      <c r="I22" s="1"/>
      <c r="J22" s="15">
        <v>514.61</v>
      </c>
      <c r="K22" s="15">
        <v>2050.9</v>
      </c>
    </row>
    <row r="23" spans="1:11" ht="16.25" customHeight="1" outlineLevel="5" x14ac:dyDescent="0.2">
      <c r="B23" s="1" t="s">
        <v>39</v>
      </c>
      <c r="C23" s="1" t="s">
        <v>26</v>
      </c>
      <c r="D23" s="1" t="s">
        <v>19</v>
      </c>
      <c r="E23" s="1" t="s">
        <v>49</v>
      </c>
      <c r="F23" s="1"/>
      <c r="G23" s="1" t="s">
        <v>50</v>
      </c>
      <c r="H23" s="1" t="s">
        <v>42</v>
      </c>
      <c r="I23" s="1"/>
      <c r="J23" s="15">
        <v>499.63</v>
      </c>
      <c r="K23" s="15">
        <v>2550.5300000000002</v>
      </c>
    </row>
    <row r="24" spans="1:11" ht="16.25" customHeight="1" outlineLevel="5" x14ac:dyDescent="0.2">
      <c r="B24" s="1" t="s">
        <v>39</v>
      </c>
      <c r="C24" s="1" t="s">
        <v>26</v>
      </c>
      <c r="D24" s="1" t="s">
        <v>19</v>
      </c>
      <c r="E24" s="1" t="s">
        <v>51</v>
      </c>
      <c r="F24" s="1"/>
      <c r="G24" s="1" t="s">
        <v>52</v>
      </c>
      <c r="H24" s="1" t="s">
        <v>42</v>
      </c>
      <c r="I24" s="1"/>
      <c r="J24" s="15">
        <v>499.63</v>
      </c>
      <c r="K24" s="15">
        <v>3050.16</v>
      </c>
    </row>
    <row r="25" spans="1:11" ht="16.25" customHeight="1" outlineLevel="5" x14ac:dyDescent="0.2">
      <c r="B25" s="1" t="s">
        <v>39</v>
      </c>
      <c r="C25" s="1" t="s">
        <v>29</v>
      </c>
      <c r="D25" s="1" t="s">
        <v>19</v>
      </c>
      <c r="E25" s="1" t="s">
        <v>53</v>
      </c>
      <c r="F25" s="1"/>
      <c r="G25" s="1" t="s">
        <v>54</v>
      </c>
      <c r="H25" s="1" t="s">
        <v>42</v>
      </c>
      <c r="I25" s="1"/>
      <c r="J25" s="15">
        <v>486.18</v>
      </c>
      <c r="K25" s="15">
        <v>3536.34</v>
      </c>
    </row>
    <row r="26" spans="1:11" ht="16.25" customHeight="1" outlineLevel="5" x14ac:dyDescent="0.2">
      <c r="B26" s="1" t="s">
        <v>39</v>
      </c>
      <c r="C26" s="1" t="s">
        <v>29</v>
      </c>
      <c r="D26" s="1" t="s">
        <v>19</v>
      </c>
      <c r="E26" s="1" t="s">
        <v>55</v>
      </c>
      <c r="F26" s="1"/>
      <c r="G26" s="1" t="s">
        <v>56</v>
      </c>
      <c r="H26" s="1" t="s">
        <v>42</v>
      </c>
      <c r="I26" s="1"/>
      <c r="J26" s="15">
        <v>486.18</v>
      </c>
      <c r="K26" s="15">
        <v>4022.52</v>
      </c>
    </row>
    <row r="27" spans="1:11" ht="16.25" customHeight="1" outlineLevel="5" x14ac:dyDescent="0.2">
      <c r="B27" s="1" t="s">
        <v>39</v>
      </c>
      <c r="C27" s="1" t="s">
        <v>32</v>
      </c>
      <c r="D27" s="1" t="s">
        <v>19</v>
      </c>
      <c r="E27" s="1" t="s">
        <v>57</v>
      </c>
      <c r="F27" s="1"/>
      <c r="G27" s="1" t="s">
        <v>58</v>
      </c>
      <c r="H27" s="1" t="s">
        <v>42</v>
      </c>
      <c r="I27" s="1"/>
      <c r="J27" s="15">
        <v>478.98</v>
      </c>
      <c r="K27" s="15">
        <v>4501.5</v>
      </c>
    </row>
    <row r="28" spans="1:11" ht="16.25" customHeight="1" outlineLevel="5" x14ac:dyDescent="0.2">
      <c r="B28" s="1" t="s">
        <v>39</v>
      </c>
      <c r="C28" s="1" t="s">
        <v>32</v>
      </c>
      <c r="D28" s="1" t="s">
        <v>19</v>
      </c>
      <c r="E28" s="1" t="s">
        <v>59</v>
      </c>
      <c r="F28" s="1"/>
      <c r="G28" s="1" t="s">
        <v>60</v>
      </c>
      <c r="H28" s="1" t="s">
        <v>42</v>
      </c>
      <c r="I28" s="1"/>
      <c r="J28" s="15">
        <v>478.98</v>
      </c>
      <c r="K28" s="15">
        <v>4980.4799999999996</v>
      </c>
    </row>
    <row r="29" spans="1:11" ht="16.25" customHeight="1" outlineLevel="5" x14ac:dyDescent="0.2">
      <c r="B29" s="1" t="s">
        <v>39</v>
      </c>
      <c r="C29" s="1" t="s">
        <v>35</v>
      </c>
      <c r="D29" s="1" t="s">
        <v>19</v>
      </c>
      <c r="E29" s="1" t="s">
        <v>61</v>
      </c>
      <c r="F29" s="1"/>
      <c r="G29" s="1" t="s">
        <v>62</v>
      </c>
      <c r="H29" s="1" t="s">
        <v>42</v>
      </c>
      <c r="I29" s="1"/>
      <c r="J29" s="15">
        <v>414.09</v>
      </c>
      <c r="K29" s="15">
        <v>5394.57</v>
      </c>
    </row>
    <row r="30" spans="1:11" ht="16.25" customHeight="1" outlineLevel="5" x14ac:dyDescent="0.2">
      <c r="B30" s="1" t="s">
        <v>39</v>
      </c>
      <c r="C30" s="1" t="s">
        <v>35</v>
      </c>
      <c r="D30" s="1" t="s">
        <v>19</v>
      </c>
      <c r="E30" s="1" t="s">
        <v>63</v>
      </c>
      <c r="F30" s="1"/>
      <c r="G30" s="1" t="s">
        <v>64</v>
      </c>
      <c r="H30" s="1" t="s">
        <v>42</v>
      </c>
      <c r="I30" s="1"/>
      <c r="J30" s="15">
        <v>477.79</v>
      </c>
      <c r="K30" s="15">
        <v>5872.36</v>
      </c>
    </row>
    <row r="31" spans="1:11" ht="16.25" customHeight="1" outlineLevel="4" x14ac:dyDescent="0.2">
      <c r="A31" s="10" t="s">
        <v>65</v>
      </c>
      <c r="J31" s="16">
        <f>J18+J19+J20+J21+J22+J23+J24+J25+J26+J27+J28+J29+J30</f>
        <v>5872.36</v>
      </c>
    </row>
    <row r="32" spans="1:11" ht="16.25" customHeight="1" outlineLevel="4" x14ac:dyDescent="0.2">
      <c r="A32" s="9" t="s">
        <v>66</v>
      </c>
    </row>
    <row r="33" spans="1:11" ht="16.25" customHeight="1" outlineLevel="5" x14ac:dyDescent="0.2">
      <c r="B33" s="1" t="s">
        <v>66</v>
      </c>
      <c r="C33" s="1" t="s">
        <v>18</v>
      </c>
      <c r="D33" s="1" t="s">
        <v>19</v>
      </c>
      <c r="E33" s="1" t="s">
        <v>20</v>
      </c>
      <c r="F33" s="1"/>
      <c r="G33" s="1" t="s">
        <v>67</v>
      </c>
      <c r="H33" s="1" t="s">
        <v>68</v>
      </c>
      <c r="I33" s="1"/>
      <c r="J33" s="15">
        <v>255.42</v>
      </c>
      <c r="K33" s="15">
        <v>255.42</v>
      </c>
    </row>
    <row r="34" spans="1:11" ht="16.25" customHeight="1" outlineLevel="5" x14ac:dyDescent="0.2">
      <c r="B34" s="1" t="s">
        <v>66</v>
      </c>
      <c r="C34" s="1" t="s">
        <v>23</v>
      </c>
      <c r="D34" s="1" t="s">
        <v>19</v>
      </c>
      <c r="E34" s="1" t="s">
        <v>24</v>
      </c>
      <c r="F34" s="1"/>
      <c r="G34" s="1" t="s">
        <v>69</v>
      </c>
      <c r="H34" s="1" t="s">
        <v>68</v>
      </c>
      <c r="I34" s="1"/>
      <c r="J34" s="15">
        <v>257.3</v>
      </c>
      <c r="K34" s="15">
        <v>512.72</v>
      </c>
    </row>
    <row r="35" spans="1:11" ht="16.25" customHeight="1" outlineLevel="5" x14ac:dyDescent="0.2">
      <c r="B35" s="1" t="s">
        <v>66</v>
      </c>
      <c r="C35" s="1" t="s">
        <v>26</v>
      </c>
      <c r="D35" s="1" t="s">
        <v>19</v>
      </c>
      <c r="E35" s="1" t="s">
        <v>27</v>
      </c>
      <c r="F35" s="1"/>
      <c r="G35" s="1" t="s">
        <v>70</v>
      </c>
      <c r="H35" s="1" t="s">
        <v>68</v>
      </c>
      <c r="I35" s="1"/>
      <c r="J35" s="15">
        <v>249.82</v>
      </c>
      <c r="K35" s="15">
        <v>762.54</v>
      </c>
    </row>
    <row r="36" spans="1:11" ht="16.25" customHeight="1" outlineLevel="5" x14ac:dyDescent="0.2">
      <c r="B36" s="1" t="s">
        <v>66</v>
      </c>
      <c r="C36" s="1" t="s">
        <v>29</v>
      </c>
      <c r="D36" s="1" t="s">
        <v>19</v>
      </c>
      <c r="E36" s="1" t="s">
        <v>30</v>
      </c>
      <c r="F36" s="1"/>
      <c r="G36" s="1" t="s">
        <v>71</v>
      </c>
      <c r="H36" s="1" t="s">
        <v>68</v>
      </c>
      <c r="I36" s="1"/>
      <c r="J36" s="15">
        <v>243.09</v>
      </c>
      <c r="K36" s="15">
        <v>1005.63</v>
      </c>
    </row>
    <row r="37" spans="1:11" ht="16.25" customHeight="1" outlineLevel="5" x14ac:dyDescent="0.2">
      <c r="B37" s="1" t="s">
        <v>66</v>
      </c>
      <c r="C37" s="1" t="s">
        <v>32</v>
      </c>
      <c r="D37" s="1" t="s">
        <v>19</v>
      </c>
      <c r="E37" s="1" t="s">
        <v>33</v>
      </c>
      <c r="F37" s="1"/>
      <c r="G37" s="1" t="s">
        <v>72</v>
      </c>
      <c r="H37" s="1" t="s">
        <v>68</v>
      </c>
      <c r="I37" s="1"/>
      <c r="J37" s="15">
        <v>239.49</v>
      </c>
      <c r="K37" s="15">
        <v>1245.1199999999999</v>
      </c>
    </row>
    <row r="38" spans="1:11" ht="16.25" customHeight="1" outlineLevel="5" x14ac:dyDescent="0.2">
      <c r="B38" s="1" t="s">
        <v>66</v>
      </c>
      <c r="C38" s="1" t="s">
        <v>35</v>
      </c>
      <c r="D38" s="1" t="s">
        <v>19</v>
      </c>
      <c r="E38" s="1" t="s">
        <v>36</v>
      </c>
      <c r="F38" s="1"/>
      <c r="G38" s="1" t="s">
        <v>73</v>
      </c>
      <c r="H38" s="1" t="s">
        <v>68</v>
      </c>
      <c r="I38" s="1"/>
      <c r="J38" s="15">
        <v>238.9</v>
      </c>
      <c r="K38" s="15">
        <v>1484.02</v>
      </c>
    </row>
    <row r="39" spans="1:11" ht="16.25" customHeight="1" outlineLevel="4" x14ac:dyDescent="0.2">
      <c r="A39" s="10" t="s">
        <v>74</v>
      </c>
      <c r="J39" s="16">
        <f>J32+J33+J34+J35+J36+J37+J38</f>
        <v>1484.02</v>
      </c>
    </row>
    <row r="40" spans="1:11" ht="16.25" customHeight="1" outlineLevel="4" x14ac:dyDescent="0.2">
      <c r="A40" s="9" t="s">
        <v>75</v>
      </c>
    </row>
    <row r="41" spans="1:11" ht="16.25" customHeight="1" outlineLevel="5" x14ac:dyDescent="0.2">
      <c r="B41" s="1" t="s">
        <v>75</v>
      </c>
      <c r="C41" s="1" t="s">
        <v>18</v>
      </c>
      <c r="D41" s="1" t="s">
        <v>19</v>
      </c>
      <c r="E41" s="1" t="s">
        <v>20</v>
      </c>
      <c r="F41" s="1"/>
      <c r="G41" s="1" t="s">
        <v>76</v>
      </c>
      <c r="H41" s="1" t="s">
        <v>77</v>
      </c>
      <c r="I41" s="1"/>
      <c r="J41" s="15">
        <v>306.5</v>
      </c>
      <c r="K41" s="15">
        <v>306.5</v>
      </c>
    </row>
    <row r="42" spans="1:11" ht="16.25" customHeight="1" outlineLevel="5" x14ac:dyDescent="0.2">
      <c r="B42" s="1" t="s">
        <v>75</v>
      </c>
      <c r="C42" s="1" t="s">
        <v>18</v>
      </c>
      <c r="D42" s="1" t="s">
        <v>19</v>
      </c>
      <c r="E42" s="1" t="s">
        <v>20</v>
      </c>
      <c r="F42" s="1"/>
      <c r="G42" s="1" t="s">
        <v>78</v>
      </c>
      <c r="H42" s="1" t="s">
        <v>77</v>
      </c>
      <c r="I42" s="1"/>
      <c r="J42" s="15">
        <v>306.5</v>
      </c>
      <c r="K42" s="15">
        <v>613</v>
      </c>
    </row>
    <row r="43" spans="1:11" ht="16.25" customHeight="1" outlineLevel="5" x14ac:dyDescent="0.2">
      <c r="B43" s="1" t="s">
        <v>75</v>
      </c>
      <c r="C43" s="1" t="s">
        <v>18</v>
      </c>
      <c r="D43" s="1" t="s">
        <v>19</v>
      </c>
      <c r="E43" s="1" t="s">
        <v>20</v>
      </c>
      <c r="F43" s="1"/>
      <c r="G43" s="1" t="s">
        <v>79</v>
      </c>
      <c r="H43" s="1" t="s">
        <v>77</v>
      </c>
      <c r="I43" s="1"/>
      <c r="J43" s="15">
        <v>306.5</v>
      </c>
      <c r="K43" s="15">
        <v>919.5</v>
      </c>
    </row>
    <row r="44" spans="1:11" ht="16.25" customHeight="1" outlineLevel="5" x14ac:dyDescent="0.2">
      <c r="B44" s="1" t="s">
        <v>75</v>
      </c>
      <c r="C44" s="1" t="s">
        <v>18</v>
      </c>
      <c r="D44" s="1" t="s">
        <v>19</v>
      </c>
      <c r="E44" s="1" t="s">
        <v>20</v>
      </c>
      <c r="F44" s="1"/>
      <c r="G44" s="1" t="s">
        <v>80</v>
      </c>
      <c r="H44" s="1" t="s">
        <v>77</v>
      </c>
      <c r="I44" s="1"/>
      <c r="J44" s="15">
        <v>408.67</v>
      </c>
      <c r="K44" s="15">
        <v>1328.17</v>
      </c>
    </row>
    <row r="45" spans="1:11" ht="16.25" customHeight="1" outlineLevel="5" x14ac:dyDescent="0.2">
      <c r="B45" s="1" t="s">
        <v>75</v>
      </c>
      <c r="C45" s="1" t="s">
        <v>18</v>
      </c>
      <c r="D45" s="1" t="s">
        <v>19</v>
      </c>
      <c r="E45" s="1" t="s">
        <v>40</v>
      </c>
      <c r="F45" s="1"/>
      <c r="G45" s="1" t="s">
        <v>81</v>
      </c>
      <c r="H45" s="1" t="s">
        <v>77</v>
      </c>
      <c r="I45" s="1"/>
      <c r="J45" s="15">
        <v>408.67</v>
      </c>
      <c r="K45" s="15">
        <v>1736.84</v>
      </c>
    </row>
    <row r="46" spans="1:11" ht="16.25" customHeight="1" outlineLevel="5" x14ac:dyDescent="0.2">
      <c r="B46" s="1" t="s">
        <v>75</v>
      </c>
      <c r="C46" s="1" t="s">
        <v>18</v>
      </c>
      <c r="D46" s="1" t="s">
        <v>19</v>
      </c>
      <c r="E46" s="1" t="s">
        <v>40</v>
      </c>
      <c r="F46" s="1"/>
      <c r="G46" s="1" t="s">
        <v>82</v>
      </c>
      <c r="H46" s="1" t="s">
        <v>77</v>
      </c>
      <c r="I46" s="1"/>
      <c r="J46" s="15">
        <v>408.67</v>
      </c>
      <c r="K46" s="15">
        <v>2145.5100000000002</v>
      </c>
    </row>
    <row r="47" spans="1:11" ht="16.25" customHeight="1" outlineLevel="5" x14ac:dyDescent="0.2">
      <c r="B47" s="1" t="s">
        <v>75</v>
      </c>
      <c r="C47" s="1" t="s">
        <v>18</v>
      </c>
      <c r="D47" s="1" t="s">
        <v>19</v>
      </c>
      <c r="E47" s="1" t="s">
        <v>40</v>
      </c>
      <c r="F47" s="1"/>
      <c r="G47" s="1" t="s">
        <v>83</v>
      </c>
      <c r="H47" s="1" t="s">
        <v>77</v>
      </c>
      <c r="I47" s="1"/>
      <c r="J47" s="15">
        <v>408.67</v>
      </c>
      <c r="K47" s="15">
        <v>2554.1799999999998</v>
      </c>
    </row>
    <row r="48" spans="1:11" ht="16.25" customHeight="1" outlineLevel="5" x14ac:dyDescent="0.2">
      <c r="B48" s="1" t="s">
        <v>75</v>
      </c>
      <c r="C48" s="1" t="s">
        <v>18</v>
      </c>
      <c r="D48" s="1" t="s">
        <v>19</v>
      </c>
      <c r="E48" s="1" t="s">
        <v>40</v>
      </c>
      <c r="F48" s="1"/>
      <c r="G48" s="1" t="s">
        <v>84</v>
      </c>
      <c r="H48" s="1" t="s">
        <v>77</v>
      </c>
      <c r="I48" s="1"/>
      <c r="J48" s="15">
        <v>408.67</v>
      </c>
      <c r="K48" s="15">
        <v>2962.85</v>
      </c>
    </row>
    <row r="49" spans="2:11" ht="16.25" customHeight="1" outlineLevel="5" x14ac:dyDescent="0.2">
      <c r="B49" s="1" t="s">
        <v>75</v>
      </c>
      <c r="C49" s="1" t="s">
        <v>18</v>
      </c>
      <c r="D49" s="1" t="s">
        <v>19</v>
      </c>
      <c r="E49" s="1" t="s">
        <v>40</v>
      </c>
      <c r="F49" s="1"/>
      <c r="G49" s="1" t="s">
        <v>85</v>
      </c>
      <c r="H49" s="1" t="s">
        <v>77</v>
      </c>
      <c r="I49" s="1"/>
      <c r="J49" s="15">
        <v>408.67</v>
      </c>
      <c r="K49" s="15">
        <v>3371.52</v>
      </c>
    </row>
    <row r="50" spans="2:11" ht="16.25" customHeight="1" outlineLevel="5" x14ac:dyDescent="0.2">
      <c r="B50" s="1" t="s">
        <v>75</v>
      </c>
      <c r="C50" s="1" t="s">
        <v>18</v>
      </c>
      <c r="D50" s="1" t="s">
        <v>19</v>
      </c>
      <c r="E50" s="1" t="s">
        <v>43</v>
      </c>
      <c r="F50" s="1"/>
      <c r="G50" s="1" t="s">
        <v>86</v>
      </c>
      <c r="H50" s="1" t="s">
        <v>77</v>
      </c>
      <c r="I50" s="1"/>
      <c r="J50" s="15">
        <v>408.67</v>
      </c>
      <c r="K50" s="15">
        <v>3780.190000000001</v>
      </c>
    </row>
    <row r="51" spans="2:11" ht="16.25" customHeight="1" outlineLevel="5" x14ac:dyDescent="0.2">
      <c r="B51" s="1" t="s">
        <v>75</v>
      </c>
      <c r="C51" s="1" t="s">
        <v>18</v>
      </c>
      <c r="D51" s="1" t="s">
        <v>19</v>
      </c>
      <c r="E51" s="1" t="s">
        <v>43</v>
      </c>
      <c r="F51" s="1"/>
      <c r="G51" s="1" t="s">
        <v>87</v>
      </c>
      <c r="H51" s="1" t="s">
        <v>77</v>
      </c>
      <c r="I51" s="1"/>
      <c r="J51" s="15">
        <v>408.67</v>
      </c>
      <c r="K51" s="15">
        <v>4188.8600000000006</v>
      </c>
    </row>
    <row r="52" spans="2:11" ht="16.25" customHeight="1" outlineLevel="5" x14ac:dyDescent="0.2">
      <c r="B52" s="1" t="s">
        <v>75</v>
      </c>
      <c r="C52" s="1" t="s">
        <v>18</v>
      </c>
      <c r="D52" s="1" t="s">
        <v>19</v>
      </c>
      <c r="E52" s="1" t="s">
        <v>43</v>
      </c>
      <c r="F52" s="1"/>
      <c r="G52" s="1" t="s">
        <v>88</v>
      </c>
      <c r="H52" s="1" t="s">
        <v>77</v>
      </c>
      <c r="I52" s="1"/>
      <c r="J52" s="15">
        <v>408.67</v>
      </c>
      <c r="K52" s="15">
        <v>4597.5300000000007</v>
      </c>
    </row>
    <row r="53" spans="2:11" ht="16.25" customHeight="1" outlineLevel="5" x14ac:dyDescent="0.2">
      <c r="B53" s="1" t="s">
        <v>75</v>
      </c>
      <c r="C53" s="1" t="s">
        <v>18</v>
      </c>
      <c r="D53" s="1" t="s">
        <v>19</v>
      </c>
      <c r="E53" s="1" t="s">
        <v>43</v>
      </c>
      <c r="F53" s="1"/>
      <c r="G53" s="1" t="s">
        <v>89</v>
      </c>
      <c r="H53" s="1" t="s">
        <v>77</v>
      </c>
      <c r="I53" s="1"/>
      <c r="J53" s="15">
        <v>408.67</v>
      </c>
      <c r="K53" s="15">
        <v>5006.2000000000007</v>
      </c>
    </row>
    <row r="54" spans="2:11" ht="16.25" customHeight="1" outlineLevel="5" x14ac:dyDescent="0.2">
      <c r="B54" s="1" t="s">
        <v>75</v>
      </c>
      <c r="C54" s="1" t="s">
        <v>18</v>
      </c>
      <c r="D54" s="1" t="s">
        <v>19</v>
      </c>
      <c r="E54" s="1" t="s">
        <v>43</v>
      </c>
      <c r="F54" s="1"/>
      <c r="G54" s="1" t="s">
        <v>90</v>
      </c>
      <c r="H54" s="1" t="s">
        <v>77</v>
      </c>
      <c r="I54" s="1"/>
      <c r="J54" s="15">
        <v>408.67</v>
      </c>
      <c r="K54" s="15">
        <v>5414.8700000000008</v>
      </c>
    </row>
    <row r="55" spans="2:11" ht="16.25" customHeight="1" outlineLevel="5" x14ac:dyDescent="0.2">
      <c r="B55" s="1" t="s">
        <v>75</v>
      </c>
      <c r="C55" s="1" t="s">
        <v>23</v>
      </c>
      <c r="D55" s="1" t="s">
        <v>19</v>
      </c>
      <c r="E55" s="1" t="s">
        <v>24</v>
      </c>
      <c r="F55" s="1"/>
      <c r="G55" s="1" t="s">
        <v>91</v>
      </c>
      <c r="H55" s="1" t="s">
        <v>77</v>
      </c>
      <c r="I55" s="1"/>
      <c r="J55" s="15">
        <v>308.76</v>
      </c>
      <c r="K55" s="15">
        <v>5723.630000000001</v>
      </c>
    </row>
    <row r="56" spans="2:11" ht="16.25" customHeight="1" outlineLevel="5" x14ac:dyDescent="0.2">
      <c r="B56" s="1" t="s">
        <v>75</v>
      </c>
      <c r="C56" s="1" t="s">
        <v>23</v>
      </c>
      <c r="D56" s="1" t="s">
        <v>19</v>
      </c>
      <c r="E56" s="1" t="s">
        <v>24</v>
      </c>
      <c r="F56" s="1"/>
      <c r="G56" s="1" t="s">
        <v>92</v>
      </c>
      <c r="H56" s="1" t="s">
        <v>77</v>
      </c>
      <c r="I56" s="1"/>
      <c r="J56" s="15">
        <v>308.76</v>
      </c>
      <c r="K56" s="15">
        <v>6032.3900000000012</v>
      </c>
    </row>
    <row r="57" spans="2:11" ht="16.25" customHeight="1" outlineLevel="5" x14ac:dyDescent="0.2">
      <c r="B57" s="1" t="s">
        <v>75</v>
      </c>
      <c r="C57" s="1" t="s">
        <v>23</v>
      </c>
      <c r="D57" s="1" t="s">
        <v>19</v>
      </c>
      <c r="E57" s="1" t="s">
        <v>24</v>
      </c>
      <c r="F57" s="1"/>
      <c r="G57" s="1" t="s">
        <v>93</v>
      </c>
      <c r="H57" s="1" t="s">
        <v>77</v>
      </c>
      <c r="I57" s="1"/>
      <c r="J57" s="15">
        <v>308.76</v>
      </c>
      <c r="K57" s="15">
        <v>6341.1500000000005</v>
      </c>
    </row>
    <row r="58" spans="2:11" ht="16.25" customHeight="1" outlineLevel="5" x14ac:dyDescent="0.2">
      <c r="B58" s="1" t="s">
        <v>75</v>
      </c>
      <c r="C58" s="1" t="s">
        <v>23</v>
      </c>
      <c r="D58" s="1" t="s">
        <v>19</v>
      </c>
      <c r="E58" s="1" t="s">
        <v>24</v>
      </c>
      <c r="F58" s="1"/>
      <c r="G58" s="1" t="s">
        <v>94</v>
      </c>
      <c r="H58" s="1" t="s">
        <v>77</v>
      </c>
      <c r="I58" s="1"/>
      <c r="J58" s="15">
        <v>247.01</v>
      </c>
      <c r="K58" s="15">
        <v>6588.1600000000017</v>
      </c>
    </row>
    <row r="59" spans="2:11" ht="16.25" customHeight="1" outlineLevel="5" x14ac:dyDescent="0.2">
      <c r="B59" s="1" t="s">
        <v>75</v>
      </c>
      <c r="C59" s="1" t="s">
        <v>23</v>
      </c>
      <c r="D59" s="1" t="s">
        <v>19</v>
      </c>
      <c r="E59" s="1" t="s">
        <v>24</v>
      </c>
      <c r="F59" s="1"/>
      <c r="G59" s="1" t="s">
        <v>95</v>
      </c>
      <c r="H59" s="1" t="s">
        <v>77</v>
      </c>
      <c r="I59" s="1"/>
      <c r="J59" s="15">
        <v>411.68</v>
      </c>
      <c r="K59" s="15">
        <v>6999.840000000002</v>
      </c>
    </row>
    <row r="60" spans="2:11" ht="16.25" customHeight="1" outlineLevel="5" x14ac:dyDescent="0.2">
      <c r="B60" s="1" t="s">
        <v>75</v>
      </c>
      <c r="C60" s="1" t="s">
        <v>23</v>
      </c>
      <c r="D60" s="1" t="s">
        <v>19</v>
      </c>
      <c r="E60" s="1" t="s">
        <v>45</v>
      </c>
      <c r="F60" s="1"/>
      <c r="G60" s="1" t="s">
        <v>96</v>
      </c>
      <c r="H60" s="1" t="s">
        <v>77</v>
      </c>
      <c r="I60" s="1"/>
      <c r="J60" s="15">
        <v>411.68</v>
      </c>
      <c r="K60" s="15">
        <v>7411.5200000000023</v>
      </c>
    </row>
    <row r="61" spans="2:11" ht="16.25" customHeight="1" outlineLevel="5" x14ac:dyDescent="0.2">
      <c r="B61" s="1" t="s">
        <v>75</v>
      </c>
      <c r="C61" s="1" t="s">
        <v>23</v>
      </c>
      <c r="D61" s="1" t="s">
        <v>19</v>
      </c>
      <c r="E61" s="1" t="s">
        <v>45</v>
      </c>
      <c r="F61" s="1"/>
      <c r="G61" s="1" t="s">
        <v>97</v>
      </c>
      <c r="H61" s="1" t="s">
        <v>77</v>
      </c>
      <c r="I61" s="1"/>
      <c r="J61" s="15">
        <v>411.68</v>
      </c>
      <c r="K61" s="15">
        <v>7823.2000000000025</v>
      </c>
    </row>
    <row r="62" spans="2:11" ht="16.25" customHeight="1" outlineLevel="5" x14ac:dyDescent="0.2">
      <c r="B62" s="1" t="s">
        <v>75</v>
      </c>
      <c r="C62" s="1" t="s">
        <v>23</v>
      </c>
      <c r="D62" s="1" t="s">
        <v>19</v>
      </c>
      <c r="E62" s="1" t="s">
        <v>45</v>
      </c>
      <c r="F62" s="1"/>
      <c r="G62" s="1" t="s">
        <v>98</v>
      </c>
      <c r="H62" s="1" t="s">
        <v>77</v>
      </c>
      <c r="I62" s="1"/>
      <c r="J62" s="15">
        <v>411.68</v>
      </c>
      <c r="K62" s="15">
        <v>8234.8800000000028</v>
      </c>
    </row>
    <row r="63" spans="2:11" ht="16.25" customHeight="1" outlineLevel="5" x14ac:dyDescent="0.2">
      <c r="B63" s="1" t="s">
        <v>75</v>
      </c>
      <c r="C63" s="1" t="s">
        <v>23</v>
      </c>
      <c r="D63" s="1" t="s">
        <v>19</v>
      </c>
      <c r="E63" s="1" t="s">
        <v>45</v>
      </c>
      <c r="F63" s="1"/>
      <c r="G63" s="1" t="s">
        <v>99</v>
      </c>
      <c r="H63" s="1" t="s">
        <v>77</v>
      </c>
      <c r="I63" s="1"/>
      <c r="J63" s="15">
        <v>411.68</v>
      </c>
      <c r="K63" s="15">
        <v>8646.5600000000031</v>
      </c>
    </row>
    <row r="64" spans="2:11" ht="16.25" customHeight="1" outlineLevel="5" x14ac:dyDescent="0.2">
      <c r="B64" s="1" t="s">
        <v>75</v>
      </c>
      <c r="C64" s="1" t="s">
        <v>23</v>
      </c>
      <c r="D64" s="1" t="s">
        <v>19</v>
      </c>
      <c r="E64" s="1" t="s">
        <v>45</v>
      </c>
      <c r="F64" s="1"/>
      <c r="G64" s="1" t="s">
        <v>100</v>
      </c>
      <c r="H64" s="1" t="s">
        <v>77</v>
      </c>
      <c r="I64" s="1"/>
      <c r="J64" s="15">
        <v>411.68</v>
      </c>
      <c r="K64" s="15">
        <v>9058.2400000000034</v>
      </c>
    </row>
    <row r="65" spans="2:11" ht="16.25" customHeight="1" outlineLevel="5" x14ac:dyDescent="0.2">
      <c r="B65" s="1" t="s">
        <v>75</v>
      </c>
      <c r="C65" s="1" t="s">
        <v>23</v>
      </c>
      <c r="D65" s="1" t="s">
        <v>19</v>
      </c>
      <c r="E65" s="1" t="s">
        <v>47</v>
      </c>
      <c r="F65" s="1"/>
      <c r="G65" s="1" t="s">
        <v>101</v>
      </c>
      <c r="H65" s="1" t="s">
        <v>77</v>
      </c>
      <c r="I65" s="1"/>
      <c r="J65" s="15">
        <v>411.68</v>
      </c>
      <c r="K65" s="15">
        <v>9469.9200000000037</v>
      </c>
    </row>
    <row r="66" spans="2:11" ht="16.25" customHeight="1" outlineLevel="5" x14ac:dyDescent="0.2">
      <c r="B66" s="1" t="s">
        <v>75</v>
      </c>
      <c r="C66" s="1" t="s">
        <v>23</v>
      </c>
      <c r="D66" s="1" t="s">
        <v>19</v>
      </c>
      <c r="E66" s="1" t="s">
        <v>47</v>
      </c>
      <c r="F66" s="1"/>
      <c r="G66" s="1" t="s">
        <v>102</v>
      </c>
      <c r="H66" s="1" t="s">
        <v>77</v>
      </c>
      <c r="I66" s="1"/>
      <c r="J66" s="15">
        <v>411.68</v>
      </c>
      <c r="K66" s="15">
        <v>9881.600000000004</v>
      </c>
    </row>
    <row r="67" spans="2:11" ht="16.25" customHeight="1" outlineLevel="5" x14ac:dyDescent="0.2">
      <c r="B67" s="1" t="s">
        <v>75</v>
      </c>
      <c r="C67" s="1" t="s">
        <v>23</v>
      </c>
      <c r="D67" s="1" t="s">
        <v>19</v>
      </c>
      <c r="E67" s="1" t="s">
        <v>47</v>
      </c>
      <c r="F67" s="1"/>
      <c r="G67" s="1" t="s">
        <v>103</v>
      </c>
      <c r="H67" s="1" t="s">
        <v>77</v>
      </c>
      <c r="I67" s="1"/>
      <c r="J67" s="15">
        <v>411.68</v>
      </c>
      <c r="K67" s="15">
        <v>10293.280000000001</v>
      </c>
    </row>
    <row r="68" spans="2:11" ht="16.25" customHeight="1" outlineLevel="5" x14ac:dyDescent="0.2">
      <c r="B68" s="1" t="s">
        <v>75</v>
      </c>
      <c r="C68" s="1" t="s">
        <v>23</v>
      </c>
      <c r="D68" s="1" t="s">
        <v>19</v>
      </c>
      <c r="E68" s="1" t="s">
        <v>47</v>
      </c>
      <c r="F68" s="1"/>
      <c r="G68" s="1" t="s">
        <v>104</v>
      </c>
      <c r="H68" s="1" t="s">
        <v>77</v>
      </c>
      <c r="I68" s="1"/>
      <c r="J68" s="15">
        <v>411.68</v>
      </c>
      <c r="K68" s="15">
        <v>10704.96</v>
      </c>
    </row>
    <row r="69" spans="2:11" ht="16.25" customHeight="1" outlineLevel="5" x14ac:dyDescent="0.2">
      <c r="B69" s="1" t="s">
        <v>75</v>
      </c>
      <c r="C69" s="1" t="s">
        <v>23</v>
      </c>
      <c r="D69" s="1" t="s">
        <v>19</v>
      </c>
      <c r="E69" s="1" t="s">
        <v>47</v>
      </c>
      <c r="F69" s="1"/>
      <c r="G69" s="1" t="s">
        <v>105</v>
      </c>
      <c r="H69" s="1" t="s">
        <v>77</v>
      </c>
      <c r="I69" s="1"/>
      <c r="J69" s="15">
        <v>411.68</v>
      </c>
      <c r="K69" s="15">
        <v>11116.64</v>
      </c>
    </row>
    <row r="70" spans="2:11" ht="16.25" customHeight="1" outlineLevel="5" x14ac:dyDescent="0.2">
      <c r="B70" s="1" t="s">
        <v>75</v>
      </c>
      <c r="C70" s="1" t="s">
        <v>26</v>
      </c>
      <c r="D70" s="1" t="s">
        <v>19</v>
      </c>
      <c r="E70" s="1" t="s">
        <v>27</v>
      </c>
      <c r="F70" s="1"/>
      <c r="G70" s="1" t="s">
        <v>106</v>
      </c>
      <c r="H70" s="1" t="s">
        <v>77</v>
      </c>
      <c r="I70" s="1"/>
      <c r="J70" s="15">
        <v>299.77999999999997</v>
      </c>
      <c r="K70" s="15">
        <v>11416.420000000009</v>
      </c>
    </row>
    <row r="71" spans="2:11" ht="16.25" customHeight="1" outlineLevel="5" x14ac:dyDescent="0.2">
      <c r="B71" s="1" t="s">
        <v>75</v>
      </c>
      <c r="C71" s="1" t="s">
        <v>26</v>
      </c>
      <c r="D71" s="1" t="s">
        <v>19</v>
      </c>
      <c r="E71" s="1" t="s">
        <v>27</v>
      </c>
      <c r="F71" s="1"/>
      <c r="G71" s="1" t="s">
        <v>107</v>
      </c>
      <c r="H71" s="1" t="s">
        <v>77</v>
      </c>
      <c r="I71" s="1"/>
      <c r="J71" s="15">
        <v>299.77999999999997</v>
      </c>
      <c r="K71" s="15">
        <v>11716.20000000001</v>
      </c>
    </row>
    <row r="72" spans="2:11" ht="16.25" customHeight="1" outlineLevel="5" x14ac:dyDescent="0.2">
      <c r="B72" s="1" t="s">
        <v>75</v>
      </c>
      <c r="C72" s="1" t="s">
        <v>26</v>
      </c>
      <c r="D72" s="1" t="s">
        <v>19</v>
      </c>
      <c r="E72" s="1" t="s">
        <v>27</v>
      </c>
      <c r="F72" s="1"/>
      <c r="G72" s="1" t="s">
        <v>108</v>
      </c>
      <c r="H72" s="1" t="s">
        <v>77</v>
      </c>
      <c r="I72" s="1"/>
      <c r="J72" s="15">
        <v>299.77999999999997</v>
      </c>
      <c r="K72" s="15">
        <v>12015.98000000001</v>
      </c>
    </row>
    <row r="73" spans="2:11" ht="16.25" customHeight="1" outlineLevel="5" x14ac:dyDescent="0.2">
      <c r="B73" s="1" t="s">
        <v>75</v>
      </c>
      <c r="C73" s="1" t="s">
        <v>26</v>
      </c>
      <c r="D73" s="1" t="s">
        <v>19</v>
      </c>
      <c r="E73" s="1" t="s">
        <v>27</v>
      </c>
      <c r="F73" s="1"/>
      <c r="G73" s="1" t="s">
        <v>109</v>
      </c>
      <c r="H73" s="1" t="s">
        <v>77</v>
      </c>
      <c r="I73" s="1"/>
      <c r="J73" s="15">
        <v>239.82</v>
      </c>
      <c r="K73" s="15">
        <v>12255.80000000001</v>
      </c>
    </row>
    <row r="74" spans="2:11" ht="16.25" customHeight="1" outlineLevel="5" x14ac:dyDescent="0.2">
      <c r="B74" s="1" t="s">
        <v>75</v>
      </c>
      <c r="C74" s="1" t="s">
        <v>26</v>
      </c>
      <c r="D74" s="1" t="s">
        <v>19</v>
      </c>
      <c r="E74" s="1" t="s">
        <v>27</v>
      </c>
      <c r="F74" s="1"/>
      <c r="G74" s="1" t="s">
        <v>110</v>
      </c>
      <c r="H74" s="1" t="s">
        <v>77</v>
      </c>
      <c r="I74" s="1"/>
      <c r="J74" s="15">
        <v>399.71</v>
      </c>
      <c r="K74" s="15">
        <v>12655.510000000009</v>
      </c>
    </row>
    <row r="75" spans="2:11" ht="16.25" customHeight="1" outlineLevel="5" x14ac:dyDescent="0.2">
      <c r="B75" s="1" t="s">
        <v>75</v>
      </c>
      <c r="C75" s="1" t="s">
        <v>26</v>
      </c>
      <c r="D75" s="1" t="s">
        <v>19</v>
      </c>
      <c r="E75" s="1" t="s">
        <v>49</v>
      </c>
      <c r="F75" s="1"/>
      <c r="G75" s="1" t="s">
        <v>111</v>
      </c>
      <c r="H75" s="1" t="s">
        <v>77</v>
      </c>
      <c r="I75" s="1"/>
      <c r="J75" s="15">
        <v>399.71</v>
      </c>
      <c r="K75" s="15">
        <v>13055.22</v>
      </c>
    </row>
    <row r="76" spans="2:11" ht="16.25" customHeight="1" outlineLevel="5" x14ac:dyDescent="0.2">
      <c r="B76" s="1" t="s">
        <v>75</v>
      </c>
      <c r="C76" s="1" t="s">
        <v>26</v>
      </c>
      <c r="D76" s="1" t="s">
        <v>19</v>
      </c>
      <c r="E76" s="1" t="s">
        <v>49</v>
      </c>
      <c r="F76" s="1"/>
      <c r="G76" s="1" t="s">
        <v>112</v>
      </c>
      <c r="H76" s="1" t="s">
        <v>77</v>
      </c>
      <c r="I76" s="1"/>
      <c r="J76" s="15">
        <v>399.71</v>
      </c>
      <c r="K76" s="15">
        <v>13454.93</v>
      </c>
    </row>
    <row r="77" spans="2:11" ht="16.25" customHeight="1" outlineLevel="5" x14ac:dyDescent="0.2">
      <c r="B77" s="1" t="s">
        <v>75</v>
      </c>
      <c r="C77" s="1" t="s">
        <v>26</v>
      </c>
      <c r="D77" s="1" t="s">
        <v>19</v>
      </c>
      <c r="E77" s="1" t="s">
        <v>49</v>
      </c>
      <c r="F77" s="1"/>
      <c r="G77" s="1" t="s">
        <v>113</v>
      </c>
      <c r="H77" s="1" t="s">
        <v>77</v>
      </c>
      <c r="I77" s="1"/>
      <c r="J77" s="15">
        <v>399.71</v>
      </c>
      <c r="K77" s="15">
        <v>13854.64</v>
      </c>
    </row>
    <row r="78" spans="2:11" ht="16.25" customHeight="1" outlineLevel="5" x14ac:dyDescent="0.2">
      <c r="B78" s="1" t="s">
        <v>75</v>
      </c>
      <c r="C78" s="1" t="s">
        <v>26</v>
      </c>
      <c r="D78" s="1" t="s">
        <v>19</v>
      </c>
      <c r="E78" s="1" t="s">
        <v>49</v>
      </c>
      <c r="F78" s="1"/>
      <c r="G78" s="1" t="s">
        <v>114</v>
      </c>
      <c r="H78" s="1" t="s">
        <v>77</v>
      </c>
      <c r="I78" s="1"/>
      <c r="J78" s="15">
        <v>399.71</v>
      </c>
      <c r="K78" s="15">
        <v>14254.35</v>
      </c>
    </row>
    <row r="79" spans="2:11" ht="16.25" customHeight="1" outlineLevel="5" x14ac:dyDescent="0.2">
      <c r="B79" s="1" t="s">
        <v>75</v>
      </c>
      <c r="C79" s="1" t="s">
        <v>26</v>
      </c>
      <c r="D79" s="1" t="s">
        <v>19</v>
      </c>
      <c r="E79" s="1" t="s">
        <v>49</v>
      </c>
      <c r="F79" s="1"/>
      <c r="G79" s="1" t="s">
        <v>115</v>
      </c>
      <c r="H79" s="1" t="s">
        <v>77</v>
      </c>
      <c r="I79" s="1"/>
      <c r="J79" s="15">
        <v>399.71</v>
      </c>
      <c r="K79" s="15">
        <v>14654.06</v>
      </c>
    </row>
    <row r="80" spans="2:11" ht="16.25" customHeight="1" outlineLevel="5" x14ac:dyDescent="0.2">
      <c r="B80" s="1" t="s">
        <v>75</v>
      </c>
      <c r="C80" s="1" t="s">
        <v>26</v>
      </c>
      <c r="D80" s="1" t="s">
        <v>19</v>
      </c>
      <c r="E80" s="1" t="s">
        <v>51</v>
      </c>
      <c r="F80" s="1"/>
      <c r="G80" s="1" t="s">
        <v>116</v>
      </c>
      <c r="H80" s="1" t="s">
        <v>77</v>
      </c>
      <c r="I80" s="1"/>
      <c r="J80" s="15">
        <v>399.71</v>
      </c>
      <c r="K80" s="15">
        <v>15053.77</v>
      </c>
    </row>
    <row r="81" spans="2:11" ht="16.25" customHeight="1" outlineLevel="5" x14ac:dyDescent="0.2">
      <c r="B81" s="1" t="s">
        <v>75</v>
      </c>
      <c r="C81" s="1" t="s">
        <v>26</v>
      </c>
      <c r="D81" s="1" t="s">
        <v>19</v>
      </c>
      <c r="E81" s="1" t="s">
        <v>51</v>
      </c>
      <c r="F81" s="1"/>
      <c r="G81" s="1" t="s">
        <v>117</v>
      </c>
      <c r="H81" s="1" t="s">
        <v>77</v>
      </c>
      <c r="I81" s="1"/>
      <c r="J81" s="15">
        <v>399.71</v>
      </c>
      <c r="K81" s="15">
        <v>15453.48</v>
      </c>
    </row>
    <row r="82" spans="2:11" ht="16.25" customHeight="1" outlineLevel="5" x14ac:dyDescent="0.2">
      <c r="B82" s="1" t="s">
        <v>75</v>
      </c>
      <c r="C82" s="1" t="s">
        <v>26</v>
      </c>
      <c r="D82" s="1" t="s">
        <v>19</v>
      </c>
      <c r="E82" s="1" t="s">
        <v>51</v>
      </c>
      <c r="F82" s="1"/>
      <c r="G82" s="1" t="s">
        <v>118</v>
      </c>
      <c r="H82" s="1" t="s">
        <v>77</v>
      </c>
      <c r="I82" s="1"/>
      <c r="J82" s="15">
        <v>399.71</v>
      </c>
      <c r="K82" s="15">
        <v>15853.19</v>
      </c>
    </row>
    <row r="83" spans="2:11" ht="16.25" customHeight="1" outlineLevel="5" x14ac:dyDescent="0.2">
      <c r="B83" s="1" t="s">
        <v>75</v>
      </c>
      <c r="C83" s="1" t="s">
        <v>26</v>
      </c>
      <c r="D83" s="1" t="s">
        <v>19</v>
      </c>
      <c r="E83" s="1" t="s">
        <v>51</v>
      </c>
      <c r="F83" s="1"/>
      <c r="G83" s="1" t="s">
        <v>119</v>
      </c>
      <c r="H83" s="1" t="s">
        <v>77</v>
      </c>
      <c r="I83" s="1"/>
      <c r="J83" s="15">
        <v>399.71</v>
      </c>
      <c r="K83" s="15">
        <v>16252.9</v>
      </c>
    </row>
    <row r="84" spans="2:11" ht="16.25" customHeight="1" outlineLevel="5" x14ac:dyDescent="0.2">
      <c r="B84" s="1" t="s">
        <v>75</v>
      </c>
      <c r="C84" s="1" t="s">
        <v>26</v>
      </c>
      <c r="D84" s="1" t="s">
        <v>19</v>
      </c>
      <c r="E84" s="1" t="s">
        <v>51</v>
      </c>
      <c r="F84" s="1"/>
      <c r="G84" s="1" t="s">
        <v>120</v>
      </c>
      <c r="H84" s="1" t="s">
        <v>77</v>
      </c>
      <c r="I84" s="1"/>
      <c r="J84" s="15">
        <v>399.71</v>
      </c>
      <c r="K84" s="15">
        <v>16652.61</v>
      </c>
    </row>
    <row r="85" spans="2:11" ht="16.25" customHeight="1" outlineLevel="5" x14ac:dyDescent="0.2">
      <c r="B85" s="1" t="s">
        <v>75</v>
      </c>
      <c r="C85" s="1" t="s">
        <v>29</v>
      </c>
      <c r="D85" s="1" t="s">
        <v>19</v>
      </c>
      <c r="E85" s="1" t="s">
        <v>30</v>
      </c>
      <c r="F85" s="1"/>
      <c r="G85" s="1" t="s">
        <v>121</v>
      </c>
      <c r="H85" s="1" t="s">
        <v>77</v>
      </c>
      <c r="I85" s="1"/>
      <c r="J85" s="15">
        <v>291.70999999999998</v>
      </c>
      <c r="K85" s="15">
        <v>16944.32</v>
      </c>
    </row>
    <row r="86" spans="2:11" ht="16.25" customHeight="1" outlineLevel="5" x14ac:dyDescent="0.2">
      <c r="B86" s="1" t="s">
        <v>75</v>
      </c>
      <c r="C86" s="1" t="s">
        <v>29</v>
      </c>
      <c r="D86" s="1" t="s">
        <v>19</v>
      </c>
      <c r="E86" s="1" t="s">
        <v>30</v>
      </c>
      <c r="F86" s="1"/>
      <c r="G86" s="1" t="s">
        <v>122</v>
      </c>
      <c r="H86" s="1" t="s">
        <v>77</v>
      </c>
      <c r="I86" s="1"/>
      <c r="J86" s="15">
        <v>291.70999999999998</v>
      </c>
      <c r="K86" s="15">
        <v>17236.03</v>
      </c>
    </row>
    <row r="87" spans="2:11" ht="16.25" customHeight="1" outlineLevel="5" x14ac:dyDescent="0.2">
      <c r="B87" s="1" t="s">
        <v>75</v>
      </c>
      <c r="C87" s="1" t="s">
        <v>29</v>
      </c>
      <c r="D87" s="1" t="s">
        <v>19</v>
      </c>
      <c r="E87" s="1" t="s">
        <v>30</v>
      </c>
      <c r="F87" s="1"/>
      <c r="G87" s="1" t="s">
        <v>123</v>
      </c>
      <c r="H87" s="1" t="s">
        <v>77</v>
      </c>
      <c r="I87" s="1"/>
      <c r="J87" s="15">
        <v>291.70999999999998</v>
      </c>
      <c r="K87" s="15">
        <v>17527.739999999991</v>
      </c>
    </row>
    <row r="88" spans="2:11" ht="16.25" customHeight="1" outlineLevel="5" x14ac:dyDescent="0.2">
      <c r="B88" s="1" t="s">
        <v>75</v>
      </c>
      <c r="C88" s="1" t="s">
        <v>29</v>
      </c>
      <c r="D88" s="1" t="s">
        <v>19</v>
      </c>
      <c r="E88" s="1" t="s">
        <v>30</v>
      </c>
      <c r="F88" s="1"/>
      <c r="G88" s="1" t="s">
        <v>124</v>
      </c>
      <c r="H88" s="1" t="s">
        <v>77</v>
      </c>
      <c r="I88" s="1"/>
      <c r="J88" s="15">
        <v>281.98</v>
      </c>
      <c r="K88" s="15">
        <v>17809.71999999999</v>
      </c>
    </row>
    <row r="89" spans="2:11" ht="16.25" customHeight="1" outlineLevel="5" x14ac:dyDescent="0.2">
      <c r="B89" s="1" t="s">
        <v>75</v>
      </c>
      <c r="C89" s="1" t="s">
        <v>29</v>
      </c>
      <c r="D89" s="1" t="s">
        <v>19</v>
      </c>
      <c r="E89" s="1" t="s">
        <v>30</v>
      </c>
      <c r="F89" s="1"/>
      <c r="G89" s="1" t="s">
        <v>125</v>
      </c>
      <c r="H89" s="1" t="s">
        <v>77</v>
      </c>
      <c r="I89" s="1"/>
      <c r="J89" s="15">
        <v>388.94</v>
      </c>
      <c r="K89" s="15">
        <v>18198.659999999989</v>
      </c>
    </row>
    <row r="90" spans="2:11" ht="16.25" customHeight="1" outlineLevel="5" x14ac:dyDescent="0.2">
      <c r="B90" s="1" t="s">
        <v>75</v>
      </c>
      <c r="C90" s="1" t="s">
        <v>29</v>
      </c>
      <c r="D90" s="1" t="s">
        <v>19</v>
      </c>
      <c r="E90" s="1" t="s">
        <v>53</v>
      </c>
      <c r="F90" s="1"/>
      <c r="G90" s="1" t="s">
        <v>126</v>
      </c>
      <c r="H90" s="1" t="s">
        <v>77</v>
      </c>
      <c r="I90" s="1"/>
      <c r="J90" s="15">
        <v>388.94</v>
      </c>
      <c r="K90" s="15">
        <v>18587.599999999991</v>
      </c>
    </row>
    <row r="91" spans="2:11" ht="16.25" customHeight="1" outlineLevel="5" x14ac:dyDescent="0.2">
      <c r="B91" s="1" t="s">
        <v>75</v>
      </c>
      <c r="C91" s="1" t="s">
        <v>29</v>
      </c>
      <c r="D91" s="1" t="s">
        <v>19</v>
      </c>
      <c r="E91" s="1" t="s">
        <v>53</v>
      </c>
      <c r="F91" s="1"/>
      <c r="G91" s="1" t="s">
        <v>127</v>
      </c>
      <c r="H91" s="1" t="s">
        <v>77</v>
      </c>
      <c r="I91" s="1"/>
      <c r="J91" s="15">
        <v>388.94</v>
      </c>
      <c r="K91" s="15">
        <v>18976.53999999999</v>
      </c>
    </row>
    <row r="92" spans="2:11" ht="16.25" customHeight="1" outlineLevel="5" x14ac:dyDescent="0.2">
      <c r="B92" s="1" t="s">
        <v>75</v>
      </c>
      <c r="C92" s="1" t="s">
        <v>29</v>
      </c>
      <c r="D92" s="1" t="s">
        <v>19</v>
      </c>
      <c r="E92" s="1" t="s">
        <v>53</v>
      </c>
      <c r="F92" s="1"/>
      <c r="G92" s="1" t="s">
        <v>128</v>
      </c>
      <c r="H92" s="1" t="s">
        <v>77</v>
      </c>
      <c r="I92" s="1"/>
      <c r="J92" s="15">
        <v>388.94</v>
      </c>
      <c r="K92" s="15">
        <v>19365.479999999989</v>
      </c>
    </row>
    <row r="93" spans="2:11" ht="16.25" customHeight="1" outlineLevel="5" x14ac:dyDescent="0.2">
      <c r="B93" s="1" t="s">
        <v>75</v>
      </c>
      <c r="C93" s="1" t="s">
        <v>29</v>
      </c>
      <c r="D93" s="1" t="s">
        <v>19</v>
      </c>
      <c r="E93" s="1" t="s">
        <v>53</v>
      </c>
      <c r="F93" s="1"/>
      <c r="G93" s="1" t="s">
        <v>129</v>
      </c>
      <c r="H93" s="1" t="s">
        <v>77</v>
      </c>
      <c r="I93" s="1"/>
      <c r="J93" s="15">
        <v>388.94</v>
      </c>
      <c r="K93" s="15">
        <v>19754.419999999991</v>
      </c>
    </row>
    <row r="94" spans="2:11" ht="16.25" customHeight="1" outlineLevel="5" x14ac:dyDescent="0.2">
      <c r="B94" s="1" t="s">
        <v>75</v>
      </c>
      <c r="C94" s="1" t="s">
        <v>29</v>
      </c>
      <c r="D94" s="1" t="s">
        <v>19</v>
      </c>
      <c r="E94" s="1" t="s">
        <v>53</v>
      </c>
      <c r="F94" s="1"/>
      <c r="G94" s="1" t="s">
        <v>130</v>
      </c>
      <c r="H94" s="1" t="s">
        <v>77</v>
      </c>
      <c r="I94" s="1"/>
      <c r="J94" s="15">
        <v>388.94</v>
      </c>
      <c r="K94" s="15">
        <v>20143.35999999999</v>
      </c>
    </row>
    <row r="95" spans="2:11" ht="16.25" customHeight="1" outlineLevel="5" x14ac:dyDescent="0.2">
      <c r="B95" s="1" t="s">
        <v>75</v>
      </c>
      <c r="C95" s="1" t="s">
        <v>29</v>
      </c>
      <c r="D95" s="1" t="s">
        <v>19</v>
      </c>
      <c r="E95" s="1" t="s">
        <v>55</v>
      </c>
      <c r="F95" s="1"/>
      <c r="G95" s="1" t="s">
        <v>131</v>
      </c>
      <c r="H95" s="1" t="s">
        <v>77</v>
      </c>
      <c r="I95" s="1"/>
      <c r="J95" s="15">
        <v>388.94</v>
      </c>
      <c r="K95" s="15">
        <v>20532.299999999981</v>
      </c>
    </row>
    <row r="96" spans="2:11" ht="16.25" customHeight="1" outlineLevel="5" x14ac:dyDescent="0.2">
      <c r="B96" s="1" t="s">
        <v>75</v>
      </c>
      <c r="C96" s="1" t="s">
        <v>29</v>
      </c>
      <c r="D96" s="1" t="s">
        <v>19</v>
      </c>
      <c r="E96" s="1" t="s">
        <v>55</v>
      </c>
      <c r="F96" s="1"/>
      <c r="G96" s="1" t="s">
        <v>132</v>
      </c>
      <c r="H96" s="1" t="s">
        <v>77</v>
      </c>
      <c r="I96" s="1"/>
      <c r="J96" s="15">
        <v>388.94</v>
      </c>
      <c r="K96" s="15">
        <v>20921.23999999998</v>
      </c>
    </row>
    <row r="97" spans="2:11" ht="16.25" customHeight="1" outlineLevel="5" x14ac:dyDescent="0.2">
      <c r="B97" s="1" t="s">
        <v>75</v>
      </c>
      <c r="C97" s="1" t="s">
        <v>29</v>
      </c>
      <c r="D97" s="1" t="s">
        <v>19</v>
      </c>
      <c r="E97" s="1" t="s">
        <v>55</v>
      </c>
      <c r="F97" s="1"/>
      <c r="G97" s="1" t="s">
        <v>133</v>
      </c>
      <c r="H97" s="1" t="s">
        <v>77</v>
      </c>
      <c r="I97" s="1"/>
      <c r="J97" s="15">
        <v>388.94</v>
      </c>
      <c r="K97" s="15">
        <v>21310.179999999978</v>
      </c>
    </row>
    <row r="98" spans="2:11" ht="16.25" customHeight="1" outlineLevel="5" x14ac:dyDescent="0.2">
      <c r="B98" s="1" t="s">
        <v>75</v>
      </c>
      <c r="C98" s="1" t="s">
        <v>29</v>
      </c>
      <c r="D98" s="1" t="s">
        <v>19</v>
      </c>
      <c r="E98" s="1" t="s">
        <v>55</v>
      </c>
      <c r="F98" s="1"/>
      <c r="G98" s="1" t="s">
        <v>134</v>
      </c>
      <c r="H98" s="1" t="s">
        <v>77</v>
      </c>
      <c r="I98" s="1"/>
      <c r="J98" s="15">
        <v>388.94</v>
      </c>
      <c r="K98" s="15">
        <v>21699.119999999981</v>
      </c>
    </row>
    <row r="99" spans="2:11" ht="16.25" customHeight="1" outlineLevel="5" x14ac:dyDescent="0.2">
      <c r="B99" s="1" t="s">
        <v>75</v>
      </c>
      <c r="C99" s="1" t="s">
        <v>29</v>
      </c>
      <c r="D99" s="1" t="s">
        <v>19</v>
      </c>
      <c r="E99" s="1" t="s">
        <v>55</v>
      </c>
      <c r="F99" s="1"/>
      <c r="G99" s="1" t="s">
        <v>135</v>
      </c>
      <c r="H99" s="1" t="s">
        <v>77</v>
      </c>
      <c r="I99" s="1"/>
      <c r="J99" s="15">
        <v>388.94</v>
      </c>
      <c r="K99" s="15">
        <v>22088.059999999979</v>
      </c>
    </row>
    <row r="100" spans="2:11" ht="16.25" customHeight="1" outlineLevel="5" x14ac:dyDescent="0.2">
      <c r="B100" s="1" t="s">
        <v>75</v>
      </c>
      <c r="C100" s="1" t="s">
        <v>32</v>
      </c>
      <c r="D100" s="1" t="s">
        <v>19</v>
      </c>
      <c r="E100" s="1" t="s">
        <v>33</v>
      </c>
      <c r="F100" s="1"/>
      <c r="G100" s="1" t="s">
        <v>136</v>
      </c>
      <c r="H100" s="1" t="s">
        <v>77</v>
      </c>
      <c r="I100" s="1"/>
      <c r="J100" s="15">
        <v>287.39</v>
      </c>
      <c r="K100" s="15">
        <v>22375.449999999979</v>
      </c>
    </row>
    <row r="101" spans="2:11" ht="16.25" customHeight="1" outlineLevel="5" x14ac:dyDescent="0.2">
      <c r="B101" s="1" t="s">
        <v>75</v>
      </c>
      <c r="C101" s="1" t="s">
        <v>32</v>
      </c>
      <c r="D101" s="1" t="s">
        <v>19</v>
      </c>
      <c r="E101" s="1" t="s">
        <v>33</v>
      </c>
      <c r="F101" s="1"/>
      <c r="G101" s="1" t="s">
        <v>137</v>
      </c>
      <c r="H101" s="1" t="s">
        <v>77</v>
      </c>
      <c r="I101" s="1"/>
      <c r="J101" s="15">
        <v>287.39</v>
      </c>
      <c r="K101" s="15">
        <v>22662.839999999978</v>
      </c>
    </row>
    <row r="102" spans="2:11" ht="16.25" customHeight="1" outlineLevel="5" x14ac:dyDescent="0.2">
      <c r="B102" s="1" t="s">
        <v>75</v>
      </c>
      <c r="C102" s="1" t="s">
        <v>32</v>
      </c>
      <c r="D102" s="1" t="s">
        <v>19</v>
      </c>
      <c r="E102" s="1" t="s">
        <v>33</v>
      </c>
      <c r="F102" s="1"/>
      <c r="G102" s="1" t="s">
        <v>138</v>
      </c>
      <c r="H102" s="1" t="s">
        <v>77</v>
      </c>
      <c r="I102" s="1"/>
      <c r="J102" s="15">
        <v>287.39</v>
      </c>
      <c r="K102" s="15">
        <v>22950.229999999981</v>
      </c>
    </row>
    <row r="103" spans="2:11" ht="16.25" customHeight="1" outlineLevel="5" x14ac:dyDescent="0.2">
      <c r="B103" s="1" t="s">
        <v>75</v>
      </c>
      <c r="C103" s="1" t="s">
        <v>32</v>
      </c>
      <c r="D103" s="1" t="s">
        <v>19</v>
      </c>
      <c r="E103" s="1" t="s">
        <v>33</v>
      </c>
      <c r="F103" s="1"/>
      <c r="G103" s="1" t="s">
        <v>139</v>
      </c>
      <c r="H103" s="1" t="s">
        <v>77</v>
      </c>
      <c r="I103" s="1"/>
      <c r="J103" s="15">
        <v>277.81</v>
      </c>
      <c r="K103" s="15">
        <v>23228.039999999979</v>
      </c>
    </row>
    <row r="104" spans="2:11" ht="16.25" customHeight="1" outlineLevel="5" x14ac:dyDescent="0.2">
      <c r="B104" s="1" t="s">
        <v>75</v>
      </c>
      <c r="C104" s="1" t="s">
        <v>32</v>
      </c>
      <c r="D104" s="1" t="s">
        <v>19</v>
      </c>
      <c r="E104" s="1" t="s">
        <v>33</v>
      </c>
      <c r="F104" s="1"/>
      <c r="G104" s="1" t="s">
        <v>140</v>
      </c>
      <c r="H104" s="1" t="s">
        <v>77</v>
      </c>
      <c r="I104" s="1"/>
      <c r="J104" s="15">
        <v>383.19</v>
      </c>
      <c r="K104" s="15">
        <v>23611.229999999981</v>
      </c>
    </row>
    <row r="105" spans="2:11" ht="16.25" customHeight="1" outlineLevel="5" x14ac:dyDescent="0.2">
      <c r="B105" s="1" t="s">
        <v>75</v>
      </c>
      <c r="C105" s="1" t="s">
        <v>32</v>
      </c>
      <c r="D105" s="1" t="s">
        <v>19</v>
      </c>
      <c r="E105" s="1" t="s">
        <v>57</v>
      </c>
      <c r="F105" s="1"/>
      <c r="G105" s="1" t="s">
        <v>141</v>
      </c>
      <c r="H105" s="1" t="s">
        <v>77</v>
      </c>
      <c r="I105" s="1"/>
      <c r="J105" s="15">
        <v>383.19</v>
      </c>
      <c r="K105" s="15">
        <v>23994.41999999998</v>
      </c>
    </row>
    <row r="106" spans="2:11" ht="16.25" customHeight="1" outlineLevel="5" x14ac:dyDescent="0.2">
      <c r="B106" s="1" t="s">
        <v>75</v>
      </c>
      <c r="C106" s="1" t="s">
        <v>32</v>
      </c>
      <c r="D106" s="1" t="s">
        <v>19</v>
      </c>
      <c r="E106" s="1" t="s">
        <v>57</v>
      </c>
      <c r="F106" s="1"/>
      <c r="G106" s="1" t="s">
        <v>142</v>
      </c>
      <c r="H106" s="1" t="s">
        <v>77</v>
      </c>
      <c r="I106" s="1"/>
      <c r="J106" s="15">
        <v>383.19</v>
      </c>
      <c r="K106" s="15">
        <v>24377.609999999979</v>
      </c>
    </row>
    <row r="107" spans="2:11" ht="16.25" customHeight="1" outlineLevel="5" x14ac:dyDescent="0.2">
      <c r="B107" s="1" t="s">
        <v>75</v>
      </c>
      <c r="C107" s="1" t="s">
        <v>32</v>
      </c>
      <c r="D107" s="1" t="s">
        <v>19</v>
      </c>
      <c r="E107" s="1" t="s">
        <v>57</v>
      </c>
      <c r="F107" s="1"/>
      <c r="G107" s="1" t="s">
        <v>143</v>
      </c>
      <c r="H107" s="1" t="s">
        <v>77</v>
      </c>
      <c r="I107" s="1"/>
      <c r="J107" s="15">
        <v>383.19</v>
      </c>
      <c r="K107" s="15">
        <v>24760.79999999997</v>
      </c>
    </row>
    <row r="108" spans="2:11" ht="16.25" customHeight="1" outlineLevel="5" x14ac:dyDescent="0.2">
      <c r="B108" s="1" t="s">
        <v>75</v>
      </c>
      <c r="C108" s="1" t="s">
        <v>32</v>
      </c>
      <c r="D108" s="1" t="s">
        <v>19</v>
      </c>
      <c r="E108" s="1" t="s">
        <v>57</v>
      </c>
      <c r="F108" s="1"/>
      <c r="G108" s="1" t="s">
        <v>144</v>
      </c>
      <c r="H108" s="1" t="s">
        <v>77</v>
      </c>
      <c r="I108" s="1"/>
      <c r="J108" s="15">
        <v>383.19</v>
      </c>
      <c r="K108" s="15">
        <v>25143.989999999969</v>
      </c>
    </row>
    <row r="109" spans="2:11" ht="16.25" customHeight="1" outlineLevel="5" x14ac:dyDescent="0.2">
      <c r="B109" s="1" t="s">
        <v>75</v>
      </c>
      <c r="C109" s="1" t="s">
        <v>32</v>
      </c>
      <c r="D109" s="1" t="s">
        <v>19</v>
      </c>
      <c r="E109" s="1" t="s">
        <v>57</v>
      </c>
      <c r="F109" s="1"/>
      <c r="G109" s="1" t="s">
        <v>145</v>
      </c>
      <c r="H109" s="1" t="s">
        <v>77</v>
      </c>
      <c r="I109" s="1"/>
      <c r="J109" s="15">
        <v>383.19</v>
      </c>
      <c r="K109" s="15">
        <v>25527.179999999971</v>
      </c>
    </row>
    <row r="110" spans="2:11" ht="16.25" customHeight="1" outlineLevel="5" x14ac:dyDescent="0.2">
      <c r="B110" s="1" t="s">
        <v>75</v>
      </c>
      <c r="C110" s="1" t="s">
        <v>32</v>
      </c>
      <c r="D110" s="1" t="s">
        <v>19</v>
      </c>
      <c r="E110" s="1" t="s">
        <v>59</v>
      </c>
      <c r="F110" s="1"/>
      <c r="G110" s="1" t="s">
        <v>146</v>
      </c>
      <c r="H110" s="1" t="s">
        <v>77</v>
      </c>
      <c r="I110" s="1"/>
      <c r="J110" s="15">
        <v>383.19</v>
      </c>
      <c r="K110" s="15">
        <v>25910.36999999997</v>
      </c>
    </row>
    <row r="111" spans="2:11" ht="16.25" customHeight="1" outlineLevel="5" x14ac:dyDescent="0.2">
      <c r="B111" s="1" t="s">
        <v>75</v>
      </c>
      <c r="C111" s="1" t="s">
        <v>32</v>
      </c>
      <c r="D111" s="1" t="s">
        <v>19</v>
      </c>
      <c r="E111" s="1" t="s">
        <v>59</v>
      </c>
      <c r="F111" s="1"/>
      <c r="G111" s="1" t="s">
        <v>147</v>
      </c>
      <c r="H111" s="1" t="s">
        <v>77</v>
      </c>
      <c r="I111" s="1"/>
      <c r="J111" s="15">
        <v>383.19</v>
      </c>
      <c r="K111" s="15">
        <v>26293.559999999969</v>
      </c>
    </row>
    <row r="112" spans="2:11" ht="16.25" customHeight="1" outlineLevel="5" x14ac:dyDescent="0.2">
      <c r="B112" s="1" t="s">
        <v>75</v>
      </c>
      <c r="C112" s="1" t="s">
        <v>32</v>
      </c>
      <c r="D112" s="1" t="s">
        <v>19</v>
      </c>
      <c r="E112" s="1" t="s">
        <v>59</v>
      </c>
      <c r="F112" s="1"/>
      <c r="G112" s="1" t="s">
        <v>148</v>
      </c>
      <c r="H112" s="1" t="s">
        <v>77</v>
      </c>
      <c r="I112" s="1"/>
      <c r="J112" s="15">
        <v>383.19</v>
      </c>
      <c r="K112" s="15">
        <v>26676.749999999971</v>
      </c>
    </row>
    <row r="113" spans="2:11" ht="16.25" customHeight="1" outlineLevel="5" x14ac:dyDescent="0.2">
      <c r="B113" s="1" t="s">
        <v>75</v>
      </c>
      <c r="C113" s="1" t="s">
        <v>32</v>
      </c>
      <c r="D113" s="1" t="s">
        <v>19</v>
      </c>
      <c r="E113" s="1" t="s">
        <v>59</v>
      </c>
      <c r="F113" s="1"/>
      <c r="G113" s="1" t="s">
        <v>149</v>
      </c>
      <c r="H113" s="1" t="s">
        <v>77</v>
      </c>
      <c r="I113" s="1"/>
      <c r="J113" s="15">
        <v>383.19</v>
      </c>
      <c r="K113" s="15">
        <v>27059.93999999997</v>
      </c>
    </row>
    <row r="114" spans="2:11" ht="16.25" customHeight="1" outlineLevel="5" x14ac:dyDescent="0.2">
      <c r="B114" s="1" t="s">
        <v>75</v>
      </c>
      <c r="C114" s="1" t="s">
        <v>32</v>
      </c>
      <c r="D114" s="1" t="s">
        <v>19</v>
      </c>
      <c r="E114" s="1" t="s">
        <v>59</v>
      </c>
      <c r="F114" s="1"/>
      <c r="G114" s="1" t="s">
        <v>150</v>
      </c>
      <c r="H114" s="1" t="s">
        <v>77</v>
      </c>
      <c r="I114" s="1"/>
      <c r="J114" s="15">
        <v>383.19</v>
      </c>
      <c r="K114" s="15">
        <v>27443.129999999961</v>
      </c>
    </row>
    <row r="115" spans="2:11" ht="16.25" customHeight="1" outlineLevel="5" x14ac:dyDescent="0.2">
      <c r="B115" s="1" t="s">
        <v>75</v>
      </c>
      <c r="C115" s="1" t="s">
        <v>35</v>
      </c>
      <c r="D115" s="1" t="s">
        <v>19</v>
      </c>
      <c r="E115" s="1" t="s">
        <v>36</v>
      </c>
      <c r="F115" s="1"/>
      <c r="G115" s="1" t="s">
        <v>151</v>
      </c>
      <c r="H115" s="1" t="s">
        <v>77</v>
      </c>
      <c r="I115" s="1"/>
      <c r="J115" s="15">
        <v>286.67</v>
      </c>
      <c r="K115" s="15">
        <v>27729.799999999959</v>
      </c>
    </row>
    <row r="116" spans="2:11" ht="16.25" customHeight="1" outlineLevel="5" x14ac:dyDescent="0.2">
      <c r="B116" s="1" t="s">
        <v>75</v>
      </c>
      <c r="C116" s="1" t="s">
        <v>35</v>
      </c>
      <c r="D116" s="1" t="s">
        <v>19</v>
      </c>
      <c r="E116" s="1" t="s">
        <v>36</v>
      </c>
      <c r="F116" s="1"/>
      <c r="G116" s="1" t="s">
        <v>152</v>
      </c>
      <c r="H116" s="1" t="s">
        <v>77</v>
      </c>
      <c r="I116" s="1"/>
      <c r="J116" s="15">
        <v>286.67</v>
      </c>
      <c r="K116" s="15">
        <v>28016.469999999961</v>
      </c>
    </row>
    <row r="117" spans="2:11" ht="16.25" customHeight="1" outlineLevel="5" x14ac:dyDescent="0.2">
      <c r="B117" s="1" t="s">
        <v>75</v>
      </c>
      <c r="C117" s="1" t="s">
        <v>35</v>
      </c>
      <c r="D117" s="1" t="s">
        <v>19</v>
      </c>
      <c r="E117" s="1" t="s">
        <v>36</v>
      </c>
      <c r="F117" s="1"/>
      <c r="G117" s="1" t="s">
        <v>153</v>
      </c>
      <c r="H117" s="1" t="s">
        <v>77</v>
      </c>
      <c r="I117" s="1"/>
      <c r="J117" s="15">
        <v>286.67</v>
      </c>
      <c r="K117" s="15">
        <v>28303.139999999959</v>
      </c>
    </row>
    <row r="118" spans="2:11" ht="16.25" customHeight="1" outlineLevel="5" x14ac:dyDescent="0.2">
      <c r="B118" s="1" t="s">
        <v>75</v>
      </c>
      <c r="C118" s="1" t="s">
        <v>35</v>
      </c>
      <c r="D118" s="1" t="s">
        <v>19</v>
      </c>
      <c r="E118" s="1" t="s">
        <v>36</v>
      </c>
      <c r="F118" s="1"/>
      <c r="G118" s="1" t="s">
        <v>154</v>
      </c>
      <c r="H118" s="1" t="s">
        <v>77</v>
      </c>
      <c r="I118" s="1"/>
      <c r="J118" s="15">
        <v>286.67</v>
      </c>
      <c r="K118" s="15">
        <v>28589.809999999961</v>
      </c>
    </row>
    <row r="119" spans="2:11" ht="16.25" customHeight="1" outlineLevel="5" x14ac:dyDescent="0.2">
      <c r="B119" s="1" t="s">
        <v>75</v>
      </c>
      <c r="C119" s="1" t="s">
        <v>35</v>
      </c>
      <c r="D119" s="1" t="s">
        <v>19</v>
      </c>
      <c r="E119" s="1" t="s">
        <v>36</v>
      </c>
      <c r="F119" s="1"/>
      <c r="G119" s="1" t="s">
        <v>155</v>
      </c>
      <c r="H119" s="1" t="s">
        <v>77</v>
      </c>
      <c r="I119" s="1"/>
      <c r="J119" s="15">
        <v>382.23</v>
      </c>
      <c r="K119" s="15">
        <v>28972.039999999961</v>
      </c>
    </row>
    <row r="120" spans="2:11" ht="16.25" customHeight="1" outlineLevel="5" x14ac:dyDescent="0.2">
      <c r="B120" s="1" t="s">
        <v>75</v>
      </c>
      <c r="C120" s="1" t="s">
        <v>35</v>
      </c>
      <c r="D120" s="1" t="s">
        <v>19</v>
      </c>
      <c r="E120" s="1" t="s">
        <v>61</v>
      </c>
      <c r="F120" s="1"/>
      <c r="G120" s="1" t="s">
        <v>156</v>
      </c>
      <c r="H120" s="1" t="s">
        <v>77</v>
      </c>
      <c r="I120" s="1"/>
      <c r="J120" s="15">
        <v>382.23</v>
      </c>
      <c r="K120" s="15">
        <v>29354.26999999996</v>
      </c>
    </row>
    <row r="121" spans="2:11" ht="16.25" customHeight="1" outlineLevel="5" x14ac:dyDescent="0.2">
      <c r="B121" s="1" t="s">
        <v>75</v>
      </c>
      <c r="C121" s="1" t="s">
        <v>35</v>
      </c>
      <c r="D121" s="1" t="s">
        <v>19</v>
      </c>
      <c r="E121" s="1" t="s">
        <v>61</v>
      </c>
      <c r="F121" s="1"/>
      <c r="G121" s="1" t="s">
        <v>157</v>
      </c>
      <c r="H121" s="1" t="s">
        <v>77</v>
      </c>
      <c r="I121" s="1"/>
      <c r="J121" s="15">
        <v>382.23</v>
      </c>
      <c r="K121" s="15">
        <v>29736.49999999996</v>
      </c>
    </row>
    <row r="122" spans="2:11" ht="16.25" customHeight="1" outlineLevel="5" x14ac:dyDescent="0.2">
      <c r="B122" s="1" t="s">
        <v>75</v>
      </c>
      <c r="C122" s="1" t="s">
        <v>35</v>
      </c>
      <c r="D122" s="1" t="s">
        <v>19</v>
      </c>
      <c r="E122" s="1" t="s">
        <v>61</v>
      </c>
      <c r="F122" s="1"/>
      <c r="G122" s="1" t="s">
        <v>158</v>
      </c>
      <c r="H122" s="1" t="s">
        <v>77</v>
      </c>
      <c r="I122" s="1"/>
      <c r="J122" s="15">
        <v>382.23</v>
      </c>
      <c r="K122" s="15">
        <v>30118.72999999996</v>
      </c>
    </row>
    <row r="123" spans="2:11" ht="16.25" customHeight="1" outlineLevel="5" x14ac:dyDescent="0.2">
      <c r="B123" s="1" t="s">
        <v>75</v>
      </c>
      <c r="C123" s="1" t="s">
        <v>35</v>
      </c>
      <c r="D123" s="1" t="s">
        <v>19</v>
      </c>
      <c r="E123" s="1" t="s">
        <v>61</v>
      </c>
      <c r="F123" s="1"/>
      <c r="G123" s="1" t="s">
        <v>159</v>
      </c>
      <c r="H123" s="1" t="s">
        <v>77</v>
      </c>
      <c r="I123" s="1"/>
      <c r="J123" s="15">
        <v>382.23</v>
      </c>
      <c r="K123" s="15">
        <v>30500.959999999959</v>
      </c>
    </row>
    <row r="124" spans="2:11" ht="16.25" customHeight="1" outlineLevel="5" x14ac:dyDescent="0.2">
      <c r="B124" s="1" t="s">
        <v>75</v>
      </c>
      <c r="C124" s="1" t="s">
        <v>35</v>
      </c>
      <c r="D124" s="1" t="s">
        <v>19</v>
      </c>
      <c r="E124" s="1" t="s">
        <v>61</v>
      </c>
      <c r="F124" s="1"/>
      <c r="G124" s="1" t="s">
        <v>160</v>
      </c>
      <c r="H124" s="1" t="s">
        <v>77</v>
      </c>
      <c r="I124" s="1"/>
      <c r="J124" s="15">
        <v>382.23</v>
      </c>
      <c r="K124" s="15">
        <v>30883.189999999959</v>
      </c>
    </row>
    <row r="125" spans="2:11" ht="16.25" customHeight="1" outlineLevel="5" x14ac:dyDescent="0.2">
      <c r="B125" s="1" t="s">
        <v>75</v>
      </c>
      <c r="C125" s="1" t="s">
        <v>35</v>
      </c>
      <c r="D125" s="1" t="s">
        <v>19</v>
      </c>
      <c r="E125" s="1" t="s">
        <v>63</v>
      </c>
      <c r="F125" s="1"/>
      <c r="G125" s="1" t="s">
        <v>161</v>
      </c>
      <c r="H125" s="1" t="s">
        <v>77</v>
      </c>
      <c r="I125" s="1"/>
      <c r="J125" s="15">
        <v>382.23</v>
      </c>
      <c r="K125" s="15">
        <v>31265.419999999951</v>
      </c>
    </row>
    <row r="126" spans="2:11" ht="16.25" customHeight="1" outlineLevel="5" x14ac:dyDescent="0.2">
      <c r="B126" s="1" t="s">
        <v>75</v>
      </c>
      <c r="C126" s="1" t="s">
        <v>35</v>
      </c>
      <c r="D126" s="1" t="s">
        <v>19</v>
      </c>
      <c r="E126" s="1" t="s">
        <v>63</v>
      </c>
      <c r="F126" s="1"/>
      <c r="G126" s="1" t="s">
        <v>162</v>
      </c>
      <c r="H126" s="1" t="s">
        <v>77</v>
      </c>
      <c r="I126" s="1"/>
      <c r="J126" s="15">
        <v>382.23</v>
      </c>
      <c r="K126" s="15">
        <v>31647.649999999951</v>
      </c>
    </row>
    <row r="127" spans="2:11" ht="16.25" customHeight="1" outlineLevel="5" x14ac:dyDescent="0.2">
      <c r="B127" s="1" t="s">
        <v>75</v>
      </c>
      <c r="C127" s="1" t="s">
        <v>35</v>
      </c>
      <c r="D127" s="1" t="s">
        <v>19</v>
      </c>
      <c r="E127" s="1" t="s">
        <v>63</v>
      </c>
      <c r="F127" s="1"/>
      <c r="G127" s="1" t="s">
        <v>163</v>
      </c>
      <c r="H127" s="1" t="s">
        <v>77</v>
      </c>
      <c r="I127" s="1"/>
      <c r="J127" s="15">
        <v>382.23</v>
      </c>
      <c r="K127" s="15">
        <v>32029.87999999995</v>
      </c>
    </row>
    <row r="128" spans="2:11" ht="16.25" customHeight="1" outlineLevel="5" x14ac:dyDescent="0.2">
      <c r="B128" s="1" t="s">
        <v>75</v>
      </c>
      <c r="C128" s="1" t="s">
        <v>35</v>
      </c>
      <c r="D128" s="1" t="s">
        <v>19</v>
      </c>
      <c r="E128" s="1" t="s">
        <v>63</v>
      </c>
      <c r="F128" s="1"/>
      <c r="G128" s="1" t="s">
        <v>164</v>
      </c>
      <c r="H128" s="1" t="s">
        <v>77</v>
      </c>
      <c r="I128" s="1"/>
      <c r="J128" s="15">
        <v>382.23</v>
      </c>
      <c r="K128" s="15">
        <v>32412.10999999995</v>
      </c>
    </row>
    <row r="129" spans="1:11" ht="16.25" customHeight="1" outlineLevel="5" x14ac:dyDescent="0.2">
      <c r="B129" s="1" t="s">
        <v>75</v>
      </c>
      <c r="C129" s="1" t="s">
        <v>35</v>
      </c>
      <c r="D129" s="1" t="s">
        <v>19</v>
      </c>
      <c r="E129" s="1" t="s">
        <v>63</v>
      </c>
      <c r="F129" s="1"/>
      <c r="G129" s="1" t="s">
        <v>165</v>
      </c>
      <c r="H129" s="1" t="s">
        <v>77</v>
      </c>
      <c r="I129" s="1"/>
      <c r="J129" s="15">
        <v>382.23</v>
      </c>
      <c r="K129" s="15">
        <v>32794.339999999953</v>
      </c>
    </row>
    <row r="130" spans="1:11" ht="16.25" customHeight="1" outlineLevel="4" x14ac:dyDescent="0.2">
      <c r="A130" s="10" t="s">
        <v>166</v>
      </c>
      <c r="J130" s="16">
        <f>J40+J41+J42+J43+J44+J45+J46+J47+J48+J49+J50+J51+J52+J53+J54+J55+J56+J57+J58+J59+J60+J61+J62+J63+J64+J65+J66+J67+J68+J69+J70+J71+J72+J73+J74+J75+J76+J77+J78+J79+J80+J81+J82+J83+J84+J85+J86+J87+J88+J89+J90+J91+J92+J93+J94+J95+J96+J97+J98+J99+J100+J101+J102+J103+J104+J105+J106+J107+J108+J109+J110+J111+J112+J113+J114+J115+J116+J117+J118+J119+J120+J121+J122+J123+J124+J125+J126+J127+J128+J129</f>
        <v>32794.339999999953</v>
      </c>
    </row>
    <row r="131" spans="1:11" ht="16.25" customHeight="1" outlineLevel="4" x14ac:dyDescent="0.2">
      <c r="A131" s="9" t="s">
        <v>167</v>
      </c>
    </row>
    <row r="132" spans="1:11" ht="16.25" customHeight="1" outlineLevel="5" x14ac:dyDescent="0.2">
      <c r="B132" s="1" t="s">
        <v>167</v>
      </c>
      <c r="C132" s="1" t="s">
        <v>18</v>
      </c>
      <c r="D132" s="1" t="s">
        <v>19</v>
      </c>
      <c r="E132" s="1" t="s">
        <v>20</v>
      </c>
      <c r="F132" s="1"/>
      <c r="G132" s="1" t="s">
        <v>168</v>
      </c>
      <c r="H132" s="1" t="s">
        <v>169</v>
      </c>
      <c r="I132" s="1"/>
      <c r="J132" s="15">
        <v>408.67</v>
      </c>
      <c r="K132" s="15">
        <v>408.67</v>
      </c>
    </row>
    <row r="133" spans="1:11" ht="16.25" customHeight="1" outlineLevel="5" x14ac:dyDescent="0.2">
      <c r="B133" s="1" t="s">
        <v>167</v>
      </c>
      <c r="C133" s="1" t="s">
        <v>18</v>
      </c>
      <c r="D133" s="1" t="s">
        <v>19</v>
      </c>
      <c r="E133" s="1" t="s">
        <v>40</v>
      </c>
      <c r="F133" s="1"/>
      <c r="G133" s="1" t="s">
        <v>170</v>
      </c>
      <c r="H133" s="1" t="s">
        <v>169</v>
      </c>
      <c r="I133" s="1"/>
      <c r="J133" s="15">
        <v>408.67</v>
      </c>
      <c r="K133" s="15">
        <v>817.34</v>
      </c>
    </row>
    <row r="134" spans="1:11" ht="16.25" customHeight="1" outlineLevel="5" x14ac:dyDescent="0.2">
      <c r="B134" s="1" t="s">
        <v>167</v>
      </c>
      <c r="C134" s="1" t="s">
        <v>18</v>
      </c>
      <c r="D134" s="1" t="s">
        <v>19</v>
      </c>
      <c r="E134" s="1" t="s">
        <v>43</v>
      </c>
      <c r="F134" s="1"/>
      <c r="G134" s="1" t="s">
        <v>171</v>
      </c>
      <c r="H134" s="1" t="s">
        <v>169</v>
      </c>
      <c r="I134" s="1"/>
      <c r="J134" s="15">
        <v>408.67</v>
      </c>
      <c r="K134" s="15">
        <v>1226.01</v>
      </c>
    </row>
    <row r="135" spans="1:11" ht="16.25" customHeight="1" outlineLevel="5" x14ac:dyDescent="0.2">
      <c r="B135" s="1" t="s">
        <v>167</v>
      </c>
      <c r="C135" s="1" t="s">
        <v>18</v>
      </c>
      <c r="D135" s="1" t="s">
        <v>19</v>
      </c>
      <c r="E135" s="1" t="s">
        <v>43</v>
      </c>
      <c r="F135" s="1"/>
      <c r="G135" s="1" t="s">
        <v>172</v>
      </c>
      <c r="H135" s="1" t="s">
        <v>169</v>
      </c>
      <c r="I135" s="1"/>
      <c r="J135" s="15">
        <v>408.67</v>
      </c>
      <c r="K135" s="15">
        <v>1634.68</v>
      </c>
    </row>
    <row r="136" spans="1:11" ht="16.25" customHeight="1" outlineLevel="5" x14ac:dyDescent="0.2">
      <c r="B136" s="1" t="s">
        <v>167</v>
      </c>
      <c r="C136" s="1" t="s">
        <v>23</v>
      </c>
      <c r="D136" s="1" t="s">
        <v>19</v>
      </c>
      <c r="E136" s="1" t="s">
        <v>24</v>
      </c>
      <c r="F136" s="1"/>
      <c r="G136" s="1" t="s">
        <v>173</v>
      </c>
      <c r="H136" s="1" t="s">
        <v>169</v>
      </c>
      <c r="I136" s="1"/>
      <c r="J136" s="15">
        <v>411.68</v>
      </c>
      <c r="K136" s="15">
        <v>2046.36</v>
      </c>
    </row>
    <row r="137" spans="1:11" ht="16.25" customHeight="1" outlineLevel="5" x14ac:dyDescent="0.2">
      <c r="B137" s="1" t="s">
        <v>167</v>
      </c>
      <c r="C137" s="1" t="s">
        <v>23</v>
      </c>
      <c r="D137" s="1" t="s">
        <v>19</v>
      </c>
      <c r="E137" s="1" t="s">
        <v>24</v>
      </c>
      <c r="F137" s="1"/>
      <c r="G137" s="1" t="s">
        <v>174</v>
      </c>
      <c r="H137" s="1" t="s">
        <v>169</v>
      </c>
      <c r="I137" s="1"/>
      <c r="J137" s="15">
        <v>411.68</v>
      </c>
      <c r="K137" s="15">
        <v>2458.04</v>
      </c>
    </row>
    <row r="138" spans="1:11" ht="16.25" customHeight="1" outlineLevel="5" x14ac:dyDescent="0.2">
      <c r="B138" s="1" t="s">
        <v>167</v>
      </c>
      <c r="C138" s="1" t="s">
        <v>23</v>
      </c>
      <c r="D138" s="1" t="s">
        <v>19</v>
      </c>
      <c r="E138" s="1" t="s">
        <v>45</v>
      </c>
      <c r="F138" s="1"/>
      <c r="G138" s="1" t="s">
        <v>175</v>
      </c>
      <c r="H138" s="1" t="s">
        <v>169</v>
      </c>
      <c r="I138" s="1"/>
      <c r="J138" s="15">
        <v>411.68</v>
      </c>
      <c r="K138" s="15">
        <v>2869.72</v>
      </c>
    </row>
    <row r="139" spans="1:11" ht="16.25" customHeight="1" outlineLevel="5" x14ac:dyDescent="0.2">
      <c r="B139" s="1" t="s">
        <v>167</v>
      </c>
      <c r="C139" s="1" t="s">
        <v>23</v>
      </c>
      <c r="D139" s="1" t="s">
        <v>19</v>
      </c>
      <c r="E139" s="1" t="s">
        <v>45</v>
      </c>
      <c r="F139" s="1"/>
      <c r="G139" s="1" t="s">
        <v>176</v>
      </c>
      <c r="H139" s="1" t="s">
        <v>169</v>
      </c>
      <c r="I139" s="1"/>
      <c r="J139" s="15">
        <v>329.35</v>
      </c>
      <c r="K139" s="15">
        <v>3199.07</v>
      </c>
    </row>
    <row r="140" spans="1:11" ht="16.25" customHeight="1" outlineLevel="5" x14ac:dyDescent="0.2">
      <c r="B140" s="1" t="s">
        <v>167</v>
      </c>
      <c r="C140" s="1" t="s">
        <v>23</v>
      </c>
      <c r="D140" s="1" t="s">
        <v>19</v>
      </c>
      <c r="E140" s="1" t="s">
        <v>47</v>
      </c>
      <c r="F140" s="1"/>
      <c r="G140" s="1" t="s">
        <v>177</v>
      </c>
      <c r="H140" s="1" t="s">
        <v>169</v>
      </c>
      <c r="I140" s="1"/>
      <c r="J140" s="15">
        <v>411.68</v>
      </c>
      <c r="K140" s="15">
        <v>3610.75</v>
      </c>
    </row>
    <row r="141" spans="1:11" ht="16.25" customHeight="1" outlineLevel="5" x14ac:dyDescent="0.2">
      <c r="B141" s="1" t="s">
        <v>167</v>
      </c>
      <c r="C141" s="1" t="s">
        <v>23</v>
      </c>
      <c r="D141" s="1" t="s">
        <v>19</v>
      </c>
      <c r="E141" s="1" t="s">
        <v>47</v>
      </c>
      <c r="F141" s="1"/>
      <c r="G141" s="1" t="s">
        <v>178</v>
      </c>
      <c r="H141" s="1" t="s">
        <v>169</v>
      </c>
      <c r="I141" s="1"/>
      <c r="J141" s="15">
        <v>411.68</v>
      </c>
      <c r="K141" s="15">
        <v>4022.4299999999989</v>
      </c>
    </row>
    <row r="142" spans="1:11" ht="16.25" customHeight="1" outlineLevel="5" x14ac:dyDescent="0.2">
      <c r="B142" s="1" t="s">
        <v>167</v>
      </c>
      <c r="C142" s="1" t="s">
        <v>26</v>
      </c>
      <c r="D142" s="1" t="s">
        <v>19</v>
      </c>
      <c r="E142" s="1" t="s">
        <v>27</v>
      </c>
      <c r="F142" s="1"/>
      <c r="G142" s="1" t="s">
        <v>179</v>
      </c>
      <c r="H142" s="1" t="s">
        <v>169</v>
      </c>
      <c r="I142" s="1"/>
      <c r="J142" s="15">
        <v>399.71</v>
      </c>
      <c r="K142" s="15">
        <v>4422.1399999999994</v>
      </c>
    </row>
    <row r="143" spans="1:11" ht="16.25" customHeight="1" outlineLevel="5" x14ac:dyDescent="0.2">
      <c r="B143" s="1" t="s">
        <v>167</v>
      </c>
      <c r="C143" s="1" t="s">
        <v>26</v>
      </c>
      <c r="D143" s="1" t="s">
        <v>19</v>
      </c>
      <c r="E143" s="1" t="s">
        <v>27</v>
      </c>
      <c r="F143" s="1"/>
      <c r="G143" s="1" t="s">
        <v>180</v>
      </c>
      <c r="H143" s="1" t="s">
        <v>169</v>
      </c>
      <c r="I143" s="1"/>
      <c r="J143" s="15">
        <v>399.71</v>
      </c>
      <c r="K143" s="15">
        <v>4821.8499999999995</v>
      </c>
    </row>
    <row r="144" spans="1:11" ht="16.25" customHeight="1" outlineLevel="5" x14ac:dyDescent="0.2">
      <c r="B144" s="1" t="s">
        <v>167</v>
      </c>
      <c r="C144" s="1" t="s">
        <v>26</v>
      </c>
      <c r="D144" s="1" t="s">
        <v>19</v>
      </c>
      <c r="E144" s="1" t="s">
        <v>49</v>
      </c>
      <c r="F144" s="1"/>
      <c r="G144" s="1" t="s">
        <v>181</v>
      </c>
      <c r="H144" s="1" t="s">
        <v>169</v>
      </c>
      <c r="I144" s="1"/>
      <c r="J144" s="15">
        <v>399.71</v>
      </c>
      <c r="K144" s="15">
        <v>5221.5599999999986</v>
      </c>
    </row>
    <row r="145" spans="2:11" ht="16.25" customHeight="1" outlineLevel="5" x14ac:dyDescent="0.2">
      <c r="B145" s="1" t="s">
        <v>167</v>
      </c>
      <c r="C145" s="1" t="s">
        <v>26</v>
      </c>
      <c r="D145" s="1" t="s">
        <v>19</v>
      </c>
      <c r="E145" s="1" t="s">
        <v>49</v>
      </c>
      <c r="F145" s="1"/>
      <c r="G145" s="1" t="s">
        <v>182</v>
      </c>
      <c r="H145" s="1" t="s">
        <v>169</v>
      </c>
      <c r="I145" s="1"/>
      <c r="J145" s="15">
        <v>399.71</v>
      </c>
      <c r="K145" s="15">
        <v>5621.27</v>
      </c>
    </row>
    <row r="146" spans="2:11" ht="16.25" customHeight="1" outlineLevel="5" x14ac:dyDescent="0.2">
      <c r="B146" s="1" t="s">
        <v>167</v>
      </c>
      <c r="C146" s="1" t="s">
        <v>26</v>
      </c>
      <c r="D146" s="1" t="s">
        <v>19</v>
      </c>
      <c r="E146" s="1" t="s">
        <v>51</v>
      </c>
      <c r="F146" s="1"/>
      <c r="G146" s="1" t="s">
        <v>183</v>
      </c>
      <c r="H146" s="1" t="s">
        <v>169</v>
      </c>
      <c r="I146" s="1"/>
      <c r="J146" s="15">
        <v>399.71</v>
      </c>
      <c r="K146" s="15">
        <v>6020.98</v>
      </c>
    </row>
    <row r="147" spans="2:11" ht="16.25" customHeight="1" outlineLevel="5" x14ac:dyDescent="0.2">
      <c r="B147" s="1" t="s">
        <v>167</v>
      </c>
      <c r="C147" s="1" t="s">
        <v>26</v>
      </c>
      <c r="D147" s="1" t="s">
        <v>19</v>
      </c>
      <c r="E147" s="1" t="s">
        <v>51</v>
      </c>
      <c r="F147" s="1"/>
      <c r="G147" s="1" t="s">
        <v>184</v>
      </c>
      <c r="H147" s="1" t="s">
        <v>169</v>
      </c>
      <c r="I147" s="1"/>
      <c r="J147" s="15">
        <v>399.71</v>
      </c>
      <c r="K147" s="15">
        <v>6420.69</v>
      </c>
    </row>
    <row r="148" spans="2:11" ht="16.25" customHeight="1" outlineLevel="5" x14ac:dyDescent="0.2">
      <c r="B148" s="1" t="s">
        <v>167</v>
      </c>
      <c r="C148" s="1" t="s">
        <v>29</v>
      </c>
      <c r="D148" s="1" t="s">
        <v>19</v>
      </c>
      <c r="E148" s="1" t="s">
        <v>30</v>
      </c>
      <c r="F148" s="1"/>
      <c r="G148" s="1" t="s">
        <v>185</v>
      </c>
      <c r="H148" s="1" t="s">
        <v>169</v>
      </c>
      <c r="I148" s="1"/>
      <c r="J148" s="15">
        <v>388.94</v>
      </c>
      <c r="K148" s="15">
        <v>6809.6299999999992</v>
      </c>
    </row>
    <row r="149" spans="2:11" ht="16.25" customHeight="1" outlineLevel="5" x14ac:dyDescent="0.2">
      <c r="B149" s="1" t="s">
        <v>167</v>
      </c>
      <c r="C149" s="1" t="s">
        <v>29</v>
      </c>
      <c r="D149" s="1" t="s">
        <v>19</v>
      </c>
      <c r="E149" s="1" t="s">
        <v>30</v>
      </c>
      <c r="F149" s="1"/>
      <c r="G149" s="1" t="s">
        <v>186</v>
      </c>
      <c r="H149" s="1" t="s">
        <v>169</v>
      </c>
      <c r="I149" s="1"/>
      <c r="J149" s="15">
        <v>388.94</v>
      </c>
      <c r="K149" s="15">
        <v>7198.5699999999988</v>
      </c>
    </row>
    <row r="150" spans="2:11" ht="16.25" customHeight="1" outlineLevel="5" x14ac:dyDescent="0.2">
      <c r="B150" s="1" t="s">
        <v>167</v>
      </c>
      <c r="C150" s="1" t="s">
        <v>29</v>
      </c>
      <c r="D150" s="1" t="s">
        <v>19</v>
      </c>
      <c r="E150" s="1" t="s">
        <v>53</v>
      </c>
      <c r="F150" s="1"/>
      <c r="G150" s="1" t="s">
        <v>187</v>
      </c>
      <c r="H150" s="1" t="s">
        <v>169</v>
      </c>
      <c r="I150" s="1"/>
      <c r="J150" s="15">
        <v>388.94</v>
      </c>
      <c r="K150" s="15">
        <v>7587.5099999999984</v>
      </c>
    </row>
    <row r="151" spans="2:11" ht="16.25" customHeight="1" outlineLevel="5" x14ac:dyDescent="0.2">
      <c r="B151" s="1" t="s">
        <v>167</v>
      </c>
      <c r="C151" s="1" t="s">
        <v>29</v>
      </c>
      <c r="D151" s="1" t="s">
        <v>19</v>
      </c>
      <c r="E151" s="1" t="s">
        <v>53</v>
      </c>
      <c r="F151" s="1"/>
      <c r="G151" s="1" t="s">
        <v>188</v>
      </c>
      <c r="H151" s="1" t="s">
        <v>169</v>
      </c>
      <c r="I151" s="1"/>
      <c r="J151" s="15">
        <v>388.94</v>
      </c>
      <c r="K151" s="15">
        <v>7976.449999999998</v>
      </c>
    </row>
    <row r="152" spans="2:11" ht="16.25" customHeight="1" outlineLevel="5" x14ac:dyDescent="0.2">
      <c r="B152" s="1" t="s">
        <v>167</v>
      </c>
      <c r="C152" s="1" t="s">
        <v>29</v>
      </c>
      <c r="D152" s="1" t="s">
        <v>19</v>
      </c>
      <c r="E152" s="1" t="s">
        <v>55</v>
      </c>
      <c r="F152" s="1"/>
      <c r="G152" s="1" t="s">
        <v>189</v>
      </c>
      <c r="H152" s="1" t="s">
        <v>169</v>
      </c>
      <c r="I152" s="1"/>
      <c r="J152" s="15">
        <v>375.97</v>
      </c>
      <c r="K152" s="15">
        <v>8352.4199999999983</v>
      </c>
    </row>
    <row r="153" spans="2:11" ht="16.25" customHeight="1" outlineLevel="5" x14ac:dyDescent="0.2">
      <c r="B153" s="1" t="s">
        <v>167</v>
      </c>
      <c r="C153" s="1" t="s">
        <v>29</v>
      </c>
      <c r="D153" s="1" t="s">
        <v>19</v>
      </c>
      <c r="E153" s="1" t="s">
        <v>55</v>
      </c>
      <c r="F153" s="1"/>
      <c r="G153" s="1" t="s">
        <v>190</v>
      </c>
      <c r="H153" s="1" t="s">
        <v>169</v>
      </c>
      <c r="I153" s="1"/>
      <c r="J153" s="15">
        <v>388.94</v>
      </c>
      <c r="K153" s="15">
        <v>8741.3599999999988</v>
      </c>
    </row>
    <row r="154" spans="2:11" ht="16.25" customHeight="1" outlineLevel="5" x14ac:dyDescent="0.2">
      <c r="B154" s="1" t="s">
        <v>167</v>
      </c>
      <c r="C154" s="1" t="s">
        <v>32</v>
      </c>
      <c r="D154" s="1" t="s">
        <v>19</v>
      </c>
      <c r="E154" s="1" t="s">
        <v>33</v>
      </c>
      <c r="F154" s="1"/>
      <c r="G154" s="1" t="s">
        <v>191</v>
      </c>
      <c r="H154" s="1" t="s">
        <v>169</v>
      </c>
      <c r="I154" s="1"/>
      <c r="J154" s="15">
        <v>383.19</v>
      </c>
      <c r="K154" s="15">
        <v>9124.5499999999993</v>
      </c>
    </row>
    <row r="155" spans="2:11" ht="16.25" customHeight="1" outlineLevel="5" x14ac:dyDescent="0.2">
      <c r="B155" s="1" t="s">
        <v>167</v>
      </c>
      <c r="C155" s="1" t="s">
        <v>32</v>
      </c>
      <c r="D155" s="1" t="s">
        <v>19</v>
      </c>
      <c r="E155" s="1" t="s">
        <v>33</v>
      </c>
      <c r="F155" s="1"/>
      <c r="G155" s="1" t="s">
        <v>192</v>
      </c>
      <c r="H155" s="1" t="s">
        <v>169</v>
      </c>
      <c r="I155" s="1"/>
      <c r="J155" s="15">
        <v>383.19</v>
      </c>
      <c r="K155" s="15">
        <v>9507.74</v>
      </c>
    </row>
    <row r="156" spans="2:11" ht="16.25" customHeight="1" outlineLevel="5" x14ac:dyDescent="0.2">
      <c r="B156" s="1" t="s">
        <v>167</v>
      </c>
      <c r="C156" s="1" t="s">
        <v>32</v>
      </c>
      <c r="D156" s="1" t="s">
        <v>19</v>
      </c>
      <c r="E156" s="1" t="s">
        <v>57</v>
      </c>
      <c r="F156" s="1"/>
      <c r="G156" s="1" t="s">
        <v>193</v>
      </c>
      <c r="H156" s="1" t="s">
        <v>169</v>
      </c>
      <c r="I156" s="1"/>
      <c r="J156" s="15">
        <v>370.42</v>
      </c>
      <c r="K156" s="15">
        <v>9878.16</v>
      </c>
    </row>
    <row r="157" spans="2:11" ht="16.25" customHeight="1" outlineLevel="5" x14ac:dyDescent="0.2">
      <c r="B157" s="1" t="s">
        <v>167</v>
      </c>
      <c r="C157" s="1" t="s">
        <v>32</v>
      </c>
      <c r="D157" s="1" t="s">
        <v>19</v>
      </c>
      <c r="E157" s="1" t="s">
        <v>57</v>
      </c>
      <c r="F157" s="1"/>
      <c r="G157" s="1" t="s">
        <v>194</v>
      </c>
      <c r="H157" s="1" t="s">
        <v>169</v>
      </c>
      <c r="I157" s="1"/>
      <c r="J157" s="15">
        <v>344.87</v>
      </c>
      <c r="K157" s="15">
        <v>10223.030000000001</v>
      </c>
    </row>
    <row r="158" spans="2:11" ht="16.25" customHeight="1" outlineLevel="5" x14ac:dyDescent="0.2">
      <c r="B158" s="1" t="s">
        <v>167</v>
      </c>
      <c r="C158" s="1" t="s">
        <v>32</v>
      </c>
      <c r="D158" s="1" t="s">
        <v>19</v>
      </c>
      <c r="E158" s="1" t="s">
        <v>59</v>
      </c>
      <c r="F158" s="1"/>
      <c r="G158" s="1" t="s">
        <v>195</v>
      </c>
      <c r="H158" s="1" t="s">
        <v>169</v>
      </c>
      <c r="I158" s="1"/>
      <c r="J158" s="15">
        <v>383.19</v>
      </c>
      <c r="K158" s="15">
        <v>10606.22</v>
      </c>
    </row>
    <row r="159" spans="2:11" ht="16.25" customHeight="1" outlineLevel="5" x14ac:dyDescent="0.2">
      <c r="B159" s="1" t="s">
        <v>167</v>
      </c>
      <c r="C159" s="1" t="s">
        <v>32</v>
      </c>
      <c r="D159" s="1" t="s">
        <v>19</v>
      </c>
      <c r="E159" s="1" t="s">
        <v>59</v>
      </c>
      <c r="F159" s="1"/>
      <c r="G159" s="1" t="s">
        <v>196</v>
      </c>
      <c r="H159" s="1" t="s">
        <v>169</v>
      </c>
      <c r="I159" s="1"/>
      <c r="J159" s="15">
        <v>383.19</v>
      </c>
      <c r="K159" s="15">
        <v>10989.41</v>
      </c>
    </row>
    <row r="160" spans="2:11" ht="16.25" customHeight="1" outlineLevel="5" x14ac:dyDescent="0.2">
      <c r="B160" s="1" t="s">
        <v>167</v>
      </c>
      <c r="C160" s="1" t="s">
        <v>35</v>
      </c>
      <c r="D160" s="1" t="s">
        <v>19</v>
      </c>
      <c r="E160" s="1" t="s">
        <v>36</v>
      </c>
      <c r="F160" s="1"/>
      <c r="G160" s="1" t="s">
        <v>197</v>
      </c>
      <c r="H160" s="1" t="s">
        <v>169</v>
      </c>
      <c r="I160" s="1"/>
      <c r="J160" s="15">
        <v>382.23</v>
      </c>
      <c r="K160" s="15">
        <v>11371.64</v>
      </c>
    </row>
    <row r="161" spans="1:11" ht="16.25" customHeight="1" outlineLevel="5" x14ac:dyDescent="0.2">
      <c r="B161" s="1" t="s">
        <v>167</v>
      </c>
      <c r="C161" s="1" t="s">
        <v>35</v>
      </c>
      <c r="D161" s="1" t="s">
        <v>19</v>
      </c>
      <c r="E161" s="1" t="s">
        <v>36</v>
      </c>
      <c r="F161" s="1"/>
      <c r="G161" s="1" t="s">
        <v>198</v>
      </c>
      <c r="H161" s="1" t="s">
        <v>169</v>
      </c>
      <c r="I161" s="1"/>
      <c r="J161" s="15">
        <v>382.23</v>
      </c>
      <c r="K161" s="15">
        <v>11753.87</v>
      </c>
    </row>
    <row r="162" spans="1:11" ht="16.25" customHeight="1" outlineLevel="5" x14ac:dyDescent="0.2">
      <c r="B162" s="1" t="s">
        <v>167</v>
      </c>
      <c r="C162" s="1" t="s">
        <v>35</v>
      </c>
      <c r="D162" s="1" t="s">
        <v>19</v>
      </c>
      <c r="E162" s="1" t="s">
        <v>61</v>
      </c>
      <c r="F162" s="1"/>
      <c r="G162" s="1" t="s">
        <v>199</v>
      </c>
      <c r="H162" s="1" t="s">
        <v>169</v>
      </c>
      <c r="I162" s="1"/>
      <c r="J162" s="15">
        <v>382.23</v>
      </c>
      <c r="K162" s="15">
        <v>12136.1</v>
      </c>
    </row>
    <row r="163" spans="1:11" ht="16.25" customHeight="1" outlineLevel="5" x14ac:dyDescent="0.2">
      <c r="B163" s="1" t="s">
        <v>167</v>
      </c>
      <c r="C163" s="1" t="s">
        <v>35</v>
      </c>
      <c r="D163" s="1" t="s">
        <v>19</v>
      </c>
      <c r="E163" s="1" t="s">
        <v>61</v>
      </c>
      <c r="F163" s="1"/>
      <c r="G163" s="1" t="s">
        <v>200</v>
      </c>
      <c r="H163" s="1" t="s">
        <v>169</v>
      </c>
      <c r="I163" s="1"/>
      <c r="J163" s="15">
        <v>369.49</v>
      </c>
      <c r="K163" s="15">
        <v>12505.59</v>
      </c>
    </row>
    <row r="164" spans="1:11" ht="16.25" customHeight="1" outlineLevel="5" x14ac:dyDescent="0.2">
      <c r="B164" s="1" t="s">
        <v>167</v>
      </c>
      <c r="C164" s="1" t="s">
        <v>35</v>
      </c>
      <c r="D164" s="1" t="s">
        <v>19</v>
      </c>
      <c r="E164" s="1" t="s">
        <v>63</v>
      </c>
      <c r="F164" s="1"/>
      <c r="G164" s="1" t="s">
        <v>201</v>
      </c>
      <c r="H164" s="1" t="s">
        <v>169</v>
      </c>
      <c r="I164" s="1"/>
      <c r="J164" s="15">
        <v>382.23</v>
      </c>
      <c r="K164" s="15">
        <v>12887.82</v>
      </c>
    </row>
    <row r="165" spans="1:11" ht="16.25" customHeight="1" outlineLevel="5" x14ac:dyDescent="0.2">
      <c r="B165" s="1" t="s">
        <v>167</v>
      </c>
      <c r="C165" s="1" t="s">
        <v>35</v>
      </c>
      <c r="D165" s="1" t="s">
        <v>19</v>
      </c>
      <c r="E165" s="1" t="s">
        <v>63</v>
      </c>
      <c r="F165" s="1"/>
      <c r="G165" s="1" t="s">
        <v>202</v>
      </c>
      <c r="H165" s="1" t="s">
        <v>169</v>
      </c>
      <c r="I165" s="1"/>
      <c r="J165" s="15">
        <v>382.23</v>
      </c>
      <c r="K165" s="15">
        <v>13270.05</v>
      </c>
    </row>
    <row r="166" spans="1:11" ht="16.25" customHeight="1" outlineLevel="4" x14ac:dyDescent="0.2">
      <c r="A166" s="10" t="s">
        <v>203</v>
      </c>
      <c r="J166" s="16">
        <f>J131+J132+J133+J134+J135+J136+J137+J138+J139+J140+J141+J142+J143+J144+J145+J146+J147+J148+J149+J150+J151+J152+J153+J154+J155+J156+J157+J158+J159+J160+J161+J162+J163+J164+J165</f>
        <v>13270.05</v>
      </c>
    </row>
    <row r="167" spans="1:11" ht="16.25" customHeight="1" outlineLevel="4" x14ac:dyDescent="0.2">
      <c r="A167" s="9" t="s">
        <v>204</v>
      </c>
    </row>
    <row r="168" spans="1:11" ht="16.25" customHeight="1" outlineLevel="5" x14ac:dyDescent="0.2">
      <c r="B168" s="1" t="s">
        <v>204</v>
      </c>
      <c r="C168" s="1" t="s">
        <v>18</v>
      </c>
      <c r="D168" s="1" t="s">
        <v>19</v>
      </c>
      <c r="E168" s="1" t="s">
        <v>43</v>
      </c>
      <c r="F168" s="1"/>
      <c r="G168" s="1" t="s">
        <v>205</v>
      </c>
      <c r="H168" s="1" t="s">
        <v>206</v>
      </c>
      <c r="I168" s="1"/>
      <c r="J168" s="15">
        <v>614.12</v>
      </c>
      <c r="K168" s="15">
        <v>614.12</v>
      </c>
    </row>
    <row r="169" spans="1:11" ht="16.25" customHeight="1" outlineLevel="5" x14ac:dyDescent="0.2">
      <c r="B169" s="1" t="s">
        <v>204</v>
      </c>
      <c r="C169" s="1" t="s">
        <v>23</v>
      </c>
      <c r="D169" s="1" t="s">
        <v>19</v>
      </c>
      <c r="E169" s="1" t="s">
        <v>47</v>
      </c>
      <c r="F169" s="1"/>
      <c r="G169" s="1" t="s">
        <v>207</v>
      </c>
      <c r="H169" s="1" t="s">
        <v>206</v>
      </c>
      <c r="I169" s="1"/>
      <c r="J169" s="15">
        <v>618.65</v>
      </c>
      <c r="K169" s="15">
        <v>1232.77</v>
      </c>
    </row>
    <row r="170" spans="1:11" ht="16.25" customHeight="1" outlineLevel="5" x14ac:dyDescent="0.2">
      <c r="B170" s="1" t="s">
        <v>204</v>
      </c>
      <c r="C170" s="1" t="s">
        <v>26</v>
      </c>
      <c r="D170" s="1" t="s">
        <v>19</v>
      </c>
      <c r="E170" s="1" t="s">
        <v>51</v>
      </c>
      <c r="F170" s="1"/>
      <c r="G170" s="1" t="s">
        <v>208</v>
      </c>
      <c r="H170" s="1" t="s">
        <v>206</v>
      </c>
      <c r="I170" s="1"/>
      <c r="J170" s="15">
        <v>600.65</v>
      </c>
      <c r="K170" s="15">
        <v>1833.42</v>
      </c>
    </row>
    <row r="171" spans="1:11" ht="16.25" customHeight="1" outlineLevel="5" x14ac:dyDescent="0.2">
      <c r="B171" s="1" t="s">
        <v>204</v>
      </c>
      <c r="C171" s="1" t="s">
        <v>29</v>
      </c>
      <c r="D171" s="1" t="s">
        <v>19</v>
      </c>
      <c r="E171" s="1" t="s">
        <v>55</v>
      </c>
      <c r="F171" s="1"/>
      <c r="G171" s="1" t="s">
        <v>209</v>
      </c>
      <c r="H171" s="1" t="s">
        <v>206</v>
      </c>
      <c r="I171" s="1"/>
      <c r="J171" s="15">
        <v>584.47</v>
      </c>
      <c r="K171" s="15">
        <v>2417.89</v>
      </c>
    </row>
    <row r="172" spans="1:11" ht="16.25" customHeight="1" outlineLevel="5" x14ac:dyDescent="0.2">
      <c r="B172" s="1" t="s">
        <v>204</v>
      </c>
      <c r="C172" s="1" t="s">
        <v>32</v>
      </c>
      <c r="D172" s="1" t="s">
        <v>19</v>
      </c>
      <c r="E172" s="1" t="s">
        <v>59</v>
      </c>
      <c r="F172" s="1"/>
      <c r="G172" s="1" t="s">
        <v>210</v>
      </c>
      <c r="H172" s="1" t="s">
        <v>206</v>
      </c>
      <c r="I172" s="1"/>
      <c r="J172" s="15">
        <v>575.82000000000005</v>
      </c>
      <c r="K172" s="15">
        <v>2993.71</v>
      </c>
    </row>
    <row r="173" spans="1:11" ht="16.25" customHeight="1" outlineLevel="5" x14ac:dyDescent="0.2">
      <c r="B173" s="1" t="s">
        <v>204</v>
      </c>
      <c r="C173" s="1" t="s">
        <v>35</v>
      </c>
      <c r="D173" s="1" t="s">
        <v>19</v>
      </c>
      <c r="E173" s="1" t="s">
        <v>63</v>
      </c>
      <c r="F173" s="1"/>
      <c r="G173" s="1" t="s">
        <v>211</v>
      </c>
      <c r="H173" s="1" t="s">
        <v>206</v>
      </c>
      <c r="I173" s="1"/>
      <c r="J173" s="15">
        <v>574.39</v>
      </c>
      <c r="K173" s="15">
        <v>3568.1</v>
      </c>
    </row>
    <row r="174" spans="1:11" ht="16.25" customHeight="1" outlineLevel="4" x14ac:dyDescent="0.2">
      <c r="A174" s="10" t="s">
        <v>212</v>
      </c>
      <c r="J174" s="16">
        <f>J167+J168+J169+J170+J171+J172+J173</f>
        <v>3568.1000000000004</v>
      </c>
    </row>
    <row r="175" spans="1:11" ht="16.25" customHeight="1" outlineLevel="4" x14ac:dyDescent="0.2">
      <c r="A175" s="9" t="s">
        <v>213</v>
      </c>
    </row>
    <row r="176" spans="1:11" ht="16.25" customHeight="1" outlineLevel="5" x14ac:dyDescent="0.2">
      <c r="B176" s="1" t="s">
        <v>213</v>
      </c>
      <c r="C176" s="1" t="s">
        <v>18</v>
      </c>
      <c r="D176" s="1" t="s">
        <v>19</v>
      </c>
      <c r="E176" s="1" t="s">
        <v>43</v>
      </c>
      <c r="F176" s="1"/>
      <c r="G176" s="1" t="s">
        <v>214</v>
      </c>
      <c r="H176" s="1" t="s">
        <v>215</v>
      </c>
      <c r="I176" s="1"/>
      <c r="J176" s="15">
        <v>408.67</v>
      </c>
      <c r="K176" s="15">
        <v>408.67</v>
      </c>
    </row>
    <row r="177" spans="1:11" ht="16.25" customHeight="1" outlineLevel="5" x14ac:dyDescent="0.2">
      <c r="B177" s="1" t="s">
        <v>213</v>
      </c>
      <c r="C177" s="1" t="s">
        <v>23</v>
      </c>
      <c r="D177" s="1" t="s">
        <v>19</v>
      </c>
      <c r="E177" s="1" t="s">
        <v>47</v>
      </c>
      <c r="F177" s="1"/>
      <c r="G177" s="1" t="s">
        <v>216</v>
      </c>
      <c r="H177" s="1" t="s">
        <v>215</v>
      </c>
      <c r="I177" s="1"/>
      <c r="J177" s="15">
        <v>411.68</v>
      </c>
      <c r="K177" s="15">
        <v>820.35</v>
      </c>
    </row>
    <row r="178" spans="1:11" ht="16.25" customHeight="1" outlineLevel="5" x14ac:dyDescent="0.2">
      <c r="B178" s="1" t="s">
        <v>213</v>
      </c>
      <c r="C178" s="1" t="s">
        <v>26</v>
      </c>
      <c r="D178" s="1" t="s">
        <v>19</v>
      </c>
      <c r="E178" s="1" t="s">
        <v>51</v>
      </c>
      <c r="F178" s="1"/>
      <c r="G178" s="1" t="s">
        <v>217</v>
      </c>
      <c r="H178" s="1" t="s">
        <v>215</v>
      </c>
      <c r="I178" s="1"/>
      <c r="J178" s="15">
        <v>399.71</v>
      </c>
      <c r="K178" s="15">
        <v>1220.06</v>
      </c>
    </row>
    <row r="179" spans="1:11" ht="16.25" customHeight="1" outlineLevel="5" x14ac:dyDescent="0.2">
      <c r="B179" s="1" t="s">
        <v>213</v>
      </c>
      <c r="C179" s="1" t="s">
        <v>29</v>
      </c>
      <c r="D179" s="1" t="s">
        <v>19</v>
      </c>
      <c r="E179" s="1" t="s">
        <v>55</v>
      </c>
      <c r="F179" s="1"/>
      <c r="G179" s="1" t="s">
        <v>218</v>
      </c>
      <c r="H179" s="1" t="s">
        <v>215</v>
      </c>
      <c r="I179" s="1"/>
      <c r="J179" s="15">
        <v>388.94</v>
      </c>
      <c r="K179" s="15">
        <v>1609</v>
      </c>
    </row>
    <row r="180" spans="1:11" ht="16.25" customHeight="1" outlineLevel="5" x14ac:dyDescent="0.2">
      <c r="B180" s="1" t="s">
        <v>213</v>
      </c>
      <c r="C180" s="1" t="s">
        <v>32</v>
      </c>
      <c r="D180" s="1" t="s">
        <v>19</v>
      </c>
      <c r="E180" s="1" t="s">
        <v>59</v>
      </c>
      <c r="F180" s="1"/>
      <c r="G180" s="1" t="s">
        <v>219</v>
      </c>
      <c r="H180" s="1" t="s">
        <v>215</v>
      </c>
      <c r="I180" s="1"/>
      <c r="J180" s="15">
        <v>383.19</v>
      </c>
      <c r="K180" s="15">
        <v>1992.19</v>
      </c>
    </row>
    <row r="181" spans="1:11" ht="16.25" customHeight="1" outlineLevel="5" x14ac:dyDescent="0.2">
      <c r="B181" s="1" t="s">
        <v>213</v>
      </c>
      <c r="C181" s="1" t="s">
        <v>35</v>
      </c>
      <c r="D181" s="1" t="s">
        <v>19</v>
      </c>
      <c r="E181" s="1" t="s">
        <v>63</v>
      </c>
      <c r="F181" s="1"/>
      <c r="G181" s="1" t="s">
        <v>220</v>
      </c>
      <c r="H181" s="1" t="s">
        <v>215</v>
      </c>
      <c r="I181" s="1"/>
      <c r="J181" s="15">
        <v>382.23</v>
      </c>
      <c r="K181" s="15">
        <v>2374.42</v>
      </c>
    </row>
    <row r="182" spans="1:11" ht="16.25" customHeight="1" outlineLevel="4" x14ac:dyDescent="0.2">
      <c r="A182" s="10" t="s">
        <v>221</v>
      </c>
      <c r="J182" s="16">
        <f>J175+J176+J177+J178+J179+J180+J181</f>
        <v>2374.42</v>
      </c>
    </row>
    <row r="183" spans="1:11" ht="16.25" customHeight="1" outlineLevel="4" x14ac:dyDescent="0.2">
      <c r="A183" s="9" t="s">
        <v>222</v>
      </c>
    </row>
    <row r="184" spans="1:11" ht="16.25" customHeight="1" outlineLevel="5" x14ac:dyDescent="0.2">
      <c r="B184" s="1" t="s">
        <v>222</v>
      </c>
      <c r="C184" s="1" t="s">
        <v>18</v>
      </c>
      <c r="D184" s="1" t="s">
        <v>19</v>
      </c>
      <c r="E184" s="1" t="s">
        <v>20</v>
      </c>
      <c r="F184" s="1"/>
      <c r="G184" s="1" t="s">
        <v>223</v>
      </c>
      <c r="H184" s="1" t="s">
        <v>224</v>
      </c>
      <c r="I184" s="1"/>
      <c r="J184" s="15">
        <v>204.34</v>
      </c>
      <c r="K184" s="15">
        <v>204.34</v>
      </c>
    </row>
    <row r="185" spans="1:11" ht="16.25" customHeight="1" outlineLevel="5" x14ac:dyDescent="0.2">
      <c r="B185" s="1" t="s">
        <v>222</v>
      </c>
      <c r="C185" s="1" t="s">
        <v>18</v>
      </c>
      <c r="D185" s="1" t="s">
        <v>19</v>
      </c>
      <c r="E185" s="1" t="s">
        <v>40</v>
      </c>
      <c r="F185" s="1"/>
      <c r="G185" s="1" t="s">
        <v>225</v>
      </c>
      <c r="H185" s="1" t="s">
        <v>224</v>
      </c>
      <c r="I185" s="1"/>
      <c r="J185" s="15">
        <v>204.34</v>
      </c>
      <c r="K185" s="15">
        <v>408.68</v>
      </c>
    </row>
    <row r="186" spans="1:11" ht="16.25" customHeight="1" outlineLevel="5" x14ac:dyDescent="0.2">
      <c r="B186" s="1" t="s">
        <v>222</v>
      </c>
      <c r="C186" s="1" t="s">
        <v>18</v>
      </c>
      <c r="D186" s="1" t="s">
        <v>19</v>
      </c>
      <c r="E186" s="1" t="s">
        <v>43</v>
      </c>
      <c r="F186" s="1"/>
      <c r="G186" s="1" t="s">
        <v>226</v>
      </c>
      <c r="H186" s="1" t="s">
        <v>224</v>
      </c>
      <c r="I186" s="1"/>
      <c r="J186" s="15">
        <v>204.34</v>
      </c>
      <c r="K186" s="15">
        <v>613.02</v>
      </c>
    </row>
    <row r="187" spans="1:11" ht="16.25" customHeight="1" outlineLevel="5" x14ac:dyDescent="0.2">
      <c r="B187" s="1" t="s">
        <v>222</v>
      </c>
      <c r="C187" s="1" t="s">
        <v>23</v>
      </c>
      <c r="D187" s="1" t="s">
        <v>19</v>
      </c>
      <c r="E187" s="1" t="s">
        <v>24</v>
      </c>
      <c r="F187" s="1"/>
      <c r="G187" s="1" t="s">
        <v>227</v>
      </c>
      <c r="H187" s="1" t="s">
        <v>224</v>
      </c>
      <c r="I187" s="1"/>
      <c r="J187" s="15">
        <v>205.84</v>
      </c>
      <c r="K187" s="15">
        <v>818.86</v>
      </c>
    </row>
    <row r="188" spans="1:11" ht="16.25" customHeight="1" outlineLevel="5" x14ac:dyDescent="0.2">
      <c r="B188" s="1" t="s">
        <v>222</v>
      </c>
      <c r="C188" s="1" t="s">
        <v>23</v>
      </c>
      <c r="D188" s="1" t="s">
        <v>19</v>
      </c>
      <c r="E188" s="1" t="s">
        <v>45</v>
      </c>
      <c r="F188" s="1"/>
      <c r="G188" s="1" t="s">
        <v>228</v>
      </c>
      <c r="H188" s="1" t="s">
        <v>224</v>
      </c>
      <c r="I188" s="1"/>
      <c r="J188" s="15">
        <v>205.84</v>
      </c>
      <c r="K188" s="15">
        <v>1024.7</v>
      </c>
    </row>
    <row r="189" spans="1:11" ht="16.25" customHeight="1" outlineLevel="5" x14ac:dyDescent="0.2">
      <c r="B189" s="1" t="s">
        <v>222</v>
      </c>
      <c r="C189" s="1" t="s">
        <v>23</v>
      </c>
      <c r="D189" s="1" t="s">
        <v>19</v>
      </c>
      <c r="E189" s="1" t="s">
        <v>47</v>
      </c>
      <c r="F189" s="1"/>
      <c r="G189" s="1" t="s">
        <v>229</v>
      </c>
      <c r="H189" s="1" t="s">
        <v>224</v>
      </c>
      <c r="I189" s="1"/>
      <c r="J189" s="15">
        <v>205.84</v>
      </c>
      <c r="K189" s="15">
        <v>1230.54</v>
      </c>
    </row>
    <row r="190" spans="1:11" ht="16.25" customHeight="1" outlineLevel="5" x14ac:dyDescent="0.2">
      <c r="B190" s="1" t="s">
        <v>222</v>
      </c>
      <c r="C190" s="1" t="s">
        <v>26</v>
      </c>
      <c r="D190" s="1" t="s">
        <v>19</v>
      </c>
      <c r="E190" s="1" t="s">
        <v>27</v>
      </c>
      <c r="F190" s="1"/>
      <c r="G190" s="1" t="s">
        <v>230</v>
      </c>
      <c r="H190" s="1" t="s">
        <v>224</v>
      </c>
      <c r="I190" s="1"/>
      <c r="J190" s="15">
        <v>199.85</v>
      </c>
      <c r="K190" s="15">
        <v>1430.39</v>
      </c>
    </row>
    <row r="191" spans="1:11" ht="16.25" customHeight="1" outlineLevel="5" x14ac:dyDescent="0.2">
      <c r="B191" s="1" t="s">
        <v>222</v>
      </c>
      <c r="C191" s="1" t="s">
        <v>26</v>
      </c>
      <c r="D191" s="1" t="s">
        <v>19</v>
      </c>
      <c r="E191" s="1" t="s">
        <v>49</v>
      </c>
      <c r="F191" s="1"/>
      <c r="G191" s="1" t="s">
        <v>231</v>
      </c>
      <c r="H191" s="1" t="s">
        <v>224</v>
      </c>
      <c r="I191" s="1"/>
      <c r="J191" s="15">
        <v>199.85</v>
      </c>
      <c r="K191" s="15">
        <v>1630.24</v>
      </c>
    </row>
    <row r="192" spans="1:11" ht="16.25" customHeight="1" outlineLevel="5" x14ac:dyDescent="0.2">
      <c r="B192" s="1" t="s">
        <v>222</v>
      </c>
      <c r="C192" s="1" t="s">
        <v>26</v>
      </c>
      <c r="D192" s="1" t="s">
        <v>19</v>
      </c>
      <c r="E192" s="1" t="s">
        <v>51</v>
      </c>
      <c r="F192" s="1"/>
      <c r="G192" s="1" t="s">
        <v>232</v>
      </c>
      <c r="H192" s="1" t="s">
        <v>224</v>
      </c>
      <c r="I192" s="1"/>
      <c r="J192" s="15">
        <v>199.85</v>
      </c>
      <c r="K192" s="15">
        <v>1830.09</v>
      </c>
    </row>
    <row r="193" spans="1:11" ht="16.25" customHeight="1" outlineLevel="5" x14ac:dyDescent="0.2">
      <c r="B193" s="1" t="s">
        <v>222</v>
      </c>
      <c r="C193" s="1" t="s">
        <v>29</v>
      </c>
      <c r="D193" s="1" t="s">
        <v>19</v>
      </c>
      <c r="E193" s="1" t="s">
        <v>30</v>
      </c>
      <c r="F193" s="1"/>
      <c r="G193" s="1" t="s">
        <v>233</v>
      </c>
      <c r="H193" s="1" t="s">
        <v>224</v>
      </c>
      <c r="I193" s="1"/>
      <c r="J193" s="15">
        <v>194.47</v>
      </c>
      <c r="K193" s="15">
        <v>2024.56</v>
      </c>
    </row>
    <row r="194" spans="1:11" ht="16.25" customHeight="1" outlineLevel="5" x14ac:dyDescent="0.2">
      <c r="B194" s="1" t="s">
        <v>222</v>
      </c>
      <c r="C194" s="1" t="s">
        <v>29</v>
      </c>
      <c r="D194" s="1" t="s">
        <v>19</v>
      </c>
      <c r="E194" s="1" t="s">
        <v>53</v>
      </c>
      <c r="F194" s="1"/>
      <c r="G194" s="1" t="s">
        <v>234</v>
      </c>
      <c r="H194" s="1" t="s">
        <v>224</v>
      </c>
      <c r="I194" s="1"/>
      <c r="J194" s="15">
        <v>194.47</v>
      </c>
      <c r="K194" s="15">
        <v>2219.0300000000002</v>
      </c>
    </row>
    <row r="195" spans="1:11" ht="16.25" customHeight="1" outlineLevel="5" x14ac:dyDescent="0.2">
      <c r="B195" s="1" t="s">
        <v>222</v>
      </c>
      <c r="C195" s="1" t="s">
        <v>29</v>
      </c>
      <c r="D195" s="1" t="s">
        <v>19</v>
      </c>
      <c r="E195" s="1" t="s">
        <v>55</v>
      </c>
      <c r="F195" s="1"/>
      <c r="G195" s="1" t="s">
        <v>235</v>
      </c>
      <c r="H195" s="1" t="s">
        <v>224</v>
      </c>
      <c r="I195" s="1"/>
      <c r="J195" s="15">
        <v>194.47</v>
      </c>
      <c r="K195" s="15">
        <v>2413.5</v>
      </c>
    </row>
    <row r="196" spans="1:11" ht="16.25" customHeight="1" outlineLevel="5" x14ac:dyDescent="0.2">
      <c r="B196" s="1" t="s">
        <v>222</v>
      </c>
      <c r="C196" s="1" t="s">
        <v>32</v>
      </c>
      <c r="D196" s="1" t="s">
        <v>19</v>
      </c>
      <c r="E196" s="1" t="s">
        <v>33</v>
      </c>
      <c r="F196" s="1"/>
      <c r="G196" s="1" t="s">
        <v>236</v>
      </c>
      <c r="H196" s="1" t="s">
        <v>224</v>
      </c>
      <c r="I196" s="1"/>
      <c r="J196" s="15">
        <v>191.59</v>
      </c>
      <c r="K196" s="15">
        <v>2605.09</v>
      </c>
    </row>
    <row r="197" spans="1:11" ht="16.25" customHeight="1" outlineLevel="5" x14ac:dyDescent="0.2">
      <c r="B197" s="1" t="s">
        <v>222</v>
      </c>
      <c r="C197" s="1" t="s">
        <v>32</v>
      </c>
      <c r="D197" s="1" t="s">
        <v>19</v>
      </c>
      <c r="E197" s="1" t="s">
        <v>57</v>
      </c>
      <c r="F197" s="1"/>
      <c r="G197" s="1" t="s">
        <v>237</v>
      </c>
      <c r="H197" s="1" t="s">
        <v>224</v>
      </c>
      <c r="I197" s="1"/>
      <c r="J197" s="15">
        <v>191.59</v>
      </c>
      <c r="K197" s="15">
        <v>2796.68</v>
      </c>
    </row>
    <row r="198" spans="1:11" ht="16.25" customHeight="1" outlineLevel="5" x14ac:dyDescent="0.2">
      <c r="B198" s="1" t="s">
        <v>222</v>
      </c>
      <c r="C198" s="1" t="s">
        <v>32</v>
      </c>
      <c r="D198" s="1" t="s">
        <v>19</v>
      </c>
      <c r="E198" s="1" t="s">
        <v>59</v>
      </c>
      <c r="F198" s="1"/>
      <c r="G198" s="1" t="s">
        <v>238</v>
      </c>
      <c r="H198" s="1" t="s">
        <v>224</v>
      </c>
      <c r="I198" s="1"/>
      <c r="J198" s="15">
        <v>191.59</v>
      </c>
      <c r="K198" s="15">
        <v>2988.27</v>
      </c>
    </row>
    <row r="199" spans="1:11" ht="16.25" customHeight="1" outlineLevel="5" x14ac:dyDescent="0.2">
      <c r="B199" s="1" t="s">
        <v>222</v>
      </c>
      <c r="C199" s="1" t="s">
        <v>35</v>
      </c>
      <c r="D199" s="1" t="s">
        <v>19</v>
      </c>
      <c r="E199" s="1" t="s">
        <v>36</v>
      </c>
      <c r="F199" s="1"/>
      <c r="G199" s="1" t="s">
        <v>239</v>
      </c>
      <c r="H199" s="1" t="s">
        <v>224</v>
      </c>
      <c r="I199" s="1"/>
      <c r="J199" s="15">
        <v>191.12</v>
      </c>
      <c r="K199" s="15">
        <v>3179.39</v>
      </c>
    </row>
    <row r="200" spans="1:11" ht="16.25" customHeight="1" outlineLevel="5" x14ac:dyDescent="0.2">
      <c r="B200" s="1" t="s">
        <v>222</v>
      </c>
      <c r="C200" s="1" t="s">
        <v>35</v>
      </c>
      <c r="D200" s="1" t="s">
        <v>19</v>
      </c>
      <c r="E200" s="1" t="s">
        <v>61</v>
      </c>
      <c r="F200" s="1"/>
      <c r="G200" s="1" t="s">
        <v>240</v>
      </c>
      <c r="H200" s="1" t="s">
        <v>224</v>
      </c>
      <c r="I200" s="1"/>
      <c r="J200" s="15">
        <v>191.12</v>
      </c>
      <c r="K200" s="15">
        <v>3370.51</v>
      </c>
    </row>
    <row r="201" spans="1:11" ht="16.25" customHeight="1" outlineLevel="5" x14ac:dyDescent="0.2">
      <c r="B201" s="1" t="s">
        <v>222</v>
      </c>
      <c r="C201" s="1" t="s">
        <v>35</v>
      </c>
      <c r="D201" s="1" t="s">
        <v>19</v>
      </c>
      <c r="E201" s="1" t="s">
        <v>63</v>
      </c>
      <c r="F201" s="1"/>
      <c r="G201" s="1" t="s">
        <v>241</v>
      </c>
      <c r="H201" s="1" t="s">
        <v>224</v>
      </c>
      <c r="I201" s="1"/>
      <c r="J201" s="15">
        <v>191.12</v>
      </c>
      <c r="K201" s="15">
        <v>3561.63</v>
      </c>
    </row>
    <row r="202" spans="1:11" ht="16.25" customHeight="1" outlineLevel="4" x14ac:dyDescent="0.2">
      <c r="A202" s="10" t="s">
        <v>242</v>
      </c>
      <c r="J202" s="16">
        <f>J183+J184+J185+J186+J187+J188+J189+J190+J191+J192+J193+J194+J195+J196+J197+J198+J199+J200+J201</f>
        <v>3561.6299999999997</v>
      </c>
    </row>
    <row r="203" spans="1:11" ht="16.25" customHeight="1" outlineLevel="4" x14ac:dyDescent="0.2">
      <c r="A203" s="9" t="s">
        <v>243</v>
      </c>
    </row>
    <row r="204" spans="1:11" ht="16.25" customHeight="1" outlineLevel="5" x14ac:dyDescent="0.2">
      <c r="B204" s="1" t="s">
        <v>243</v>
      </c>
      <c r="C204" s="1" t="s">
        <v>18</v>
      </c>
      <c r="D204" s="1" t="s">
        <v>19</v>
      </c>
      <c r="E204" s="1" t="s">
        <v>20</v>
      </c>
      <c r="F204" s="1"/>
      <c r="G204" s="1" t="s">
        <v>244</v>
      </c>
      <c r="H204" s="1" t="s">
        <v>245</v>
      </c>
      <c r="I204" s="1"/>
      <c r="J204" s="15">
        <v>204.34</v>
      </c>
      <c r="K204" s="15">
        <v>204.34</v>
      </c>
    </row>
    <row r="205" spans="1:11" ht="16.25" customHeight="1" outlineLevel="5" x14ac:dyDescent="0.2">
      <c r="B205" s="1" t="s">
        <v>243</v>
      </c>
      <c r="C205" s="1" t="s">
        <v>18</v>
      </c>
      <c r="D205" s="1" t="s">
        <v>19</v>
      </c>
      <c r="E205" s="1" t="s">
        <v>40</v>
      </c>
      <c r="F205" s="1"/>
      <c r="G205" s="1" t="s">
        <v>246</v>
      </c>
      <c r="H205" s="1" t="s">
        <v>245</v>
      </c>
      <c r="I205" s="1"/>
      <c r="J205" s="15">
        <v>204.34</v>
      </c>
      <c r="K205" s="15">
        <v>408.68</v>
      </c>
    </row>
    <row r="206" spans="1:11" ht="16.25" customHeight="1" outlineLevel="5" x14ac:dyDescent="0.2">
      <c r="B206" s="1" t="s">
        <v>243</v>
      </c>
      <c r="C206" s="1" t="s">
        <v>18</v>
      </c>
      <c r="D206" s="1" t="s">
        <v>19</v>
      </c>
      <c r="E206" s="1" t="s">
        <v>43</v>
      </c>
      <c r="F206" s="1"/>
      <c r="G206" s="1" t="s">
        <v>247</v>
      </c>
      <c r="H206" s="1" t="s">
        <v>245</v>
      </c>
      <c r="I206" s="1"/>
      <c r="J206" s="15">
        <v>204.34</v>
      </c>
      <c r="K206" s="15">
        <v>613.02</v>
      </c>
    </row>
    <row r="207" spans="1:11" ht="16.25" customHeight="1" outlineLevel="5" x14ac:dyDescent="0.2">
      <c r="B207" s="1" t="s">
        <v>243</v>
      </c>
      <c r="C207" s="1" t="s">
        <v>23</v>
      </c>
      <c r="D207" s="1" t="s">
        <v>19</v>
      </c>
      <c r="E207" s="1" t="s">
        <v>24</v>
      </c>
      <c r="F207" s="1"/>
      <c r="G207" s="1" t="s">
        <v>248</v>
      </c>
      <c r="H207" s="1" t="s">
        <v>245</v>
      </c>
      <c r="I207" s="1"/>
      <c r="J207" s="15">
        <v>205.84</v>
      </c>
      <c r="K207" s="15">
        <v>818.86</v>
      </c>
    </row>
    <row r="208" spans="1:11" ht="16.25" customHeight="1" outlineLevel="5" x14ac:dyDescent="0.2">
      <c r="B208" s="1" t="s">
        <v>243</v>
      </c>
      <c r="C208" s="1" t="s">
        <v>23</v>
      </c>
      <c r="D208" s="1" t="s">
        <v>19</v>
      </c>
      <c r="E208" s="1" t="s">
        <v>45</v>
      </c>
      <c r="F208" s="1"/>
      <c r="G208" s="1" t="s">
        <v>249</v>
      </c>
      <c r="H208" s="1" t="s">
        <v>245</v>
      </c>
      <c r="I208" s="1"/>
      <c r="J208" s="15">
        <v>205.84</v>
      </c>
      <c r="K208" s="15">
        <v>1024.7</v>
      </c>
    </row>
    <row r="209" spans="1:11" ht="16.25" customHeight="1" outlineLevel="5" x14ac:dyDescent="0.2">
      <c r="B209" s="1" t="s">
        <v>243</v>
      </c>
      <c r="C209" s="1" t="s">
        <v>23</v>
      </c>
      <c r="D209" s="1" t="s">
        <v>19</v>
      </c>
      <c r="E209" s="1" t="s">
        <v>47</v>
      </c>
      <c r="F209" s="1"/>
      <c r="G209" s="1" t="s">
        <v>250</v>
      </c>
      <c r="H209" s="1" t="s">
        <v>245</v>
      </c>
      <c r="I209" s="1"/>
      <c r="J209" s="15">
        <v>205.84</v>
      </c>
      <c r="K209" s="15">
        <v>1230.54</v>
      </c>
    </row>
    <row r="210" spans="1:11" ht="16.25" customHeight="1" outlineLevel="5" x14ac:dyDescent="0.2">
      <c r="B210" s="1" t="s">
        <v>243</v>
      </c>
      <c r="C210" s="1" t="s">
        <v>26</v>
      </c>
      <c r="D210" s="1" t="s">
        <v>19</v>
      </c>
      <c r="E210" s="1" t="s">
        <v>27</v>
      </c>
      <c r="F210" s="1"/>
      <c r="G210" s="1" t="s">
        <v>251</v>
      </c>
      <c r="H210" s="1" t="s">
        <v>245</v>
      </c>
      <c r="I210" s="1"/>
      <c r="J210" s="15">
        <v>199.85</v>
      </c>
      <c r="K210" s="15">
        <v>1430.39</v>
      </c>
    </row>
    <row r="211" spans="1:11" ht="16.25" customHeight="1" outlineLevel="5" x14ac:dyDescent="0.2">
      <c r="B211" s="1" t="s">
        <v>243</v>
      </c>
      <c r="C211" s="1" t="s">
        <v>26</v>
      </c>
      <c r="D211" s="1" t="s">
        <v>19</v>
      </c>
      <c r="E211" s="1" t="s">
        <v>49</v>
      </c>
      <c r="F211" s="1"/>
      <c r="G211" s="1" t="s">
        <v>252</v>
      </c>
      <c r="H211" s="1" t="s">
        <v>245</v>
      </c>
      <c r="I211" s="1"/>
      <c r="J211" s="15">
        <v>199.85</v>
      </c>
      <c r="K211" s="15">
        <v>1630.24</v>
      </c>
    </row>
    <row r="212" spans="1:11" ht="16.25" customHeight="1" outlineLevel="5" x14ac:dyDescent="0.2">
      <c r="B212" s="1" t="s">
        <v>243</v>
      </c>
      <c r="C212" s="1" t="s">
        <v>26</v>
      </c>
      <c r="D212" s="1" t="s">
        <v>19</v>
      </c>
      <c r="E212" s="1" t="s">
        <v>51</v>
      </c>
      <c r="F212" s="1"/>
      <c r="G212" s="1" t="s">
        <v>253</v>
      </c>
      <c r="H212" s="1" t="s">
        <v>245</v>
      </c>
      <c r="I212" s="1"/>
      <c r="J212" s="15">
        <v>199.85</v>
      </c>
      <c r="K212" s="15">
        <v>1830.09</v>
      </c>
    </row>
    <row r="213" spans="1:11" ht="16.25" customHeight="1" outlineLevel="5" x14ac:dyDescent="0.2">
      <c r="B213" s="1" t="s">
        <v>243</v>
      </c>
      <c r="C213" s="1" t="s">
        <v>29</v>
      </c>
      <c r="D213" s="1" t="s">
        <v>19</v>
      </c>
      <c r="E213" s="1" t="s">
        <v>30</v>
      </c>
      <c r="F213" s="1"/>
      <c r="G213" s="1" t="s">
        <v>254</v>
      </c>
      <c r="H213" s="1" t="s">
        <v>245</v>
      </c>
      <c r="I213" s="1"/>
      <c r="J213" s="15">
        <v>194.47</v>
      </c>
      <c r="K213" s="15">
        <v>2024.56</v>
      </c>
    </row>
    <row r="214" spans="1:11" ht="16.25" customHeight="1" outlineLevel="5" x14ac:dyDescent="0.2">
      <c r="B214" s="1" t="s">
        <v>243</v>
      </c>
      <c r="C214" s="1" t="s">
        <v>29</v>
      </c>
      <c r="D214" s="1" t="s">
        <v>19</v>
      </c>
      <c r="E214" s="1" t="s">
        <v>53</v>
      </c>
      <c r="F214" s="1"/>
      <c r="G214" s="1" t="s">
        <v>255</v>
      </c>
      <c r="H214" s="1" t="s">
        <v>245</v>
      </c>
      <c r="I214" s="1"/>
      <c r="J214" s="15">
        <v>194.47</v>
      </c>
      <c r="K214" s="15">
        <v>2219.0300000000002</v>
      </c>
    </row>
    <row r="215" spans="1:11" ht="16.25" customHeight="1" outlineLevel="5" x14ac:dyDescent="0.2">
      <c r="B215" s="1" t="s">
        <v>243</v>
      </c>
      <c r="C215" s="1" t="s">
        <v>29</v>
      </c>
      <c r="D215" s="1" t="s">
        <v>19</v>
      </c>
      <c r="E215" s="1" t="s">
        <v>55</v>
      </c>
      <c r="F215" s="1"/>
      <c r="G215" s="1" t="s">
        <v>256</v>
      </c>
      <c r="H215" s="1" t="s">
        <v>245</v>
      </c>
      <c r="I215" s="1"/>
      <c r="J215" s="15">
        <v>194.47</v>
      </c>
      <c r="K215" s="15">
        <v>2413.5</v>
      </c>
    </row>
    <row r="216" spans="1:11" ht="16.25" customHeight="1" outlineLevel="5" x14ac:dyDescent="0.2">
      <c r="B216" s="1" t="s">
        <v>243</v>
      </c>
      <c r="C216" s="1" t="s">
        <v>32</v>
      </c>
      <c r="D216" s="1" t="s">
        <v>19</v>
      </c>
      <c r="E216" s="1" t="s">
        <v>33</v>
      </c>
      <c r="F216" s="1"/>
      <c r="G216" s="1" t="s">
        <v>257</v>
      </c>
      <c r="H216" s="1" t="s">
        <v>245</v>
      </c>
      <c r="I216" s="1"/>
      <c r="J216" s="15">
        <v>191.59</v>
      </c>
      <c r="K216" s="15">
        <v>2605.09</v>
      </c>
    </row>
    <row r="217" spans="1:11" ht="16.25" customHeight="1" outlineLevel="5" x14ac:dyDescent="0.2">
      <c r="B217" s="1" t="s">
        <v>243</v>
      </c>
      <c r="C217" s="1" t="s">
        <v>32</v>
      </c>
      <c r="D217" s="1" t="s">
        <v>19</v>
      </c>
      <c r="E217" s="1" t="s">
        <v>57</v>
      </c>
      <c r="F217" s="1"/>
      <c r="G217" s="1" t="s">
        <v>258</v>
      </c>
      <c r="H217" s="1" t="s">
        <v>245</v>
      </c>
      <c r="I217" s="1"/>
      <c r="J217" s="15">
        <v>191.59</v>
      </c>
      <c r="K217" s="15">
        <v>2796.68</v>
      </c>
    </row>
    <row r="218" spans="1:11" ht="16.25" customHeight="1" outlineLevel="5" x14ac:dyDescent="0.2">
      <c r="B218" s="1" t="s">
        <v>243</v>
      </c>
      <c r="C218" s="1" t="s">
        <v>32</v>
      </c>
      <c r="D218" s="1" t="s">
        <v>19</v>
      </c>
      <c r="E218" s="1" t="s">
        <v>59</v>
      </c>
      <c r="F218" s="1"/>
      <c r="G218" s="1" t="s">
        <v>259</v>
      </c>
      <c r="H218" s="1" t="s">
        <v>245</v>
      </c>
      <c r="I218" s="1"/>
      <c r="J218" s="15">
        <v>191.59</v>
      </c>
      <c r="K218" s="15">
        <v>2988.27</v>
      </c>
    </row>
    <row r="219" spans="1:11" ht="16.25" customHeight="1" outlineLevel="5" x14ac:dyDescent="0.2">
      <c r="B219" s="1" t="s">
        <v>243</v>
      </c>
      <c r="C219" s="1" t="s">
        <v>35</v>
      </c>
      <c r="D219" s="1" t="s">
        <v>19</v>
      </c>
      <c r="E219" s="1" t="s">
        <v>36</v>
      </c>
      <c r="F219" s="1"/>
      <c r="G219" s="1" t="s">
        <v>260</v>
      </c>
      <c r="H219" s="1" t="s">
        <v>245</v>
      </c>
      <c r="I219" s="1"/>
      <c r="J219" s="15">
        <v>191.12</v>
      </c>
      <c r="K219" s="15">
        <v>3179.39</v>
      </c>
    </row>
    <row r="220" spans="1:11" ht="16.25" customHeight="1" outlineLevel="5" x14ac:dyDescent="0.2">
      <c r="B220" s="1" t="s">
        <v>243</v>
      </c>
      <c r="C220" s="1" t="s">
        <v>35</v>
      </c>
      <c r="D220" s="1" t="s">
        <v>19</v>
      </c>
      <c r="E220" s="1" t="s">
        <v>61</v>
      </c>
      <c r="F220" s="1"/>
      <c r="G220" s="1" t="s">
        <v>261</v>
      </c>
      <c r="H220" s="1" t="s">
        <v>245</v>
      </c>
      <c r="I220" s="1"/>
      <c r="J220" s="15">
        <v>191.12</v>
      </c>
      <c r="K220" s="15">
        <v>3370.51</v>
      </c>
    </row>
    <row r="221" spans="1:11" ht="16.25" customHeight="1" outlineLevel="5" x14ac:dyDescent="0.2">
      <c r="B221" s="1" t="s">
        <v>243</v>
      </c>
      <c r="C221" s="1" t="s">
        <v>35</v>
      </c>
      <c r="D221" s="1" t="s">
        <v>19</v>
      </c>
      <c r="E221" s="1" t="s">
        <v>63</v>
      </c>
      <c r="F221" s="1"/>
      <c r="G221" s="1" t="s">
        <v>262</v>
      </c>
      <c r="H221" s="1" t="s">
        <v>245</v>
      </c>
      <c r="I221" s="1"/>
      <c r="J221" s="15">
        <v>191.12</v>
      </c>
      <c r="K221" s="15">
        <v>3561.63</v>
      </c>
    </row>
    <row r="222" spans="1:11" ht="16.25" customHeight="1" outlineLevel="4" x14ac:dyDescent="0.2">
      <c r="A222" s="10" t="s">
        <v>263</v>
      </c>
      <c r="J222" s="16">
        <f>J203+J204+J205+J206+J207+J208+J209+J210+J211+J212+J213+J214+J215+J216+J217+J218+J219+J220+J221</f>
        <v>3561.6299999999997</v>
      </c>
    </row>
    <row r="223" spans="1:11" ht="16.25" customHeight="1" outlineLevel="3" x14ac:dyDescent="0.2">
      <c r="A223" s="11" t="s">
        <v>264</v>
      </c>
      <c r="J223" s="16">
        <f>J9+J17+J31+J39+J130+J166+J174+J182+J202+J222</f>
        <v>73616.259999999966</v>
      </c>
    </row>
    <row r="224" spans="1:11" ht="16.25" customHeight="1" outlineLevel="3" x14ac:dyDescent="0.2">
      <c r="A224" s="8" t="s">
        <v>265</v>
      </c>
    </row>
    <row r="225" spans="1:11" ht="16.25" customHeight="1" outlineLevel="4" x14ac:dyDescent="0.2">
      <c r="A225" s="9" t="s">
        <v>266</v>
      </c>
    </row>
    <row r="226" spans="1:11" ht="16.25" customHeight="1" outlineLevel="5" x14ac:dyDescent="0.2">
      <c r="B226" s="1" t="s">
        <v>266</v>
      </c>
      <c r="C226" s="1" t="s">
        <v>267</v>
      </c>
      <c r="D226" s="1" t="s">
        <v>19</v>
      </c>
      <c r="E226" s="1" t="s">
        <v>268</v>
      </c>
      <c r="F226" s="1"/>
      <c r="G226" s="1" t="s">
        <v>269</v>
      </c>
      <c r="H226" s="1" t="s">
        <v>270</v>
      </c>
      <c r="I226" s="1"/>
      <c r="J226" s="15">
        <v>2152.66</v>
      </c>
      <c r="K226" s="15">
        <v>2152.66</v>
      </c>
    </row>
    <row r="227" spans="1:11" ht="16.25" customHeight="1" outlineLevel="4" x14ac:dyDescent="0.2">
      <c r="A227" s="10" t="s">
        <v>271</v>
      </c>
      <c r="J227" s="16">
        <f>J225+J226</f>
        <v>2152.66</v>
      </c>
    </row>
    <row r="228" spans="1:11" ht="16.25" customHeight="1" outlineLevel="4" x14ac:dyDescent="0.2">
      <c r="A228" s="9" t="s">
        <v>272</v>
      </c>
    </row>
    <row r="229" spans="1:11" ht="16.25" customHeight="1" outlineLevel="5" x14ac:dyDescent="0.2">
      <c r="B229" s="1" t="s">
        <v>272</v>
      </c>
      <c r="C229" s="1" t="s">
        <v>273</v>
      </c>
      <c r="D229" s="1" t="s">
        <v>19</v>
      </c>
      <c r="E229" s="1" t="s">
        <v>274</v>
      </c>
      <c r="F229" s="1"/>
      <c r="G229" s="1" t="s">
        <v>275</v>
      </c>
      <c r="H229" s="1" t="s">
        <v>276</v>
      </c>
      <c r="I229" s="1"/>
      <c r="J229" s="15">
        <v>89.72</v>
      </c>
      <c r="K229" s="15">
        <v>89.72</v>
      </c>
    </row>
    <row r="230" spans="1:11" ht="16.25" customHeight="1" outlineLevel="5" x14ac:dyDescent="0.2">
      <c r="B230" s="1" t="s">
        <v>272</v>
      </c>
      <c r="C230" s="1" t="s">
        <v>277</v>
      </c>
      <c r="D230" s="1" t="s">
        <v>19</v>
      </c>
      <c r="E230" s="1" t="s">
        <v>278</v>
      </c>
      <c r="F230" s="1"/>
      <c r="G230" s="1" t="s">
        <v>279</v>
      </c>
      <c r="H230" s="1" t="s">
        <v>276</v>
      </c>
      <c r="I230" s="1"/>
      <c r="J230" s="15">
        <v>88.38</v>
      </c>
      <c r="K230" s="15">
        <v>178.1</v>
      </c>
    </row>
    <row r="231" spans="1:11" ht="16.25" customHeight="1" outlineLevel="5" x14ac:dyDescent="0.2">
      <c r="B231" s="1" t="s">
        <v>272</v>
      </c>
      <c r="C231" s="1" t="s">
        <v>280</v>
      </c>
      <c r="D231" s="1" t="s">
        <v>19</v>
      </c>
      <c r="E231" s="1" t="s">
        <v>281</v>
      </c>
      <c r="F231" s="1"/>
      <c r="G231" s="1" t="s">
        <v>282</v>
      </c>
      <c r="H231" s="1" t="s">
        <v>276</v>
      </c>
      <c r="I231" s="1"/>
      <c r="J231" s="15">
        <v>88.78</v>
      </c>
      <c r="K231" s="15">
        <v>266.88</v>
      </c>
    </row>
    <row r="232" spans="1:11" ht="16.25" customHeight="1" outlineLevel="5" x14ac:dyDescent="0.2">
      <c r="B232" s="1" t="s">
        <v>272</v>
      </c>
      <c r="C232" s="1" t="s">
        <v>23</v>
      </c>
      <c r="D232" s="1" t="s">
        <v>19</v>
      </c>
      <c r="E232" s="1" t="s">
        <v>283</v>
      </c>
      <c r="F232" s="1"/>
      <c r="G232" s="1" t="s">
        <v>284</v>
      </c>
      <c r="H232" s="1" t="s">
        <v>276</v>
      </c>
      <c r="I232" s="1"/>
      <c r="J232" s="15">
        <v>87.98</v>
      </c>
      <c r="K232" s="15">
        <v>354.86</v>
      </c>
    </row>
    <row r="233" spans="1:11" ht="16.25" customHeight="1" outlineLevel="5" x14ac:dyDescent="0.2">
      <c r="B233" s="1" t="s">
        <v>272</v>
      </c>
      <c r="C233" s="1" t="s">
        <v>285</v>
      </c>
      <c r="D233" s="1" t="s">
        <v>19</v>
      </c>
      <c r="E233" s="1" t="s">
        <v>286</v>
      </c>
      <c r="F233" s="1"/>
      <c r="G233" s="1" t="s">
        <v>287</v>
      </c>
      <c r="H233" s="1" t="s">
        <v>276</v>
      </c>
      <c r="I233" s="1"/>
      <c r="J233" s="15">
        <v>87.83</v>
      </c>
      <c r="K233" s="15">
        <v>442.69</v>
      </c>
    </row>
    <row r="234" spans="1:11" ht="16.25" customHeight="1" outlineLevel="5" x14ac:dyDescent="0.2">
      <c r="B234" s="1" t="s">
        <v>272</v>
      </c>
      <c r="C234" s="1" t="s">
        <v>285</v>
      </c>
      <c r="D234" s="1" t="s">
        <v>19</v>
      </c>
      <c r="E234" s="1" t="s">
        <v>288</v>
      </c>
      <c r="F234" s="1"/>
      <c r="G234" s="1" t="s">
        <v>289</v>
      </c>
      <c r="H234" s="1" t="s">
        <v>276</v>
      </c>
      <c r="I234" s="1"/>
      <c r="J234" s="15">
        <v>87.83</v>
      </c>
      <c r="K234" s="15">
        <v>530.52</v>
      </c>
    </row>
    <row r="235" spans="1:11" ht="16.25" customHeight="1" outlineLevel="5" x14ac:dyDescent="0.2">
      <c r="B235" s="1" t="s">
        <v>272</v>
      </c>
      <c r="C235" s="1" t="s">
        <v>290</v>
      </c>
      <c r="D235" s="1" t="s">
        <v>19</v>
      </c>
      <c r="E235" s="1" t="s">
        <v>291</v>
      </c>
      <c r="F235" s="1"/>
      <c r="G235" s="1" t="s">
        <v>292</v>
      </c>
      <c r="H235" s="1" t="s">
        <v>276</v>
      </c>
      <c r="I235" s="1"/>
      <c r="J235" s="15">
        <v>86.83</v>
      </c>
      <c r="K235" s="15">
        <v>617.35</v>
      </c>
    </row>
    <row r="236" spans="1:11" ht="16.25" customHeight="1" outlineLevel="5" x14ac:dyDescent="0.2">
      <c r="B236" s="1" t="s">
        <v>272</v>
      </c>
      <c r="C236" s="1" t="s">
        <v>29</v>
      </c>
      <c r="D236" s="1" t="s">
        <v>19</v>
      </c>
      <c r="E236" s="1" t="s">
        <v>293</v>
      </c>
      <c r="F236" s="1"/>
      <c r="G236" s="1" t="s">
        <v>294</v>
      </c>
      <c r="H236" s="1" t="s">
        <v>276</v>
      </c>
      <c r="I236" s="1"/>
      <c r="J236" s="15">
        <v>86.82</v>
      </c>
      <c r="K236" s="15">
        <v>704.17000000000007</v>
      </c>
    </row>
    <row r="237" spans="1:11" ht="16.25" customHeight="1" outlineLevel="5" x14ac:dyDescent="0.2">
      <c r="B237" s="1" t="s">
        <v>272</v>
      </c>
      <c r="C237" s="1" t="s">
        <v>295</v>
      </c>
      <c r="D237" s="1" t="s">
        <v>19</v>
      </c>
      <c r="E237" s="1" t="s">
        <v>296</v>
      </c>
      <c r="F237" s="1"/>
      <c r="G237" s="1" t="s">
        <v>297</v>
      </c>
      <c r="H237" s="1" t="s">
        <v>276</v>
      </c>
      <c r="I237" s="1"/>
      <c r="J237" s="15">
        <v>312.86</v>
      </c>
      <c r="K237" s="15">
        <v>1017.03</v>
      </c>
    </row>
    <row r="238" spans="1:11" ht="16.25" customHeight="1" outlineLevel="5" x14ac:dyDescent="0.2">
      <c r="B238" s="1" t="s">
        <v>272</v>
      </c>
      <c r="C238" s="1" t="s">
        <v>298</v>
      </c>
      <c r="D238" s="1" t="s">
        <v>19</v>
      </c>
      <c r="E238" s="1" t="s">
        <v>299</v>
      </c>
      <c r="F238" s="1"/>
      <c r="G238" s="1" t="s">
        <v>300</v>
      </c>
      <c r="H238" s="1" t="s">
        <v>276</v>
      </c>
      <c r="I238" s="1"/>
      <c r="J238" s="15">
        <v>28.75</v>
      </c>
      <c r="K238" s="15">
        <v>1045.78</v>
      </c>
    </row>
    <row r="239" spans="1:11" ht="16.25" customHeight="1" outlineLevel="5" x14ac:dyDescent="0.2">
      <c r="B239" s="1" t="s">
        <v>272</v>
      </c>
      <c r="C239" s="1" t="s">
        <v>301</v>
      </c>
      <c r="D239" s="1" t="s">
        <v>19</v>
      </c>
      <c r="E239" s="1" t="s">
        <v>302</v>
      </c>
      <c r="F239" s="1"/>
      <c r="G239" s="1" t="s">
        <v>303</v>
      </c>
      <c r="H239" s="1" t="s">
        <v>276</v>
      </c>
      <c r="I239" s="1"/>
      <c r="J239" s="15">
        <v>28.7</v>
      </c>
      <c r="K239" s="15">
        <v>1074.48</v>
      </c>
    </row>
    <row r="240" spans="1:11" ht="16.25" customHeight="1" outlineLevel="5" x14ac:dyDescent="0.2">
      <c r="B240" s="1" t="s">
        <v>272</v>
      </c>
      <c r="C240" s="1" t="s">
        <v>304</v>
      </c>
      <c r="D240" s="1" t="s">
        <v>19</v>
      </c>
      <c r="E240" s="1" t="s">
        <v>305</v>
      </c>
      <c r="F240" s="1"/>
      <c r="G240" s="1" t="s">
        <v>306</v>
      </c>
      <c r="H240" s="1" t="s">
        <v>276</v>
      </c>
      <c r="I240" s="1"/>
      <c r="J240" s="15">
        <v>85.62</v>
      </c>
      <c r="K240" s="15">
        <v>1160.0999999999999</v>
      </c>
    </row>
    <row r="241" spans="1:11" ht="16.25" customHeight="1" outlineLevel="5" x14ac:dyDescent="0.2">
      <c r="B241" s="1" t="s">
        <v>272</v>
      </c>
      <c r="C241" s="1" t="s">
        <v>307</v>
      </c>
      <c r="D241" s="1" t="s">
        <v>19</v>
      </c>
      <c r="E241" s="1" t="s">
        <v>308</v>
      </c>
      <c r="F241" s="1"/>
      <c r="G241" s="1" t="s">
        <v>309</v>
      </c>
      <c r="H241" s="1" t="s">
        <v>276</v>
      </c>
      <c r="I241" s="1"/>
      <c r="J241" s="15">
        <v>142.4</v>
      </c>
      <c r="K241" s="15">
        <v>1302.5</v>
      </c>
    </row>
    <row r="242" spans="1:11" ht="16.25" customHeight="1" outlineLevel="5" x14ac:dyDescent="0.2">
      <c r="B242" s="1" t="s">
        <v>272</v>
      </c>
      <c r="C242" s="1" t="s">
        <v>310</v>
      </c>
      <c r="D242" s="1" t="s">
        <v>19</v>
      </c>
      <c r="E242" s="1" t="s">
        <v>311</v>
      </c>
      <c r="F242" s="1"/>
      <c r="G242" s="1" t="s">
        <v>312</v>
      </c>
      <c r="H242" s="1" t="s">
        <v>276</v>
      </c>
      <c r="I242" s="1"/>
      <c r="J242" s="15">
        <v>50</v>
      </c>
      <c r="K242" s="15">
        <v>1352.5</v>
      </c>
    </row>
    <row r="243" spans="1:11" ht="16.25" customHeight="1" outlineLevel="5" x14ac:dyDescent="0.2">
      <c r="B243" s="1" t="s">
        <v>272</v>
      </c>
      <c r="C243" s="1" t="s">
        <v>313</v>
      </c>
      <c r="D243" s="1" t="s">
        <v>19</v>
      </c>
      <c r="E243" s="1" t="s">
        <v>314</v>
      </c>
      <c r="F243" s="1"/>
      <c r="G243" s="1" t="s">
        <v>315</v>
      </c>
      <c r="H243" s="1" t="s">
        <v>276</v>
      </c>
      <c r="I243" s="1"/>
      <c r="J243" s="15">
        <v>90.46</v>
      </c>
      <c r="K243" s="15">
        <v>1442.96</v>
      </c>
    </row>
    <row r="244" spans="1:11" ht="16.25" customHeight="1" outlineLevel="5" x14ac:dyDescent="0.2">
      <c r="B244" s="1" t="s">
        <v>272</v>
      </c>
      <c r="C244" s="1" t="s">
        <v>316</v>
      </c>
      <c r="D244" s="1" t="s">
        <v>19</v>
      </c>
      <c r="E244" s="1" t="s">
        <v>317</v>
      </c>
      <c r="F244" s="1"/>
      <c r="G244" s="1" t="s">
        <v>318</v>
      </c>
      <c r="H244" s="1" t="s">
        <v>276</v>
      </c>
      <c r="I244" s="1"/>
      <c r="J244" s="15">
        <v>140.16</v>
      </c>
      <c r="K244" s="15">
        <v>1583.120000000001</v>
      </c>
    </row>
    <row r="245" spans="1:11" ht="16.25" customHeight="1" outlineLevel="4" x14ac:dyDescent="0.2">
      <c r="A245" s="10" t="s">
        <v>319</v>
      </c>
      <c r="J245" s="16">
        <f>J228+J229+J230+J231+J232+J233+J234+J235+J236+J237+J238+J239+J240+J241+J242+J243+J244</f>
        <v>1583.1200000000006</v>
      </c>
    </row>
    <row r="246" spans="1:11" ht="16.25" customHeight="1" outlineLevel="4" x14ac:dyDescent="0.2">
      <c r="A246" s="9" t="s">
        <v>320</v>
      </c>
    </row>
    <row r="247" spans="1:11" ht="16.25" customHeight="1" outlineLevel="5" x14ac:dyDescent="0.2">
      <c r="B247" s="1" t="s">
        <v>320</v>
      </c>
      <c r="C247" s="1" t="s">
        <v>321</v>
      </c>
      <c r="D247" s="1" t="s">
        <v>19</v>
      </c>
      <c r="E247" s="1" t="s">
        <v>322</v>
      </c>
      <c r="F247" s="1"/>
      <c r="G247" s="1" t="s">
        <v>323</v>
      </c>
      <c r="H247" s="1" t="s">
        <v>324</v>
      </c>
      <c r="I247" s="1"/>
      <c r="J247" s="15">
        <v>7671.68</v>
      </c>
      <c r="K247" s="15">
        <v>7671.68</v>
      </c>
    </row>
    <row r="248" spans="1:11" ht="16.25" customHeight="1" outlineLevel="5" x14ac:dyDescent="0.2">
      <c r="B248" s="1" t="s">
        <v>320</v>
      </c>
      <c r="C248" s="1" t="s">
        <v>325</v>
      </c>
      <c r="D248" s="1" t="s">
        <v>19</v>
      </c>
      <c r="E248" s="1" t="s">
        <v>326</v>
      </c>
      <c r="F248" s="1"/>
      <c r="G248" s="1" t="s">
        <v>327</v>
      </c>
      <c r="H248" s="1" t="s">
        <v>324</v>
      </c>
      <c r="I248" s="1"/>
      <c r="J248" s="15">
        <v>773.02</v>
      </c>
      <c r="K248" s="15">
        <v>8444.7000000000007</v>
      </c>
    </row>
    <row r="249" spans="1:11" ht="16.25" customHeight="1" outlineLevel="5" x14ac:dyDescent="0.2">
      <c r="B249" s="1" t="s">
        <v>320</v>
      </c>
      <c r="C249" s="1" t="s">
        <v>328</v>
      </c>
      <c r="D249" s="1" t="s">
        <v>19</v>
      </c>
      <c r="E249" s="1" t="s">
        <v>329</v>
      </c>
      <c r="F249" s="1"/>
      <c r="G249" s="1" t="s">
        <v>330</v>
      </c>
      <c r="H249" s="1" t="s">
        <v>324</v>
      </c>
      <c r="I249" s="1"/>
      <c r="J249" s="15">
        <v>608.83000000000004</v>
      </c>
      <c r="K249" s="15">
        <v>9053.5300000000007</v>
      </c>
    </row>
    <row r="250" spans="1:11" ht="16.25" customHeight="1" outlineLevel="4" x14ac:dyDescent="0.2">
      <c r="A250" s="10" t="s">
        <v>331</v>
      </c>
      <c r="J250" s="16">
        <f>J246+J247+J248+J249</f>
        <v>9053.5300000000007</v>
      </c>
    </row>
    <row r="251" spans="1:11" ht="16.25" customHeight="1" outlineLevel="4" x14ac:dyDescent="0.2">
      <c r="A251" s="9" t="s">
        <v>332</v>
      </c>
    </row>
    <row r="252" spans="1:11" ht="16.25" customHeight="1" outlineLevel="5" x14ac:dyDescent="0.2">
      <c r="B252" s="1" t="s">
        <v>332</v>
      </c>
      <c r="C252" s="1" t="s">
        <v>328</v>
      </c>
      <c r="D252" s="1" t="s">
        <v>19</v>
      </c>
      <c r="E252" s="1" t="s">
        <v>329</v>
      </c>
      <c r="F252" s="1"/>
      <c r="G252" s="1" t="s">
        <v>333</v>
      </c>
      <c r="H252" s="1" t="s">
        <v>334</v>
      </c>
      <c r="I252" s="1"/>
      <c r="J252" s="15">
        <v>1943.02</v>
      </c>
      <c r="K252" s="15">
        <v>1943.02</v>
      </c>
    </row>
    <row r="253" spans="1:11" ht="16.25" customHeight="1" outlineLevel="4" x14ac:dyDescent="0.2">
      <c r="A253" s="10" t="s">
        <v>335</v>
      </c>
      <c r="J253" s="16">
        <f>J251+J252</f>
        <v>1943.02</v>
      </c>
    </row>
    <row r="254" spans="1:11" ht="16.25" customHeight="1" outlineLevel="4" x14ac:dyDescent="0.2">
      <c r="A254" s="9" t="s">
        <v>336</v>
      </c>
    </row>
    <row r="255" spans="1:11" ht="16.25" customHeight="1" outlineLevel="5" x14ac:dyDescent="0.2">
      <c r="B255" s="1" t="s">
        <v>336</v>
      </c>
      <c r="C255" s="1" t="s">
        <v>328</v>
      </c>
      <c r="D255" s="1" t="s">
        <v>19</v>
      </c>
      <c r="E255" s="1" t="s">
        <v>329</v>
      </c>
      <c r="F255" s="1"/>
      <c r="G255" s="1" t="s">
        <v>337</v>
      </c>
      <c r="H255" s="1" t="s">
        <v>338</v>
      </c>
      <c r="I255" s="1"/>
      <c r="J255" s="15">
        <v>1669.81</v>
      </c>
      <c r="K255" s="15">
        <v>1669.81</v>
      </c>
    </row>
    <row r="256" spans="1:11" ht="16.25" customHeight="1" outlineLevel="4" x14ac:dyDescent="0.2">
      <c r="A256" s="10" t="s">
        <v>339</v>
      </c>
      <c r="J256" s="16">
        <f>J254+J255</f>
        <v>1669.81</v>
      </c>
    </row>
    <row r="257" spans="1:11" ht="16.25" customHeight="1" outlineLevel="4" x14ac:dyDescent="0.2">
      <c r="A257" s="9" t="s">
        <v>340</v>
      </c>
    </row>
    <row r="258" spans="1:11" ht="16.25" customHeight="1" outlineLevel="5" x14ac:dyDescent="0.2">
      <c r="B258" s="1" t="s">
        <v>340</v>
      </c>
      <c r="C258" s="1" t="s">
        <v>341</v>
      </c>
      <c r="D258" s="1" t="s">
        <v>19</v>
      </c>
      <c r="E258" s="1" t="s">
        <v>342</v>
      </c>
      <c r="F258" s="1"/>
      <c r="G258" s="1" t="s">
        <v>343</v>
      </c>
      <c r="H258" s="1" t="s">
        <v>344</v>
      </c>
      <c r="I258" s="1"/>
      <c r="J258" s="15">
        <v>4525.41</v>
      </c>
      <c r="K258" s="15">
        <v>4525.41</v>
      </c>
    </row>
    <row r="259" spans="1:11" ht="16.25" customHeight="1" outlineLevel="4" x14ac:dyDescent="0.2">
      <c r="A259" s="10" t="s">
        <v>345</v>
      </c>
      <c r="J259" s="16">
        <f>J257+J258</f>
        <v>4525.41</v>
      </c>
    </row>
    <row r="260" spans="1:11" ht="16.25" customHeight="1" outlineLevel="4" x14ac:dyDescent="0.2">
      <c r="A260" s="9" t="s">
        <v>346</v>
      </c>
    </row>
    <row r="261" spans="1:11" ht="16.25" customHeight="1" outlineLevel="5" x14ac:dyDescent="0.2">
      <c r="B261" s="1" t="s">
        <v>346</v>
      </c>
      <c r="C261" s="1" t="s">
        <v>347</v>
      </c>
      <c r="D261" s="1" t="s">
        <v>19</v>
      </c>
      <c r="E261" s="1" t="s">
        <v>348</v>
      </c>
      <c r="F261" s="1"/>
      <c r="G261" s="1" t="s">
        <v>349</v>
      </c>
      <c r="H261" s="1" t="s">
        <v>350</v>
      </c>
      <c r="I261" s="1"/>
      <c r="J261" s="15">
        <v>606.1</v>
      </c>
      <c r="K261" s="15">
        <v>606.1</v>
      </c>
    </row>
    <row r="262" spans="1:11" ht="16.25" customHeight="1" outlineLevel="5" x14ac:dyDescent="0.2">
      <c r="B262" s="1" t="s">
        <v>346</v>
      </c>
      <c r="C262" s="1" t="s">
        <v>351</v>
      </c>
      <c r="D262" s="1" t="s">
        <v>19</v>
      </c>
      <c r="E262" s="1" t="s">
        <v>352</v>
      </c>
      <c r="F262" s="1"/>
      <c r="G262" s="1" t="s">
        <v>353</v>
      </c>
      <c r="H262" s="1" t="s">
        <v>350</v>
      </c>
      <c r="I262" s="1"/>
      <c r="J262" s="15">
        <v>448.65</v>
      </c>
      <c r="K262" s="15">
        <v>1054.75</v>
      </c>
    </row>
    <row r="263" spans="1:11" ht="16.25" customHeight="1" outlineLevel="5" x14ac:dyDescent="0.2">
      <c r="B263" s="1" t="s">
        <v>346</v>
      </c>
      <c r="C263" s="1" t="s">
        <v>321</v>
      </c>
      <c r="D263" s="1" t="s">
        <v>19</v>
      </c>
      <c r="E263" s="1" t="s">
        <v>354</v>
      </c>
      <c r="F263" s="1"/>
      <c r="G263" s="1" t="s">
        <v>355</v>
      </c>
      <c r="H263" s="1" t="s">
        <v>350</v>
      </c>
      <c r="I263" s="1"/>
      <c r="J263" s="15">
        <v>1743.45</v>
      </c>
      <c r="K263" s="15">
        <v>2798.2</v>
      </c>
    </row>
    <row r="264" spans="1:11" ht="16.25" customHeight="1" outlineLevel="4" x14ac:dyDescent="0.2">
      <c r="A264" s="10" t="s">
        <v>356</v>
      </c>
      <c r="J264" s="16">
        <f>J260+J261+J262+J263</f>
        <v>2798.2</v>
      </c>
    </row>
    <row r="265" spans="1:11" ht="16.25" customHeight="1" outlineLevel="4" x14ac:dyDescent="0.2">
      <c r="A265" s="9" t="s">
        <v>357</v>
      </c>
    </row>
    <row r="266" spans="1:11" ht="16.25" customHeight="1" outlineLevel="5" x14ac:dyDescent="0.2">
      <c r="B266" s="1" t="s">
        <v>357</v>
      </c>
      <c r="C266" s="1" t="s">
        <v>23</v>
      </c>
      <c r="D266" s="1" t="s">
        <v>19</v>
      </c>
      <c r="E266" s="1" t="s">
        <v>358</v>
      </c>
      <c r="F266" s="1"/>
      <c r="G266" s="1" t="s">
        <v>359</v>
      </c>
      <c r="H266" s="1" t="s">
        <v>360</v>
      </c>
      <c r="I266" s="1"/>
      <c r="J266" s="15">
        <v>782.54</v>
      </c>
      <c r="K266" s="15">
        <v>782.54</v>
      </c>
    </row>
    <row r="267" spans="1:11" ht="16.25" customHeight="1" outlineLevel="4" x14ac:dyDescent="0.2">
      <c r="A267" s="10" t="s">
        <v>361</v>
      </c>
      <c r="J267" s="16">
        <f>J265+J266</f>
        <v>782.54</v>
      </c>
    </row>
    <row r="268" spans="1:11" ht="16.25" customHeight="1" outlineLevel="4" x14ac:dyDescent="0.2">
      <c r="A268" s="9" t="s">
        <v>362</v>
      </c>
    </row>
    <row r="269" spans="1:11" ht="16.25" customHeight="1" outlineLevel="5" x14ac:dyDescent="0.2">
      <c r="B269" s="1" t="s">
        <v>362</v>
      </c>
      <c r="C269" s="1" t="s">
        <v>363</v>
      </c>
      <c r="D269" s="1" t="s">
        <v>19</v>
      </c>
      <c r="E269" s="1" t="s">
        <v>364</v>
      </c>
      <c r="F269" s="1"/>
      <c r="G269" s="1" t="s">
        <v>365</v>
      </c>
      <c r="H269" s="1" t="s">
        <v>366</v>
      </c>
      <c r="I269" s="1"/>
      <c r="J269" s="15">
        <v>29.52</v>
      </c>
      <c r="K269" s="15">
        <v>29.52</v>
      </c>
    </row>
    <row r="270" spans="1:11" ht="16.25" customHeight="1" outlineLevel="5" x14ac:dyDescent="0.2">
      <c r="B270" s="1" t="s">
        <v>362</v>
      </c>
      <c r="C270" s="1" t="s">
        <v>363</v>
      </c>
      <c r="D270" s="1" t="s">
        <v>19</v>
      </c>
      <c r="E270" s="1" t="s">
        <v>364</v>
      </c>
      <c r="F270" s="1"/>
      <c r="G270" s="1" t="s">
        <v>367</v>
      </c>
      <c r="H270" s="1" t="s">
        <v>366</v>
      </c>
      <c r="I270" s="1"/>
      <c r="J270" s="15">
        <v>29.52</v>
      </c>
      <c r="K270" s="15">
        <v>59.04</v>
      </c>
    </row>
    <row r="271" spans="1:11" ht="16.25" customHeight="1" outlineLevel="5" x14ac:dyDescent="0.2">
      <c r="B271" s="1" t="s">
        <v>362</v>
      </c>
      <c r="C271" s="1" t="s">
        <v>363</v>
      </c>
      <c r="D271" s="1" t="s">
        <v>19</v>
      </c>
      <c r="E271" s="1" t="s">
        <v>364</v>
      </c>
      <c r="F271" s="1"/>
      <c r="G271" s="1" t="s">
        <v>368</v>
      </c>
      <c r="H271" s="1" t="s">
        <v>366</v>
      </c>
      <c r="I271" s="1"/>
      <c r="J271" s="15">
        <v>24.6</v>
      </c>
      <c r="K271" s="15">
        <v>83.64</v>
      </c>
    </row>
    <row r="272" spans="1:11" ht="16.25" customHeight="1" outlineLevel="5" x14ac:dyDescent="0.2">
      <c r="B272" s="1" t="s">
        <v>362</v>
      </c>
      <c r="C272" s="1" t="s">
        <v>363</v>
      </c>
      <c r="D272" s="1" t="s">
        <v>19</v>
      </c>
      <c r="E272" s="1" t="s">
        <v>364</v>
      </c>
      <c r="F272" s="1"/>
      <c r="G272" s="1" t="s">
        <v>369</v>
      </c>
      <c r="H272" s="1" t="s">
        <v>366</v>
      </c>
      <c r="I272" s="1"/>
      <c r="J272" s="15">
        <v>19.68</v>
      </c>
      <c r="K272" s="15">
        <v>103.32</v>
      </c>
    </row>
    <row r="273" spans="2:11" ht="16.25" customHeight="1" outlineLevel="5" x14ac:dyDescent="0.2">
      <c r="B273" s="1" t="s">
        <v>362</v>
      </c>
      <c r="C273" s="1" t="s">
        <v>363</v>
      </c>
      <c r="D273" s="1" t="s">
        <v>19</v>
      </c>
      <c r="E273" s="1" t="s">
        <v>364</v>
      </c>
      <c r="F273" s="1"/>
      <c r="G273" s="1" t="s">
        <v>370</v>
      </c>
      <c r="H273" s="1" t="s">
        <v>366</v>
      </c>
      <c r="I273" s="1"/>
      <c r="J273" s="15">
        <v>14.76</v>
      </c>
      <c r="K273" s="15">
        <v>118.08</v>
      </c>
    </row>
    <row r="274" spans="2:11" ht="16.25" customHeight="1" outlineLevel="5" x14ac:dyDescent="0.2">
      <c r="B274" s="1" t="s">
        <v>362</v>
      </c>
      <c r="C274" s="1" t="s">
        <v>371</v>
      </c>
      <c r="D274" s="1" t="s">
        <v>19</v>
      </c>
      <c r="E274" s="1" t="s">
        <v>372</v>
      </c>
      <c r="F274" s="1"/>
      <c r="G274" s="1" t="s">
        <v>373</v>
      </c>
      <c r="H274" s="1" t="s">
        <v>366</v>
      </c>
      <c r="I274" s="1"/>
      <c r="J274" s="15">
        <v>19.670000000000002</v>
      </c>
      <c r="K274" s="15">
        <v>137.75</v>
      </c>
    </row>
    <row r="275" spans="2:11" ht="16.25" customHeight="1" outlineLevel="5" x14ac:dyDescent="0.2">
      <c r="B275" s="1" t="s">
        <v>362</v>
      </c>
      <c r="C275" s="1" t="s">
        <v>374</v>
      </c>
      <c r="D275" s="1" t="s">
        <v>19</v>
      </c>
      <c r="E275" s="1" t="s">
        <v>375</v>
      </c>
      <c r="F275" s="1"/>
      <c r="G275" s="1" t="s">
        <v>376</v>
      </c>
      <c r="H275" s="1" t="s">
        <v>366</v>
      </c>
      <c r="I275" s="1"/>
      <c r="J275" s="15">
        <v>19.82</v>
      </c>
      <c r="K275" s="15">
        <v>157.57</v>
      </c>
    </row>
    <row r="276" spans="2:11" ht="16.25" customHeight="1" outlineLevel="5" x14ac:dyDescent="0.2">
      <c r="B276" s="1" t="s">
        <v>362</v>
      </c>
      <c r="C276" s="1" t="s">
        <v>377</v>
      </c>
      <c r="D276" s="1" t="s">
        <v>19</v>
      </c>
      <c r="E276" s="1" t="s">
        <v>378</v>
      </c>
      <c r="F276" s="1"/>
      <c r="G276" s="1" t="s">
        <v>379</v>
      </c>
      <c r="H276" s="1" t="s">
        <v>366</v>
      </c>
      <c r="I276" s="1"/>
      <c r="J276" s="15">
        <v>29.73</v>
      </c>
      <c r="K276" s="15">
        <v>187.3</v>
      </c>
    </row>
    <row r="277" spans="2:11" ht="16.25" customHeight="1" outlineLevel="5" x14ac:dyDescent="0.2">
      <c r="B277" s="1" t="s">
        <v>362</v>
      </c>
      <c r="C277" s="1" t="s">
        <v>377</v>
      </c>
      <c r="D277" s="1" t="s">
        <v>19</v>
      </c>
      <c r="E277" s="1" t="s">
        <v>378</v>
      </c>
      <c r="F277" s="1"/>
      <c r="G277" s="1" t="s">
        <v>380</v>
      </c>
      <c r="H277" s="1" t="s">
        <v>366</v>
      </c>
      <c r="I277" s="1"/>
      <c r="J277" s="15">
        <v>29.73</v>
      </c>
      <c r="K277" s="15">
        <v>217.03</v>
      </c>
    </row>
    <row r="278" spans="2:11" ht="16.25" customHeight="1" outlineLevel="5" x14ac:dyDescent="0.2">
      <c r="B278" s="1" t="s">
        <v>362</v>
      </c>
      <c r="C278" s="1" t="s">
        <v>377</v>
      </c>
      <c r="D278" s="1" t="s">
        <v>19</v>
      </c>
      <c r="E278" s="1" t="s">
        <v>378</v>
      </c>
      <c r="F278" s="1"/>
      <c r="G278" s="1" t="s">
        <v>381</v>
      </c>
      <c r="H278" s="1" t="s">
        <v>366</v>
      </c>
      <c r="I278" s="1"/>
      <c r="J278" s="15">
        <v>29.73</v>
      </c>
      <c r="K278" s="15">
        <v>246.76</v>
      </c>
    </row>
    <row r="279" spans="2:11" ht="16.25" customHeight="1" outlineLevel="5" x14ac:dyDescent="0.2">
      <c r="B279" s="1" t="s">
        <v>362</v>
      </c>
      <c r="C279" s="1" t="s">
        <v>382</v>
      </c>
      <c r="D279" s="1" t="s">
        <v>19</v>
      </c>
      <c r="E279" s="1" t="s">
        <v>383</v>
      </c>
      <c r="F279" s="1"/>
      <c r="G279" s="1" t="s">
        <v>384</v>
      </c>
      <c r="H279" s="1" t="s">
        <v>366</v>
      </c>
      <c r="I279" s="1"/>
      <c r="J279" s="15">
        <v>20.010000000000002</v>
      </c>
      <c r="K279" s="15">
        <v>266.77</v>
      </c>
    </row>
    <row r="280" spans="2:11" ht="16.25" customHeight="1" outlineLevel="5" x14ac:dyDescent="0.2">
      <c r="B280" s="1" t="s">
        <v>362</v>
      </c>
      <c r="C280" s="1" t="s">
        <v>382</v>
      </c>
      <c r="D280" s="1" t="s">
        <v>19</v>
      </c>
      <c r="E280" s="1" t="s">
        <v>383</v>
      </c>
      <c r="F280" s="1"/>
      <c r="G280" s="1" t="s">
        <v>385</v>
      </c>
      <c r="H280" s="1" t="s">
        <v>366</v>
      </c>
      <c r="I280" s="1"/>
      <c r="J280" s="15">
        <v>20.010000000000002</v>
      </c>
      <c r="K280" s="15">
        <v>286.77999999999997</v>
      </c>
    </row>
    <row r="281" spans="2:11" ht="16.25" customHeight="1" outlineLevel="5" x14ac:dyDescent="0.2">
      <c r="B281" s="1" t="s">
        <v>362</v>
      </c>
      <c r="C281" s="1" t="s">
        <v>386</v>
      </c>
      <c r="D281" s="1" t="s">
        <v>19</v>
      </c>
      <c r="E281" s="1" t="s">
        <v>387</v>
      </c>
      <c r="F281" s="1"/>
      <c r="G281" s="1" t="s">
        <v>388</v>
      </c>
      <c r="H281" s="1" t="s">
        <v>366</v>
      </c>
      <c r="I281" s="1"/>
      <c r="J281" s="15">
        <v>30.08</v>
      </c>
      <c r="K281" s="15">
        <v>316.86</v>
      </c>
    </row>
    <row r="282" spans="2:11" ht="16.25" customHeight="1" outlineLevel="5" x14ac:dyDescent="0.2">
      <c r="B282" s="1" t="s">
        <v>362</v>
      </c>
      <c r="C282" s="1" t="s">
        <v>351</v>
      </c>
      <c r="D282" s="1" t="s">
        <v>19</v>
      </c>
      <c r="E282" s="1" t="s">
        <v>389</v>
      </c>
      <c r="F282" s="1"/>
      <c r="G282" s="1" t="s">
        <v>390</v>
      </c>
      <c r="H282" s="1" t="s">
        <v>366</v>
      </c>
      <c r="I282" s="1"/>
      <c r="J282" s="15">
        <v>29.98</v>
      </c>
      <c r="K282" s="15">
        <v>346.84</v>
      </c>
    </row>
    <row r="283" spans="2:11" ht="16.25" customHeight="1" outlineLevel="5" x14ac:dyDescent="0.2">
      <c r="B283" s="1" t="s">
        <v>362</v>
      </c>
      <c r="C283" s="1" t="s">
        <v>391</v>
      </c>
      <c r="D283" s="1" t="s">
        <v>19</v>
      </c>
      <c r="E283" s="1" t="s">
        <v>392</v>
      </c>
      <c r="F283" s="1"/>
      <c r="G283" s="1" t="s">
        <v>393</v>
      </c>
      <c r="H283" s="1" t="s">
        <v>366</v>
      </c>
      <c r="I283" s="1"/>
      <c r="J283" s="15">
        <v>24.87</v>
      </c>
      <c r="K283" s="15">
        <v>371.71</v>
      </c>
    </row>
    <row r="284" spans="2:11" ht="16.25" customHeight="1" outlineLevel="5" x14ac:dyDescent="0.2">
      <c r="B284" s="1" t="s">
        <v>362</v>
      </c>
      <c r="C284" s="1" t="s">
        <v>391</v>
      </c>
      <c r="D284" s="1" t="s">
        <v>19</v>
      </c>
      <c r="E284" s="1" t="s">
        <v>392</v>
      </c>
      <c r="F284" s="1"/>
      <c r="G284" s="1" t="s">
        <v>394</v>
      </c>
      <c r="H284" s="1" t="s">
        <v>366</v>
      </c>
      <c r="I284" s="1"/>
      <c r="J284" s="15">
        <v>24.87</v>
      </c>
      <c r="K284" s="15">
        <v>396.58</v>
      </c>
    </row>
    <row r="285" spans="2:11" ht="16.25" customHeight="1" outlineLevel="5" x14ac:dyDescent="0.2">
      <c r="B285" s="1" t="s">
        <v>362</v>
      </c>
      <c r="C285" s="1" t="s">
        <v>391</v>
      </c>
      <c r="D285" s="1" t="s">
        <v>19</v>
      </c>
      <c r="E285" s="1" t="s">
        <v>392</v>
      </c>
      <c r="F285" s="1"/>
      <c r="G285" s="1" t="s">
        <v>395</v>
      </c>
      <c r="H285" s="1" t="s">
        <v>366</v>
      </c>
      <c r="I285" s="1"/>
      <c r="J285" s="15">
        <v>19.899999999999999</v>
      </c>
      <c r="K285" s="15">
        <v>416.48</v>
      </c>
    </row>
    <row r="286" spans="2:11" ht="16.25" customHeight="1" outlineLevel="5" x14ac:dyDescent="0.2">
      <c r="B286" s="1" t="s">
        <v>362</v>
      </c>
      <c r="C286" s="1" t="s">
        <v>396</v>
      </c>
      <c r="D286" s="1" t="s">
        <v>19</v>
      </c>
      <c r="E286" s="1" t="s">
        <v>397</v>
      </c>
      <c r="F286" s="1"/>
      <c r="G286" s="1" t="s">
        <v>398</v>
      </c>
      <c r="H286" s="1" t="s">
        <v>366</v>
      </c>
      <c r="I286" s="1"/>
      <c r="J286" s="15">
        <v>19.87</v>
      </c>
      <c r="K286" s="15">
        <v>436.35</v>
      </c>
    </row>
    <row r="287" spans="2:11" ht="16.25" customHeight="1" outlineLevel="5" x14ac:dyDescent="0.2">
      <c r="B287" s="1" t="s">
        <v>362</v>
      </c>
      <c r="C287" s="1" t="s">
        <v>399</v>
      </c>
      <c r="D287" s="1" t="s">
        <v>19</v>
      </c>
      <c r="E287" s="1" t="s">
        <v>400</v>
      </c>
      <c r="F287" s="1"/>
      <c r="G287" s="1" t="s">
        <v>401</v>
      </c>
      <c r="H287" s="1" t="s">
        <v>366</v>
      </c>
      <c r="I287" s="1"/>
      <c r="J287" s="15">
        <v>24.85</v>
      </c>
      <c r="K287" s="15">
        <v>461.2</v>
      </c>
    </row>
    <row r="288" spans="2:11" ht="16.25" customHeight="1" outlineLevel="5" x14ac:dyDescent="0.2">
      <c r="B288" s="1" t="s">
        <v>362</v>
      </c>
      <c r="C288" s="1" t="s">
        <v>399</v>
      </c>
      <c r="D288" s="1" t="s">
        <v>19</v>
      </c>
      <c r="E288" s="1" t="s">
        <v>400</v>
      </c>
      <c r="F288" s="1"/>
      <c r="G288" s="1" t="s">
        <v>402</v>
      </c>
      <c r="H288" s="1" t="s">
        <v>366</v>
      </c>
      <c r="I288" s="1"/>
      <c r="J288" s="15">
        <v>24.85</v>
      </c>
      <c r="K288" s="15">
        <v>486.05</v>
      </c>
    </row>
    <row r="289" spans="2:11" ht="16.25" customHeight="1" outlineLevel="5" x14ac:dyDescent="0.2">
      <c r="B289" s="1" t="s">
        <v>362</v>
      </c>
      <c r="C289" s="1" t="s">
        <v>321</v>
      </c>
      <c r="D289" s="1" t="s">
        <v>19</v>
      </c>
      <c r="E289" s="1" t="s">
        <v>403</v>
      </c>
      <c r="F289" s="1"/>
      <c r="G289" s="1" t="s">
        <v>404</v>
      </c>
      <c r="H289" s="1" t="s">
        <v>366</v>
      </c>
      <c r="I289" s="1"/>
      <c r="J289" s="15">
        <v>29.74</v>
      </c>
      <c r="K289" s="15">
        <v>515.79</v>
      </c>
    </row>
    <row r="290" spans="2:11" ht="16.25" customHeight="1" outlineLevel="5" x14ac:dyDescent="0.2">
      <c r="B290" s="1" t="s">
        <v>362</v>
      </c>
      <c r="C290" s="1" t="s">
        <v>321</v>
      </c>
      <c r="D290" s="1" t="s">
        <v>19</v>
      </c>
      <c r="E290" s="1" t="s">
        <v>403</v>
      </c>
      <c r="F290" s="1"/>
      <c r="G290" s="1" t="s">
        <v>405</v>
      </c>
      <c r="H290" s="1" t="s">
        <v>366</v>
      </c>
      <c r="I290" s="1"/>
      <c r="J290" s="15">
        <v>29.74</v>
      </c>
      <c r="K290" s="15">
        <v>545.53</v>
      </c>
    </row>
    <row r="291" spans="2:11" ht="16.25" customHeight="1" outlineLevel="5" x14ac:dyDescent="0.2">
      <c r="B291" s="1" t="s">
        <v>362</v>
      </c>
      <c r="C291" s="1" t="s">
        <v>406</v>
      </c>
      <c r="D291" s="1" t="s">
        <v>19</v>
      </c>
      <c r="E291" s="1" t="s">
        <v>407</v>
      </c>
      <c r="F291" s="1"/>
      <c r="G291" s="1" t="s">
        <v>408</v>
      </c>
      <c r="H291" s="1" t="s">
        <v>366</v>
      </c>
      <c r="I291" s="1"/>
      <c r="J291" s="15">
        <v>25.04</v>
      </c>
      <c r="K291" s="15">
        <v>570.56999999999994</v>
      </c>
    </row>
    <row r="292" spans="2:11" ht="16.25" customHeight="1" outlineLevel="5" x14ac:dyDescent="0.2">
      <c r="B292" s="1" t="s">
        <v>362</v>
      </c>
      <c r="C292" s="1" t="s">
        <v>341</v>
      </c>
      <c r="D292" s="1" t="s">
        <v>19</v>
      </c>
      <c r="E292" s="1" t="s">
        <v>409</v>
      </c>
      <c r="F292" s="1"/>
      <c r="G292" s="1" t="s">
        <v>410</v>
      </c>
      <c r="H292" s="1" t="s">
        <v>366</v>
      </c>
      <c r="I292" s="1"/>
      <c r="J292" s="15">
        <v>20.09</v>
      </c>
      <c r="K292" s="15">
        <v>590.66</v>
      </c>
    </row>
    <row r="293" spans="2:11" ht="16.25" customHeight="1" outlineLevel="5" x14ac:dyDescent="0.2">
      <c r="B293" s="1" t="s">
        <v>362</v>
      </c>
      <c r="C293" s="1" t="s">
        <v>341</v>
      </c>
      <c r="D293" s="1" t="s">
        <v>19</v>
      </c>
      <c r="E293" s="1" t="s">
        <v>409</v>
      </c>
      <c r="F293" s="1"/>
      <c r="G293" s="1" t="s">
        <v>411</v>
      </c>
      <c r="H293" s="1" t="s">
        <v>366</v>
      </c>
      <c r="I293" s="1"/>
      <c r="J293" s="15">
        <v>25.11</v>
      </c>
      <c r="K293" s="15">
        <v>615.77</v>
      </c>
    </row>
    <row r="294" spans="2:11" ht="16.25" customHeight="1" outlineLevel="5" x14ac:dyDescent="0.2">
      <c r="B294" s="1" t="s">
        <v>362</v>
      </c>
      <c r="C294" s="1" t="s">
        <v>341</v>
      </c>
      <c r="D294" s="1" t="s">
        <v>19</v>
      </c>
      <c r="E294" s="1" t="s">
        <v>409</v>
      </c>
      <c r="F294" s="1"/>
      <c r="G294" s="1" t="s">
        <v>412</v>
      </c>
      <c r="H294" s="1" t="s">
        <v>366</v>
      </c>
      <c r="I294" s="1"/>
      <c r="J294" s="15">
        <v>20.09</v>
      </c>
      <c r="K294" s="15">
        <v>635.86</v>
      </c>
    </row>
    <row r="295" spans="2:11" ht="16.25" customHeight="1" outlineLevel="5" x14ac:dyDescent="0.2">
      <c r="B295" s="1" t="s">
        <v>362</v>
      </c>
      <c r="C295" s="1" t="s">
        <v>325</v>
      </c>
      <c r="D295" s="1" t="s">
        <v>19</v>
      </c>
      <c r="E295" s="1" t="s">
        <v>413</v>
      </c>
      <c r="F295" s="1"/>
      <c r="G295" s="1" t="s">
        <v>414</v>
      </c>
      <c r="H295" s="1" t="s">
        <v>366</v>
      </c>
      <c r="I295" s="1"/>
      <c r="J295" s="15">
        <v>20.03</v>
      </c>
      <c r="K295" s="15">
        <v>655.89</v>
      </c>
    </row>
    <row r="296" spans="2:11" ht="16.25" customHeight="1" outlineLevel="5" x14ac:dyDescent="0.2">
      <c r="B296" s="1" t="s">
        <v>362</v>
      </c>
      <c r="C296" s="1" t="s">
        <v>325</v>
      </c>
      <c r="D296" s="1" t="s">
        <v>19</v>
      </c>
      <c r="E296" s="1" t="s">
        <v>413</v>
      </c>
      <c r="F296" s="1"/>
      <c r="G296" s="1" t="s">
        <v>415</v>
      </c>
      <c r="H296" s="1" t="s">
        <v>366</v>
      </c>
      <c r="I296" s="1"/>
      <c r="J296" s="15">
        <v>20.03</v>
      </c>
      <c r="K296" s="15">
        <v>675.92</v>
      </c>
    </row>
    <row r="297" spans="2:11" ht="16.25" customHeight="1" outlineLevel="5" x14ac:dyDescent="0.2">
      <c r="B297" s="1" t="s">
        <v>362</v>
      </c>
      <c r="C297" s="1" t="s">
        <v>416</v>
      </c>
      <c r="D297" s="1" t="s">
        <v>19</v>
      </c>
      <c r="E297" s="1" t="s">
        <v>417</v>
      </c>
      <c r="F297" s="1"/>
      <c r="G297" s="1" t="s">
        <v>418</v>
      </c>
      <c r="H297" s="1" t="s">
        <v>366</v>
      </c>
      <c r="I297" s="1"/>
      <c r="J297" s="15">
        <v>20.14</v>
      </c>
      <c r="K297" s="15">
        <v>696.06</v>
      </c>
    </row>
    <row r="298" spans="2:11" ht="16.25" customHeight="1" outlineLevel="5" x14ac:dyDescent="0.2">
      <c r="B298" s="1" t="s">
        <v>362</v>
      </c>
      <c r="C298" s="1" t="s">
        <v>419</v>
      </c>
      <c r="D298" s="1" t="s">
        <v>19</v>
      </c>
      <c r="E298" s="1" t="s">
        <v>420</v>
      </c>
      <c r="F298" s="1"/>
      <c r="G298" s="1" t="s">
        <v>421</v>
      </c>
      <c r="H298" s="1" t="s">
        <v>366</v>
      </c>
      <c r="I298" s="1"/>
      <c r="J298" s="15">
        <v>10.029999999999999</v>
      </c>
      <c r="K298" s="15">
        <v>706.08999999999992</v>
      </c>
    </row>
    <row r="299" spans="2:11" ht="16.25" customHeight="1" outlineLevel="5" x14ac:dyDescent="0.2">
      <c r="B299" s="1" t="s">
        <v>362</v>
      </c>
      <c r="C299" s="1" t="s">
        <v>419</v>
      </c>
      <c r="D299" s="1" t="s">
        <v>19</v>
      </c>
      <c r="E299" s="1" t="s">
        <v>420</v>
      </c>
      <c r="F299" s="1"/>
      <c r="G299" s="1" t="s">
        <v>422</v>
      </c>
      <c r="H299" s="1" t="s">
        <v>366</v>
      </c>
      <c r="I299" s="1"/>
      <c r="J299" s="15">
        <v>30.1</v>
      </c>
      <c r="K299" s="15">
        <v>736.18999999999994</v>
      </c>
    </row>
    <row r="300" spans="2:11" ht="16.25" customHeight="1" outlineLevel="5" x14ac:dyDescent="0.2">
      <c r="B300" s="1" t="s">
        <v>362</v>
      </c>
      <c r="C300" s="1" t="s">
        <v>23</v>
      </c>
      <c r="D300" s="1" t="s">
        <v>19</v>
      </c>
      <c r="E300" s="1" t="s">
        <v>423</v>
      </c>
      <c r="F300" s="1"/>
      <c r="G300" s="1" t="s">
        <v>424</v>
      </c>
      <c r="H300" s="1" t="s">
        <v>366</v>
      </c>
      <c r="I300" s="1"/>
      <c r="J300" s="15">
        <v>15.1</v>
      </c>
      <c r="K300" s="15">
        <v>751.29</v>
      </c>
    </row>
    <row r="301" spans="2:11" ht="16.25" customHeight="1" outlineLevel="5" x14ac:dyDescent="0.2">
      <c r="B301" s="1" t="s">
        <v>362</v>
      </c>
      <c r="C301" s="1" t="s">
        <v>425</v>
      </c>
      <c r="D301" s="1" t="s">
        <v>19</v>
      </c>
      <c r="E301" s="1" t="s">
        <v>426</v>
      </c>
      <c r="F301" s="1"/>
      <c r="G301" s="1" t="s">
        <v>427</v>
      </c>
      <c r="H301" s="1" t="s">
        <v>366</v>
      </c>
      <c r="I301" s="1"/>
      <c r="J301" s="15">
        <v>19.93</v>
      </c>
      <c r="K301" s="15">
        <v>771.21999999999991</v>
      </c>
    </row>
    <row r="302" spans="2:11" ht="16.25" customHeight="1" outlineLevel="5" x14ac:dyDescent="0.2">
      <c r="B302" s="1" t="s">
        <v>362</v>
      </c>
      <c r="C302" s="1" t="s">
        <v>425</v>
      </c>
      <c r="D302" s="1" t="s">
        <v>19</v>
      </c>
      <c r="E302" s="1" t="s">
        <v>426</v>
      </c>
      <c r="F302" s="1"/>
      <c r="G302" s="1" t="s">
        <v>428</v>
      </c>
      <c r="H302" s="1" t="s">
        <v>366</v>
      </c>
      <c r="I302" s="1"/>
      <c r="J302" s="15">
        <v>19.93</v>
      </c>
      <c r="K302" s="15">
        <v>791.14999999999986</v>
      </c>
    </row>
    <row r="303" spans="2:11" ht="16.25" customHeight="1" outlineLevel="5" x14ac:dyDescent="0.2">
      <c r="B303" s="1" t="s">
        <v>362</v>
      </c>
      <c r="C303" s="1" t="s">
        <v>425</v>
      </c>
      <c r="D303" s="1" t="s">
        <v>19</v>
      </c>
      <c r="E303" s="1" t="s">
        <v>426</v>
      </c>
      <c r="F303" s="1"/>
      <c r="G303" s="1" t="s">
        <v>429</v>
      </c>
      <c r="H303" s="1" t="s">
        <v>366</v>
      </c>
      <c r="I303" s="1"/>
      <c r="J303" s="15">
        <v>24.91</v>
      </c>
      <c r="K303" s="15">
        <v>816.05999999999983</v>
      </c>
    </row>
    <row r="304" spans="2:11" ht="16.25" customHeight="1" outlineLevel="5" x14ac:dyDescent="0.2">
      <c r="B304" s="1" t="s">
        <v>362</v>
      </c>
      <c r="C304" s="1" t="s">
        <v>430</v>
      </c>
      <c r="D304" s="1" t="s">
        <v>19</v>
      </c>
      <c r="E304" s="1" t="s">
        <v>431</v>
      </c>
      <c r="F304" s="1"/>
      <c r="G304" s="1" t="s">
        <v>432</v>
      </c>
      <c r="H304" s="1" t="s">
        <v>366</v>
      </c>
      <c r="I304" s="1"/>
      <c r="J304" s="15">
        <v>49.33</v>
      </c>
      <c r="K304" s="15">
        <v>865.38999999999987</v>
      </c>
    </row>
    <row r="305" spans="2:11" ht="16.25" customHeight="1" outlineLevel="5" x14ac:dyDescent="0.2">
      <c r="B305" s="1" t="s">
        <v>362</v>
      </c>
      <c r="C305" s="1" t="s">
        <v>433</v>
      </c>
      <c r="D305" s="1" t="s">
        <v>19</v>
      </c>
      <c r="E305" s="1" t="s">
        <v>434</v>
      </c>
      <c r="F305" s="1"/>
      <c r="G305" s="1" t="s">
        <v>435</v>
      </c>
      <c r="H305" s="1" t="s">
        <v>366</v>
      </c>
      <c r="I305" s="1"/>
      <c r="J305" s="15">
        <v>54.13</v>
      </c>
      <c r="K305" s="15">
        <v>919.51999999999987</v>
      </c>
    </row>
    <row r="306" spans="2:11" ht="16.25" customHeight="1" outlineLevel="5" x14ac:dyDescent="0.2">
      <c r="B306" s="1" t="s">
        <v>362</v>
      </c>
      <c r="C306" s="1" t="s">
        <v>433</v>
      </c>
      <c r="D306" s="1" t="s">
        <v>19</v>
      </c>
      <c r="E306" s="1" t="s">
        <v>434</v>
      </c>
      <c r="F306" s="1"/>
      <c r="G306" s="1" t="s">
        <v>436</v>
      </c>
      <c r="H306" s="1" t="s">
        <v>366</v>
      </c>
      <c r="I306" s="1"/>
      <c r="J306" s="15">
        <v>24.6</v>
      </c>
      <c r="K306" s="15">
        <v>944.11999999999989</v>
      </c>
    </row>
    <row r="307" spans="2:11" ht="16.25" customHeight="1" outlineLevel="5" x14ac:dyDescent="0.2">
      <c r="B307" s="1" t="s">
        <v>362</v>
      </c>
      <c r="C307" s="1" t="s">
        <v>437</v>
      </c>
      <c r="D307" s="1" t="s">
        <v>19</v>
      </c>
      <c r="E307" s="1" t="s">
        <v>438</v>
      </c>
      <c r="F307" s="1"/>
      <c r="G307" s="1" t="s">
        <v>439</v>
      </c>
      <c r="H307" s="1" t="s">
        <v>366</v>
      </c>
      <c r="I307" s="1"/>
      <c r="J307" s="15">
        <v>19.600000000000001</v>
      </c>
      <c r="K307" s="15">
        <v>963.71999999999991</v>
      </c>
    </row>
    <row r="308" spans="2:11" ht="16.25" customHeight="1" outlineLevel="5" x14ac:dyDescent="0.2">
      <c r="B308" s="1" t="s">
        <v>362</v>
      </c>
      <c r="C308" s="1" t="s">
        <v>440</v>
      </c>
      <c r="D308" s="1" t="s">
        <v>19</v>
      </c>
      <c r="E308" s="1" t="s">
        <v>441</v>
      </c>
      <c r="F308" s="1"/>
      <c r="G308" s="1" t="s">
        <v>442</v>
      </c>
      <c r="H308" s="1" t="s">
        <v>366</v>
      </c>
      <c r="I308" s="1"/>
      <c r="J308" s="15">
        <v>29.31</v>
      </c>
      <c r="K308" s="15">
        <v>993.02999999999986</v>
      </c>
    </row>
    <row r="309" spans="2:11" ht="16.25" customHeight="1" outlineLevel="5" x14ac:dyDescent="0.2">
      <c r="B309" s="1" t="s">
        <v>362</v>
      </c>
      <c r="C309" s="1" t="s">
        <v>440</v>
      </c>
      <c r="D309" s="1" t="s">
        <v>19</v>
      </c>
      <c r="E309" s="1" t="s">
        <v>441</v>
      </c>
      <c r="F309" s="1"/>
      <c r="G309" s="1" t="s">
        <v>443</v>
      </c>
      <c r="H309" s="1" t="s">
        <v>366</v>
      </c>
      <c r="I309" s="1"/>
      <c r="J309" s="15">
        <v>24.43</v>
      </c>
      <c r="K309" s="15">
        <v>1017.46</v>
      </c>
    </row>
    <row r="310" spans="2:11" ht="16.25" customHeight="1" outlineLevel="5" x14ac:dyDescent="0.2">
      <c r="B310" s="1" t="s">
        <v>362</v>
      </c>
      <c r="C310" s="1" t="s">
        <v>440</v>
      </c>
      <c r="D310" s="1" t="s">
        <v>19</v>
      </c>
      <c r="E310" s="1" t="s">
        <v>441</v>
      </c>
      <c r="F310" s="1"/>
      <c r="G310" s="1" t="s">
        <v>444</v>
      </c>
      <c r="H310" s="1" t="s">
        <v>366</v>
      </c>
      <c r="I310" s="1"/>
      <c r="J310" s="15">
        <v>24.43</v>
      </c>
      <c r="K310" s="15">
        <v>1041.8900000000001</v>
      </c>
    </row>
    <row r="311" spans="2:11" ht="16.25" customHeight="1" outlineLevel="5" x14ac:dyDescent="0.2">
      <c r="B311" s="1" t="s">
        <v>362</v>
      </c>
      <c r="C311" s="1" t="s">
        <v>445</v>
      </c>
      <c r="D311" s="1" t="s">
        <v>19</v>
      </c>
      <c r="E311" s="1" t="s">
        <v>446</v>
      </c>
      <c r="F311" s="1"/>
      <c r="G311" s="1" t="s">
        <v>447</v>
      </c>
      <c r="H311" s="1" t="s">
        <v>366</v>
      </c>
      <c r="I311" s="1"/>
      <c r="J311" s="15">
        <v>29.15</v>
      </c>
      <c r="K311" s="15">
        <v>1071.04</v>
      </c>
    </row>
    <row r="312" spans="2:11" ht="16.25" customHeight="1" outlineLevel="5" x14ac:dyDescent="0.2">
      <c r="B312" s="1" t="s">
        <v>362</v>
      </c>
      <c r="C312" s="1" t="s">
        <v>445</v>
      </c>
      <c r="D312" s="1" t="s">
        <v>19</v>
      </c>
      <c r="E312" s="1" t="s">
        <v>446</v>
      </c>
      <c r="F312" s="1"/>
      <c r="G312" s="1" t="s">
        <v>448</v>
      </c>
      <c r="H312" s="1" t="s">
        <v>366</v>
      </c>
      <c r="I312" s="1"/>
      <c r="J312" s="15">
        <v>29.15</v>
      </c>
      <c r="K312" s="15">
        <v>1100.19</v>
      </c>
    </row>
    <row r="313" spans="2:11" ht="16.25" customHeight="1" outlineLevel="5" x14ac:dyDescent="0.2">
      <c r="B313" s="1" t="s">
        <v>362</v>
      </c>
      <c r="C313" s="1" t="s">
        <v>445</v>
      </c>
      <c r="D313" s="1" t="s">
        <v>19</v>
      </c>
      <c r="E313" s="1" t="s">
        <v>446</v>
      </c>
      <c r="F313" s="1"/>
      <c r="G313" s="1" t="s">
        <v>449</v>
      </c>
      <c r="H313" s="1" t="s">
        <v>366</v>
      </c>
      <c r="I313" s="1"/>
      <c r="J313" s="15">
        <v>29.15</v>
      </c>
      <c r="K313" s="15">
        <v>1129.3399999999999</v>
      </c>
    </row>
    <row r="314" spans="2:11" ht="16.25" customHeight="1" outlineLevel="5" x14ac:dyDescent="0.2">
      <c r="B314" s="1" t="s">
        <v>362</v>
      </c>
      <c r="C314" s="1" t="s">
        <v>450</v>
      </c>
      <c r="D314" s="1" t="s">
        <v>19</v>
      </c>
      <c r="E314" s="1" t="s">
        <v>451</v>
      </c>
      <c r="F314" s="1"/>
      <c r="G314" s="1" t="s">
        <v>452</v>
      </c>
      <c r="H314" s="1" t="s">
        <v>366</v>
      </c>
      <c r="I314" s="1"/>
      <c r="J314" s="15">
        <v>24.37</v>
      </c>
      <c r="K314" s="15">
        <v>1153.71</v>
      </c>
    </row>
    <row r="315" spans="2:11" ht="16.25" customHeight="1" outlineLevel="5" x14ac:dyDescent="0.2">
      <c r="B315" s="1" t="s">
        <v>362</v>
      </c>
      <c r="C315" s="1" t="s">
        <v>26</v>
      </c>
      <c r="D315" s="1" t="s">
        <v>19</v>
      </c>
      <c r="E315" s="1" t="s">
        <v>453</v>
      </c>
      <c r="F315" s="1"/>
      <c r="G315" s="1" t="s">
        <v>454</v>
      </c>
      <c r="H315" s="1" t="s">
        <v>366</v>
      </c>
      <c r="I315" s="1"/>
      <c r="J315" s="15">
        <v>29.33</v>
      </c>
      <c r="K315" s="15">
        <v>1183.04</v>
      </c>
    </row>
    <row r="316" spans="2:11" ht="16.25" customHeight="1" outlineLevel="5" x14ac:dyDescent="0.2">
      <c r="B316" s="1" t="s">
        <v>362</v>
      </c>
      <c r="C316" s="1" t="s">
        <v>26</v>
      </c>
      <c r="D316" s="1" t="s">
        <v>19</v>
      </c>
      <c r="E316" s="1" t="s">
        <v>453</v>
      </c>
      <c r="F316" s="1"/>
      <c r="G316" s="1" t="s">
        <v>455</v>
      </c>
      <c r="H316" s="1" t="s">
        <v>366</v>
      </c>
      <c r="I316" s="1"/>
      <c r="J316" s="15">
        <v>24.44</v>
      </c>
      <c r="K316" s="15">
        <v>1207.48</v>
      </c>
    </row>
    <row r="317" spans="2:11" ht="16.25" customHeight="1" outlineLevel="5" x14ac:dyDescent="0.2">
      <c r="B317" s="1" t="s">
        <v>362</v>
      </c>
      <c r="C317" s="1" t="s">
        <v>456</v>
      </c>
      <c r="D317" s="1" t="s">
        <v>19</v>
      </c>
      <c r="E317" s="1" t="s">
        <v>457</v>
      </c>
      <c r="F317" s="1"/>
      <c r="G317" s="1" t="s">
        <v>458</v>
      </c>
      <c r="H317" s="1" t="s">
        <v>366</v>
      </c>
      <c r="I317" s="1"/>
      <c r="J317" s="15">
        <v>28.43</v>
      </c>
      <c r="K317" s="15">
        <v>1235.9100000000001</v>
      </c>
    </row>
    <row r="318" spans="2:11" ht="16.25" customHeight="1" outlineLevel="5" x14ac:dyDescent="0.2">
      <c r="B318" s="1" t="s">
        <v>362</v>
      </c>
      <c r="C318" s="1" t="s">
        <v>456</v>
      </c>
      <c r="D318" s="1" t="s">
        <v>19</v>
      </c>
      <c r="E318" s="1" t="s">
        <v>457</v>
      </c>
      <c r="F318" s="1"/>
      <c r="G318" s="1" t="s">
        <v>459</v>
      </c>
      <c r="H318" s="1" t="s">
        <v>366</v>
      </c>
      <c r="I318" s="1"/>
      <c r="J318" s="15">
        <v>37.909999999999997</v>
      </c>
      <c r="K318" s="15">
        <v>1273.82</v>
      </c>
    </row>
    <row r="319" spans="2:11" ht="16.25" customHeight="1" outlineLevel="5" x14ac:dyDescent="0.2">
      <c r="B319" s="1" t="s">
        <v>362</v>
      </c>
      <c r="C319" s="1" t="s">
        <v>460</v>
      </c>
      <c r="D319" s="1" t="s">
        <v>19</v>
      </c>
      <c r="E319" s="1" t="s">
        <v>461</v>
      </c>
      <c r="F319" s="1"/>
      <c r="G319" s="1" t="s">
        <v>462</v>
      </c>
      <c r="H319" s="1" t="s">
        <v>366</v>
      </c>
      <c r="I319" s="1"/>
      <c r="J319" s="15">
        <v>56.94</v>
      </c>
      <c r="K319" s="15">
        <v>1330.76</v>
      </c>
    </row>
    <row r="320" spans="2:11" ht="16.25" customHeight="1" outlineLevel="5" x14ac:dyDescent="0.2">
      <c r="B320" s="1" t="s">
        <v>362</v>
      </c>
      <c r="C320" s="1" t="s">
        <v>460</v>
      </c>
      <c r="D320" s="1" t="s">
        <v>19</v>
      </c>
      <c r="E320" s="1" t="s">
        <v>461</v>
      </c>
      <c r="F320" s="1"/>
      <c r="G320" s="1" t="s">
        <v>463</v>
      </c>
      <c r="H320" s="1" t="s">
        <v>366</v>
      </c>
      <c r="I320" s="1"/>
      <c r="J320" s="15">
        <v>56.94</v>
      </c>
      <c r="K320" s="15">
        <v>1387.7</v>
      </c>
    </row>
    <row r="321" spans="2:11" ht="16.25" customHeight="1" outlineLevel="5" x14ac:dyDescent="0.2">
      <c r="B321" s="1" t="s">
        <v>362</v>
      </c>
      <c r="C321" s="1" t="s">
        <v>460</v>
      </c>
      <c r="D321" s="1" t="s">
        <v>19</v>
      </c>
      <c r="E321" s="1" t="s">
        <v>461</v>
      </c>
      <c r="F321" s="1"/>
      <c r="G321" s="1" t="s">
        <v>464</v>
      </c>
      <c r="H321" s="1" t="s">
        <v>366</v>
      </c>
      <c r="I321" s="1"/>
      <c r="J321" s="15">
        <v>56.94</v>
      </c>
      <c r="K321" s="15">
        <v>1444.64</v>
      </c>
    </row>
    <row r="322" spans="2:11" ht="16.25" customHeight="1" outlineLevel="5" x14ac:dyDescent="0.2">
      <c r="B322" s="1" t="s">
        <v>362</v>
      </c>
      <c r="C322" s="1" t="s">
        <v>465</v>
      </c>
      <c r="D322" s="1" t="s">
        <v>19</v>
      </c>
      <c r="E322" s="1" t="s">
        <v>466</v>
      </c>
      <c r="F322" s="1"/>
      <c r="G322" s="1" t="s">
        <v>467</v>
      </c>
      <c r="H322" s="1" t="s">
        <v>366</v>
      </c>
      <c r="I322" s="1"/>
      <c r="J322" s="15">
        <v>56.86</v>
      </c>
      <c r="K322" s="15">
        <v>1501.5</v>
      </c>
    </row>
    <row r="323" spans="2:11" ht="16.25" customHeight="1" outlineLevel="5" x14ac:dyDescent="0.2">
      <c r="B323" s="1" t="s">
        <v>362</v>
      </c>
      <c r="C323" s="1" t="s">
        <v>465</v>
      </c>
      <c r="D323" s="1" t="s">
        <v>19</v>
      </c>
      <c r="E323" s="1" t="s">
        <v>466</v>
      </c>
      <c r="F323" s="1"/>
      <c r="G323" s="1" t="s">
        <v>468</v>
      </c>
      <c r="H323" s="1" t="s">
        <v>366</v>
      </c>
      <c r="I323" s="1"/>
      <c r="J323" s="15">
        <v>56.86</v>
      </c>
      <c r="K323" s="15">
        <v>1558.36</v>
      </c>
    </row>
    <row r="324" spans="2:11" ht="16.25" customHeight="1" outlineLevel="5" x14ac:dyDescent="0.2">
      <c r="B324" s="1" t="s">
        <v>362</v>
      </c>
      <c r="C324" s="1" t="s">
        <v>465</v>
      </c>
      <c r="D324" s="1" t="s">
        <v>19</v>
      </c>
      <c r="E324" s="1" t="s">
        <v>466</v>
      </c>
      <c r="F324" s="1"/>
      <c r="G324" s="1" t="s">
        <v>469</v>
      </c>
      <c r="H324" s="1" t="s">
        <v>366</v>
      </c>
      <c r="I324" s="1"/>
      <c r="J324" s="15">
        <v>28.43</v>
      </c>
      <c r="K324" s="15">
        <v>1586.79</v>
      </c>
    </row>
    <row r="325" spans="2:11" ht="16.25" customHeight="1" outlineLevel="5" x14ac:dyDescent="0.2">
      <c r="B325" s="1" t="s">
        <v>362</v>
      </c>
      <c r="C325" s="1" t="s">
        <v>470</v>
      </c>
      <c r="D325" s="1" t="s">
        <v>19</v>
      </c>
      <c r="E325" s="1" t="s">
        <v>471</v>
      </c>
      <c r="F325" s="1"/>
      <c r="G325" s="1" t="s">
        <v>472</v>
      </c>
      <c r="H325" s="1" t="s">
        <v>366</v>
      </c>
      <c r="I325" s="1"/>
      <c r="J325" s="15">
        <v>56.17</v>
      </c>
      <c r="K325" s="15">
        <v>1642.96</v>
      </c>
    </row>
    <row r="326" spans="2:11" ht="16.25" customHeight="1" outlineLevel="5" x14ac:dyDescent="0.2">
      <c r="B326" s="1" t="s">
        <v>362</v>
      </c>
      <c r="C326" s="1" t="s">
        <v>473</v>
      </c>
      <c r="D326" s="1" t="s">
        <v>19</v>
      </c>
      <c r="E326" s="1" t="s">
        <v>474</v>
      </c>
      <c r="F326" s="1"/>
      <c r="G326" s="1" t="s">
        <v>475</v>
      </c>
      <c r="H326" s="1" t="s">
        <v>366</v>
      </c>
      <c r="I326" s="1"/>
      <c r="J326" s="15">
        <v>56.15</v>
      </c>
      <c r="K326" s="15">
        <v>1699.11</v>
      </c>
    </row>
    <row r="327" spans="2:11" ht="16.25" customHeight="1" outlineLevel="5" x14ac:dyDescent="0.2">
      <c r="B327" s="1" t="s">
        <v>362</v>
      </c>
      <c r="C327" s="1" t="s">
        <v>310</v>
      </c>
      <c r="D327" s="1" t="s">
        <v>19</v>
      </c>
      <c r="E327" s="1" t="s">
        <v>476</v>
      </c>
      <c r="F327" s="1"/>
      <c r="G327" s="1" t="s">
        <v>477</v>
      </c>
      <c r="H327" s="1" t="s">
        <v>366</v>
      </c>
      <c r="I327" s="1"/>
      <c r="J327" s="15">
        <v>55.88</v>
      </c>
      <c r="K327" s="15">
        <v>1754.99</v>
      </c>
    </row>
    <row r="328" spans="2:11" ht="16.25" customHeight="1" outlineLevel="5" x14ac:dyDescent="0.2">
      <c r="B328" s="1" t="s">
        <v>362</v>
      </c>
      <c r="C328" s="1" t="s">
        <v>310</v>
      </c>
      <c r="D328" s="1" t="s">
        <v>19</v>
      </c>
      <c r="E328" s="1" t="s">
        <v>476</v>
      </c>
      <c r="F328" s="1"/>
      <c r="G328" s="1" t="s">
        <v>478</v>
      </c>
      <c r="H328" s="1" t="s">
        <v>366</v>
      </c>
      <c r="I328" s="1"/>
      <c r="J328" s="15">
        <v>55.88</v>
      </c>
      <c r="K328" s="15">
        <v>1810.870000000001</v>
      </c>
    </row>
    <row r="329" spans="2:11" ht="16.25" customHeight="1" outlineLevel="5" x14ac:dyDescent="0.2">
      <c r="B329" s="1" t="s">
        <v>362</v>
      </c>
      <c r="C329" s="1" t="s">
        <v>479</v>
      </c>
      <c r="D329" s="1" t="s">
        <v>19</v>
      </c>
      <c r="E329" s="1" t="s">
        <v>480</v>
      </c>
      <c r="F329" s="1"/>
      <c r="G329" s="1" t="s">
        <v>481</v>
      </c>
      <c r="H329" s="1" t="s">
        <v>366</v>
      </c>
      <c r="I329" s="1"/>
      <c r="J329" s="15">
        <v>55.63</v>
      </c>
      <c r="K329" s="15">
        <v>1866.5000000000009</v>
      </c>
    </row>
    <row r="330" spans="2:11" ht="16.25" customHeight="1" outlineLevel="5" x14ac:dyDescent="0.2">
      <c r="B330" s="1" t="s">
        <v>362</v>
      </c>
      <c r="C330" s="1" t="s">
        <v>479</v>
      </c>
      <c r="D330" s="1" t="s">
        <v>19</v>
      </c>
      <c r="E330" s="1" t="s">
        <v>480</v>
      </c>
      <c r="F330" s="1"/>
      <c r="G330" s="1" t="s">
        <v>482</v>
      </c>
      <c r="H330" s="1" t="s">
        <v>366</v>
      </c>
      <c r="I330" s="1"/>
      <c r="J330" s="15">
        <v>55.63</v>
      </c>
      <c r="K330" s="15">
        <v>1922.130000000001</v>
      </c>
    </row>
    <row r="331" spans="2:11" ht="16.25" customHeight="1" outlineLevel="5" x14ac:dyDescent="0.2">
      <c r="B331" s="1" t="s">
        <v>362</v>
      </c>
      <c r="C331" s="1" t="s">
        <v>479</v>
      </c>
      <c r="D331" s="1" t="s">
        <v>19</v>
      </c>
      <c r="E331" s="1" t="s">
        <v>480</v>
      </c>
      <c r="F331" s="1"/>
      <c r="G331" s="1" t="s">
        <v>483</v>
      </c>
      <c r="H331" s="1" t="s">
        <v>366</v>
      </c>
      <c r="I331" s="1"/>
      <c r="J331" s="15">
        <v>55.63</v>
      </c>
      <c r="K331" s="15">
        <v>1977.7600000000009</v>
      </c>
    </row>
    <row r="332" spans="2:11" ht="16.25" customHeight="1" outlineLevel="5" x14ac:dyDescent="0.2">
      <c r="B332" s="1" t="s">
        <v>362</v>
      </c>
      <c r="C332" s="1" t="s">
        <v>484</v>
      </c>
      <c r="D332" s="1" t="s">
        <v>19</v>
      </c>
      <c r="E332" s="1" t="s">
        <v>485</v>
      </c>
      <c r="F332" s="1"/>
      <c r="G332" s="1" t="s">
        <v>486</v>
      </c>
      <c r="H332" s="1" t="s">
        <v>366</v>
      </c>
      <c r="I332" s="1"/>
      <c r="J332" s="15">
        <v>55.57</v>
      </c>
      <c r="K332" s="15">
        <v>2033.3300000000011</v>
      </c>
    </row>
    <row r="333" spans="2:11" ht="16.25" customHeight="1" outlineLevel="5" x14ac:dyDescent="0.2">
      <c r="B333" s="1" t="s">
        <v>362</v>
      </c>
      <c r="C333" s="1" t="s">
        <v>484</v>
      </c>
      <c r="D333" s="1" t="s">
        <v>19</v>
      </c>
      <c r="E333" s="1" t="s">
        <v>485</v>
      </c>
      <c r="F333" s="1"/>
      <c r="G333" s="1" t="s">
        <v>487</v>
      </c>
      <c r="H333" s="1" t="s">
        <v>366</v>
      </c>
      <c r="I333" s="1"/>
      <c r="J333" s="15">
        <v>55.57</v>
      </c>
      <c r="K333" s="15">
        <v>2088.900000000001</v>
      </c>
    </row>
    <row r="334" spans="2:11" ht="16.25" customHeight="1" outlineLevel="5" x14ac:dyDescent="0.2">
      <c r="B334" s="1" t="s">
        <v>362</v>
      </c>
      <c r="C334" s="1" t="s">
        <v>484</v>
      </c>
      <c r="D334" s="1" t="s">
        <v>19</v>
      </c>
      <c r="E334" s="1" t="s">
        <v>485</v>
      </c>
      <c r="F334" s="1"/>
      <c r="G334" s="1" t="s">
        <v>488</v>
      </c>
      <c r="H334" s="1" t="s">
        <v>366</v>
      </c>
      <c r="I334" s="1"/>
      <c r="J334" s="15">
        <v>55.57</v>
      </c>
      <c r="K334" s="15">
        <v>2144.4700000000012</v>
      </c>
    </row>
    <row r="335" spans="2:11" ht="16.25" customHeight="1" outlineLevel="5" x14ac:dyDescent="0.2">
      <c r="B335" s="1" t="s">
        <v>362</v>
      </c>
      <c r="C335" s="1" t="s">
        <v>489</v>
      </c>
      <c r="D335" s="1" t="s">
        <v>19</v>
      </c>
      <c r="E335" s="1" t="s">
        <v>490</v>
      </c>
      <c r="F335" s="1"/>
      <c r="G335" s="1" t="s">
        <v>491</v>
      </c>
      <c r="H335" s="1" t="s">
        <v>366</v>
      </c>
      <c r="I335" s="1"/>
      <c r="J335" s="15">
        <v>56.18</v>
      </c>
      <c r="K335" s="15">
        <v>2200.650000000001</v>
      </c>
    </row>
    <row r="336" spans="2:11" ht="16.25" customHeight="1" outlineLevel="5" x14ac:dyDescent="0.2">
      <c r="B336" s="1" t="s">
        <v>362</v>
      </c>
      <c r="C336" s="1" t="s">
        <v>489</v>
      </c>
      <c r="D336" s="1" t="s">
        <v>19</v>
      </c>
      <c r="E336" s="1" t="s">
        <v>490</v>
      </c>
      <c r="F336" s="1"/>
      <c r="G336" s="1" t="s">
        <v>492</v>
      </c>
      <c r="H336" s="1" t="s">
        <v>366</v>
      </c>
      <c r="I336" s="1"/>
      <c r="J336" s="15">
        <v>56.18</v>
      </c>
      <c r="K336" s="15">
        <v>2256.8300000000008</v>
      </c>
    </row>
    <row r="337" spans="1:11" ht="16.25" customHeight="1" outlineLevel="5" x14ac:dyDescent="0.2">
      <c r="B337" s="1" t="s">
        <v>362</v>
      </c>
      <c r="C337" s="1" t="s">
        <v>489</v>
      </c>
      <c r="D337" s="1" t="s">
        <v>19</v>
      </c>
      <c r="E337" s="1" t="s">
        <v>490</v>
      </c>
      <c r="F337" s="1"/>
      <c r="G337" s="1" t="s">
        <v>493</v>
      </c>
      <c r="H337" s="1" t="s">
        <v>366</v>
      </c>
      <c r="I337" s="1"/>
      <c r="J337" s="15">
        <v>56.18</v>
      </c>
      <c r="K337" s="15">
        <v>2313.0100000000011</v>
      </c>
    </row>
    <row r="338" spans="1:11" ht="16.25" customHeight="1" outlineLevel="5" x14ac:dyDescent="0.2">
      <c r="B338" s="1" t="s">
        <v>362</v>
      </c>
      <c r="C338" s="1" t="s">
        <v>489</v>
      </c>
      <c r="D338" s="1" t="s">
        <v>19</v>
      </c>
      <c r="E338" s="1" t="s">
        <v>490</v>
      </c>
      <c r="F338" s="1"/>
      <c r="G338" s="1" t="s">
        <v>494</v>
      </c>
      <c r="H338" s="1" t="s">
        <v>366</v>
      </c>
      <c r="I338" s="1"/>
      <c r="J338" s="15">
        <v>56.18</v>
      </c>
      <c r="K338" s="15">
        <v>2369.190000000001</v>
      </c>
    </row>
    <row r="339" spans="1:11" ht="16.25" customHeight="1" outlineLevel="5" x14ac:dyDescent="0.2">
      <c r="B339" s="1" t="s">
        <v>362</v>
      </c>
      <c r="C339" s="1" t="s">
        <v>495</v>
      </c>
      <c r="D339" s="1" t="s">
        <v>19</v>
      </c>
      <c r="E339" s="1" t="s">
        <v>496</v>
      </c>
      <c r="F339" s="1"/>
      <c r="G339" s="1" t="s">
        <v>497</v>
      </c>
      <c r="H339" s="1" t="s">
        <v>366</v>
      </c>
      <c r="I339" s="1"/>
      <c r="J339" s="15">
        <v>56.21</v>
      </c>
      <c r="K339" s="15">
        <v>2425.400000000001</v>
      </c>
    </row>
    <row r="340" spans="1:11" ht="16.25" customHeight="1" outlineLevel="5" x14ac:dyDescent="0.2">
      <c r="B340" s="1" t="s">
        <v>362</v>
      </c>
      <c r="C340" s="1" t="s">
        <v>495</v>
      </c>
      <c r="D340" s="1" t="s">
        <v>19</v>
      </c>
      <c r="E340" s="1" t="s">
        <v>496</v>
      </c>
      <c r="F340" s="1"/>
      <c r="G340" s="1" t="s">
        <v>498</v>
      </c>
      <c r="H340" s="1" t="s">
        <v>366</v>
      </c>
      <c r="I340" s="1"/>
      <c r="J340" s="15">
        <v>56.21</v>
      </c>
      <c r="K340" s="15">
        <v>2481.610000000001</v>
      </c>
    </row>
    <row r="341" spans="1:11" ht="16.25" customHeight="1" outlineLevel="5" x14ac:dyDescent="0.2">
      <c r="B341" s="1" t="s">
        <v>362</v>
      </c>
      <c r="C341" s="1" t="s">
        <v>495</v>
      </c>
      <c r="D341" s="1" t="s">
        <v>19</v>
      </c>
      <c r="E341" s="1" t="s">
        <v>496</v>
      </c>
      <c r="F341" s="1"/>
      <c r="G341" s="1" t="s">
        <v>499</v>
      </c>
      <c r="H341" s="1" t="s">
        <v>366</v>
      </c>
      <c r="I341" s="1"/>
      <c r="J341" s="15">
        <v>56.21</v>
      </c>
      <c r="K341" s="15">
        <v>2537.8200000000011</v>
      </c>
    </row>
    <row r="342" spans="1:11" ht="16.25" customHeight="1" outlineLevel="5" x14ac:dyDescent="0.2">
      <c r="B342" s="1" t="s">
        <v>362</v>
      </c>
      <c r="C342" s="1" t="s">
        <v>495</v>
      </c>
      <c r="D342" s="1" t="s">
        <v>19</v>
      </c>
      <c r="E342" s="1" t="s">
        <v>496</v>
      </c>
      <c r="F342" s="1"/>
      <c r="G342" s="1" t="s">
        <v>500</v>
      </c>
      <c r="H342" s="1" t="s">
        <v>366</v>
      </c>
      <c r="I342" s="1"/>
      <c r="J342" s="15">
        <v>56.21</v>
      </c>
      <c r="K342" s="15">
        <v>2594.0300000000011</v>
      </c>
    </row>
    <row r="343" spans="1:11" ht="16.25" customHeight="1" outlineLevel="4" x14ac:dyDescent="0.2">
      <c r="A343" s="10" t="s">
        <v>501</v>
      </c>
      <c r="J343" s="16">
        <f>J268+J269+J270+J271+J272+J273+J274+J275+J276+J277+J278+J279+J280+J281+J282+J283+J284+J285+J286+J287+J288+J289+J290+J291+J292+J293+J294+J295+J296+J297+J298+J299+J300+J301+J302+J303+J304+J305+J306+J307+J308+J309+J310+J311+J312+J313+J314+J315+J316+J317+J318+J319+J320+J321+J322+J323+J324+J325+J326+J327+J328+J329+J330+J331+J332+J333+J334+J335+J336+J337+J338+J339+J340+J341+J342</f>
        <v>2594.0300000000007</v>
      </c>
    </row>
    <row r="344" spans="1:11" ht="16.25" customHeight="1" outlineLevel="4" x14ac:dyDescent="0.2">
      <c r="A344" s="9" t="s">
        <v>502</v>
      </c>
    </row>
    <row r="345" spans="1:11" ht="16.25" customHeight="1" outlineLevel="5" x14ac:dyDescent="0.2">
      <c r="B345" s="1" t="s">
        <v>502</v>
      </c>
      <c r="C345" s="1" t="s">
        <v>425</v>
      </c>
      <c r="D345" s="1" t="s">
        <v>19</v>
      </c>
      <c r="E345" s="1" t="s">
        <v>503</v>
      </c>
      <c r="F345" s="1"/>
      <c r="G345" s="1" t="s">
        <v>504</v>
      </c>
      <c r="H345" s="1" t="s">
        <v>505</v>
      </c>
      <c r="I345" s="1"/>
      <c r="J345" s="15">
        <v>783.38</v>
      </c>
      <c r="K345" s="15">
        <v>783.38</v>
      </c>
    </row>
    <row r="346" spans="1:11" ht="16.25" customHeight="1" outlineLevel="4" x14ac:dyDescent="0.2">
      <c r="A346" s="10" t="s">
        <v>506</v>
      </c>
      <c r="J346" s="16">
        <f>J344+J345</f>
        <v>783.38</v>
      </c>
    </row>
    <row r="347" spans="1:11" ht="16.25" customHeight="1" outlineLevel="4" x14ac:dyDescent="0.2">
      <c r="A347" s="9" t="s">
        <v>507</v>
      </c>
    </row>
    <row r="348" spans="1:11" ht="16.25" customHeight="1" outlineLevel="5" x14ac:dyDescent="0.2">
      <c r="B348" s="1" t="s">
        <v>507</v>
      </c>
      <c r="C348" s="1" t="s">
        <v>363</v>
      </c>
      <c r="D348" s="1" t="s">
        <v>19</v>
      </c>
      <c r="E348" s="1" t="s">
        <v>508</v>
      </c>
      <c r="F348" s="1"/>
      <c r="G348" s="1" t="s">
        <v>509</v>
      </c>
      <c r="H348" s="1" t="s">
        <v>510</v>
      </c>
      <c r="I348" s="1"/>
      <c r="J348" s="15">
        <v>49.2</v>
      </c>
      <c r="K348" s="15">
        <v>49.2</v>
      </c>
    </row>
    <row r="349" spans="1:11" ht="16.25" customHeight="1" outlineLevel="5" x14ac:dyDescent="0.2">
      <c r="B349" s="1" t="s">
        <v>507</v>
      </c>
      <c r="C349" s="1" t="s">
        <v>363</v>
      </c>
      <c r="D349" s="1" t="s">
        <v>19</v>
      </c>
      <c r="E349" s="1" t="s">
        <v>511</v>
      </c>
      <c r="F349" s="1"/>
      <c r="G349" s="1" t="s">
        <v>512</v>
      </c>
      <c r="H349" s="1" t="s">
        <v>510</v>
      </c>
      <c r="I349" s="1"/>
      <c r="J349" s="15">
        <v>49.2</v>
      </c>
      <c r="K349" s="15">
        <v>98.4</v>
      </c>
    </row>
    <row r="350" spans="1:11" ht="16.25" customHeight="1" outlineLevel="5" x14ac:dyDescent="0.2">
      <c r="B350" s="1" t="s">
        <v>507</v>
      </c>
      <c r="C350" s="1" t="s">
        <v>363</v>
      </c>
      <c r="D350" s="1" t="s">
        <v>19</v>
      </c>
      <c r="E350" s="1" t="s">
        <v>513</v>
      </c>
      <c r="F350" s="1"/>
      <c r="G350" s="1" t="s">
        <v>514</v>
      </c>
      <c r="H350" s="1" t="s">
        <v>510</v>
      </c>
      <c r="I350" s="1"/>
      <c r="J350" s="15">
        <v>49.2</v>
      </c>
      <c r="K350" s="15">
        <v>147.6</v>
      </c>
    </row>
    <row r="351" spans="1:11" ht="16.25" customHeight="1" outlineLevel="5" x14ac:dyDescent="0.2">
      <c r="B351" s="1" t="s">
        <v>507</v>
      </c>
      <c r="C351" s="1" t="s">
        <v>515</v>
      </c>
      <c r="D351" s="1" t="s">
        <v>19</v>
      </c>
      <c r="E351" s="1" t="s">
        <v>516</v>
      </c>
      <c r="F351" s="1"/>
      <c r="G351" s="1" t="s">
        <v>517</v>
      </c>
      <c r="H351" s="1" t="s">
        <v>510</v>
      </c>
      <c r="I351" s="1"/>
      <c r="J351" s="15">
        <v>50.01</v>
      </c>
      <c r="K351" s="15">
        <v>197.61</v>
      </c>
    </row>
    <row r="352" spans="1:11" ht="16.25" customHeight="1" outlineLevel="5" x14ac:dyDescent="0.2">
      <c r="B352" s="1" t="s">
        <v>507</v>
      </c>
      <c r="C352" s="1" t="s">
        <v>515</v>
      </c>
      <c r="D352" s="1" t="s">
        <v>19</v>
      </c>
      <c r="E352" s="1" t="s">
        <v>518</v>
      </c>
      <c r="F352" s="1"/>
      <c r="G352" s="1" t="s">
        <v>519</v>
      </c>
      <c r="H352" s="1" t="s">
        <v>510</v>
      </c>
      <c r="I352" s="1"/>
      <c r="J352" s="15">
        <v>50.01</v>
      </c>
      <c r="K352" s="15">
        <v>247.62</v>
      </c>
    </row>
    <row r="353" spans="1:11" ht="16.25" customHeight="1" outlineLevel="5" x14ac:dyDescent="0.2">
      <c r="B353" s="1" t="s">
        <v>507</v>
      </c>
      <c r="C353" s="1" t="s">
        <v>515</v>
      </c>
      <c r="D353" s="1" t="s">
        <v>19</v>
      </c>
      <c r="E353" s="1" t="s">
        <v>520</v>
      </c>
      <c r="F353" s="1"/>
      <c r="G353" s="1" t="s">
        <v>521</v>
      </c>
      <c r="H353" s="1" t="s">
        <v>510</v>
      </c>
      <c r="I353" s="1"/>
      <c r="J353" s="15">
        <v>50.01</v>
      </c>
      <c r="K353" s="15">
        <v>297.63</v>
      </c>
    </row>
    <row r="354" spans="1:11" ht="16.25" customHeight="1" outlineLevel="5" x14ac:dyDescent="0.2">
      <c r="B354" s="1" t="s">
        <v>507</v>
      </c>
      <c r="C354" s="1" t="s">
        <v>522</v>
      </c>
      <c r="D354" s="1" t="s">
        <v>19</v>
      </c>
      <c r="E354" s="1" t="s">
        <v>523</v>
      </c>
      <c r="F354" s="1"/>
      <c r="G354" s="1" t="s">
        <v>524</v>
      </c>
      <c r="H354" s="1" t="s">
        <v>510</v>
      </c>
      <c r="I354" s="1"/>
      <c r="J354" s="15">
        <v>49.36</v>
      </c>
      <c r="K354" s="15">
        <v>346.99</v>
      </c>
    </row>
    <row r="355" spans="1:11" ht="16.25" customHeight="1" outlineLevel="5" x14ac:dyDescent="0.2">
      <c r="B355" s="1" t="s">
        <v>507</v>
      </c>
      <c r="C355" s="1" t="s">
        <v>522</v>
      </c>
      <c r="D355" s="1" t="s">
        <v>19</v>
      </c>
      <c r="E355" s="1" t="s">
        <v>525</v>
      </c>
      <c r="F355" s="1"/>
      <c r="G355" s="1" t="s">
        <v>526</v>
      </c>
      <c r="H355" s="1" t="s">
        <v>510</v>
      </c>
      <c r="I355" s="1"/>
      <c r="J355" s="15">
        <v>49.36</v>
      </c>
      <c r="K355" s="15">
        <v>396.35</v>
      </c>
    </row>
    <row r="356" spans="1:11" ht="16.25" customHeight="1" outlineLevel="5" x14ac:dyDescent="0.2">
      <c r="B356" s="1" t="s">
        <v>507</v>
      </c>
      <c r="C356" s="1" t="s">
        <v>522</v>
      </c>
      <c r="D356" s="1" t="s">
        <v>19</v>
      </c>
      <c r="E356" s="1" t="s">
        <v>527</v>
      </c>
      <c r="F356" s="1"/>
      <c r="G356" s="1" t="s">
        <v>528</v>
      </c>
      <c r="H356" s="1" t="s">
        <v>510</v>
      </c>
      <c r="I356" s="1"/>
      <c r="J356" s="15">
        <v>49.36</v>
      </c>
      <c r="K356" s="15">
        <v>445.71</v>
      </c>
    </row>
    <row r="357" spans="1:11" ht="16.25" customHeight="1" outlineLevel="5" x14ac:dyDescent="0.2">
      <c r="B357" s="1" t="s">
        <v>507</v>
      </c>
      <c r="C357" s="1" t="s">
        <v>529</v>
      </c>
      <c r="D357" s="1" t="s">
        <v>19</v>
      </c>
      <c r="E357" s="1" t="s">
        <v>530</v>
      </c>
      <c r="F357" s="1"/>
      <c r="G357" s="1" t="s">
        <v>531</v>
      </c>
      <c r="H357" s="1" t="s">
        <v>510</v>
      </c>
      <c r="I357" s="1"/>
      <c r="J357" s="15">
        <v>49.04</v>
      </c>
      <c r="K357" s="15">
        <v>494.75000000000011</v>
      </c>
    </row>
    <row r="358" spans="1:11" ht="16.25" customHeight="1" outlineLevel="5" x14ac:dyDescent="0.2">
      <c r="B358" s="1" t="s">
        <v>507</v>
      </c>
      <c r="C358" s="1" t="s">
        <v>529</v>
      </c>
      <c r="D358" s="1" t="s">
        <v>19</v>
      </c>
      <c r="E358" s="1" t="s">
        <v>530</v>
      </c>
      <c r="F358" s="1"/>
      <c r="G358" s="1" t="s">
        <v>532</v>
      </c>
      <c r="H358" s="1" t="s">
        <v>510</v>
      </c>
      <c r="I358" s="1"/>
      <c r="J358" s="15">
        <v>49.04</v>
      </c>
      <c r="K358" s="15">
        <v>543.79000000000008</v>
      </c>
    </row>
    <row r="359" spans="1:11" ht="16.25" customHeight="1" outlineLevel="5" x14ac:dyDescent="0.2">
      <c r="B359" s="1" t="s">
        <v>507</v>
      </c>
      <c r="C359" s="1" t="s">
        <v>529</v>
      </c>
      <c r="D359" s="1" t="s">
        <v>19</v>
      </c>
      <c r="E359" s="1" t="s">
        <v>530</v>
      </c>
      <c r="F359" s="1"/>
      <c r="G359" s="1" t="s">
        <v>533</v>
      </c>
      <c r="H359" s="1" t="s">
        <v>510</v>
      </c>
      <c r="I359" s="1"/>
      <c r="J359" s="15">
        <v>49.04</v>
      </c>
      <c r="K359" s="15">
        <v>592.83000000000004</v>
      </c>
    </row>
    <row r="360" spans="1:11" ht="16.25" customHeight="1" outlineLevel="5" x14ac:dyDescent="0.2">
      <c r="B360" s="1" t="s">
        <v>507</v>
      </c>
      <c r="C360" s="1" t="s">
        <v>298</v>
      </c>
      <c r="D360" s="1" t="s">
        <v>19</v>
      </c>
      <c r="E360" s="1" t="s">
        <v>534</v>
      </c>
      <c r="F360" s="1"/>
      <c r="G360" s="1" t="s">
        <v>535</v>
      </c>
      <c r="H360" s="1" t="s">
        <v>510</v>
      </c>
      <c r="I360" s="1"/>
      <c r="J360" s="15">
        <v>47.27</v>
      </c>
      <c r="K360" s="15">
        <v>640.1</v>
      </c>
    </row>
    <row r="361" spans="1:11" ht="16.25" customHeight="1" outlineLevel="5" x14ac:dyDescent="0.2">
      <c r="B361" s="1" t="s">
        <v>507</v>
      </c>
      <c r="C361" s="1" t="s">
        <v>298</v>
      </c>
      <c r="D361" s="1" t="s">
        <v>19</v>
      </c>
      <c r="E361" s="1" t="s">
        <v>534</v>
      </c>
      <c r="F361" s="1"/>
      <c r="G361" s="1" t="s">
        <v>536</v>
      </c>
      <c r="H361" s="1" t="s">
        <v>510</v>
      </c>
      <c r="I361" s="1"/>
      <c r="J361" s="15">
        <v>47.27</v>
      </c>
      <c r="K361" s="15">
        <v>687.37</v>
      </c>
    </row>
    <row r="362" spans="1:11" ht="16.25" customHeight="1" outlineLevel="5" x14ac:dyDescent="0.2">
      <c r="B362" s="1" t="s">
        <v>507</v>
      </c>
      <c r="C362" s="1" t="s">
        <v>298</v>
      </c>
      <c r="D362" s="1" t="s">
        <v>19</v>
      </c>
      <c r="E362" s="1" t="s">
        <v>534</v>
      </c>
      <c r="F362" s="1"/>
      <c r="G362" s="1" t="s">
        <v>537</v>
      </c>
      <c r="H362" s="1" t="s">
        <v>510</v>
      </c>
      <c r="I362" s="1"/>
      <c r="J362" s="15">
        <v>47.27</v>
      </c>
      <c r="K362" s="15">
        <v>734.64</v>
      </c>
    </row>
    <row r="363" spans="1:11" ht="16.25" customHeight="1" outlineLevel="5" x14ac:dyDescent="0.2">
      <c r="B363" s="1" t="s">
        <v>507</v>
      </c>
      <c r="C363" s="1" t="s">
        <v>313</v>
      </c>
      <c r="D363" s="1" t="s">
        <v>19</v>
      </c>
      <c r="E363" s="1" t="s">
        <v>538</v>
      </c>
      <c r="F363" s="1"/>
      <c r="G363" s="1" t="s">
        <v>539</v>
      </c>
      <c r="H363" s="1" t="s">
        <v>510</v>
      </c>
      <c r="I363" s="1"/>
      <c r="J363" s="15">
        <v>46.58</v>
      </c>
      <c r="K363" s="15">
        <v>781.22</v>
      </c>
    </row>
    <row r="364" spans="1:11" ht="16.25" customHeight="1" outlineLevel="5" x14ac:dyDescent="0.2">
      <c r="B364" s="1" t="s">
        <v>507</v>
      </c>
      <c r="C364" s="1" t="s">
        <v>313</v>
      </c>
      <c r="D364" s="1" t="s">
        <v>19</v>
      </c>
      <c r="E364" s="1" t="s">
        <v>540</v>
      </c>
      <c r="F364" s="1"/>
      <c r="G364" s="1" t="s">
        <v>541</v>
      </c>
      <c r="H364" s="1" t="s">
        <v>510</v>
      </c>
      <c r="I364" s="1"/>
      <c r="J364" s="15">
        <v>46.58</v>
      </c>
      <c r="K364" s="15">
        <v>827.80000000000007</v>
      </c>
    </row>
    <row r="365" spans="1:11" ht="16.25" customHeight="1" outlineLevel="5" x14ac:dyDescent="0.2">
      <c r="B365" s="1" t="s">
        <v>507</v>
      </c>
      <c r="C365" s="1" t="s">
        <v>542</v>
      </c>
      <c r="D365" s="1" t="s">
        <v>19</v>
      </c>
      <c r="E365" s="1" t="s">
        <v>543</v>
      </c>
      <c r="F365" s="1"/>
      <c r="G365" s="1" t="s">
        <v>544</v>
      </c>
      <c r="H365" s="1" t="s">
        <v>510</v>
      </c>
      <c r="I365" s="1"/>
      <c r="J365" s="15">
        <v>45.58</v>
      </c>
      <c r="K365" s="15">
        <v>873.38000000000011</v>
      </c>
    </row>
    <row r="366" spans="1:11" ht="16.25" customHeight="1" outlineLevel="4" x14ac:dyDescent="0.2">
      <c r="A366" s="10" t="s">
        <v>545</v>
      </c>
      <c r="J366" s="16">
        <f>J347+J348+J349+J350+J351+J352+J353+J354+J355+J356+J357+J358+J359+J360+J361+J362+J363+J364+J365</f>
        <v>873.38000000000011</v>
      </c>
    </row>
    <row r="367" spans="1:11" ht="16.25" customHeight="1" outlineLevel="4" x14ac:dyDescent="0.2">
      <c r="A367" s="9" t="s">
        <v>546</v>
      </c>
    </row>
    <row r="368" spans="1:11" ht="16.25" customHeight="1" outlineLevel="5" x14ac:dyDescent="0.2">
      <c r="B368" s="1" t="s">
        <v>546</v>
      </c>
      <c r="C368" s="1" t="s">
        <v>547</v>
      </c>
      <c r="D368" s="1" t="s">
        <v>19</v>
      </c>
      <c r="E368" s="1" t="s">
        <v>548</v>
      </c>
      <c r="F368" s="1"/>
      <c r="G368" s="1" t="s">
        <v>549</v>
      </c>
      <c r="H368" s="1" t="s">
        <v>550</v>
      </c>
      <c r="I368" s="1"/>
      <c r="J368" s="15">
        <v>177.92</v>
      </c>
      <c r="K368" s="15">
        <v>177.92</v>
      </c>
    </row>
    <row r="369" spans="1:11" ht="16.25" customHeight="1" outlineLevel="5" x14ac:dyDescent="0.2">
      <c r="B369" s="1" t="s">
        <v>546</v>
      </c>
      <c r="C369" s="1" t="s">
        <v>23</v>
      </c>
      <c r="D369" s="1" t="s">
        <v>19</v>
      </c>
      <c r="E369" s="1" t="s">
        <v>551</v>
      </c>
      <c r="F369" s="1"/>
      <c r="G369" s="1" t="s">
        <v>552</v>
      </c>
      <c r="H369" s="1" t="s">
        <v>550</v>
      </c>
      <c r="I369" s="1"/>
      <c r="J369" s="15">
        <v>318.83</v>
      </c>
      <c r="K369" s="15">
        <v>496.75</v>
      </c>
    </row>
    <row r="370" spans="1:11" ht="16.25" customHeight="1" outlineLevel="5" x14ac:dyDescent="0.2">
      <c r="B370" s="1" t="s">
        <v>546</v>
      </c>
      <c r="C370" s="1" t="s">
        <v>553</v>
      </c>
      <c r="D370" s="1" t="s">
        <v>19</v>
      </c>
      <c r="E370" s="1" t="s">
        <v>554</v>
      </c>
      <c r="F370" s="1"/>
      <c r="G370" s="1" t="s">
        <v>555</v>
      </c>
      <c r="H370" s="1" t="s">
        <v>550</v>
      </c>
      <c r="I370" s="1"/>
      <c r="J370" s="15">
        <v>424.97</v>
      </c>
      <c r="K370" s="15">
        <v>921.72</v>
      </c>
    </row>
    <row r="371" spans="1:11" ht="16.25" customHeight="1" outlineLevel="5" x14ac:dyDescent="0.2">
      <c r="B371" s="1" t="s">
        <v>546</v>
      </c>
      <c r="C371" s="1" t="s">
        <v>556</v>
      </c>
      <c r="D371" s="1" t="s">
        <v>19</v>
      </c>
      <c r="E371" s="1" t="s">
        <v>557</v>
      </c>
      <c r="F371" s="1"/>
      <c r="G371" s="1" t="s">
        <v>558</v>
      </c>
      <c r="H371" s="1" t="s">
        <v>550</v>
      </c>
      <c r="I371" s="1"/>
      <c r="J371" s="15">
        <v>98.9</v>
      </c>
      <c r="K371" s="15">
        <v>1020.62</v>
      </c>
    </row>
    <row r="372" spans="1:11" ht="16.25" customHeight="1" outlineLevel="5" x14ac:dyDescent="0.2">
      <c r="B372" s="1" t="s">
        <v>546</v>
      </c>
      <c r="C372" s="1" t="s">
        <v>529</v>
      </c>
      <c r="D372" s="1" t="s">
        <v>19</v>
      </c>
      <c r="E372" s="1" t="s">
        <v>530</v>
      </c>
      <c r="F372" s="1"/>
      <c r="G372" s="1" t="s">
        <v>559</v>
      </c>
      <c r="H372" s="1" t="s">
        <v>550</v>
      </c>
      <c r="I372" s="1"/>
      <c r="J372" s="15">
        <v>98.08</v>
      </c>
      <c r="K372" s="15">
        <v>1118.7</v>
      </c>
    </row>
    <row r="373" spans="1:11" ht="16.25" customHeight="1" outlineLevel="5" x14ac:dyDescent="0.2">
      <c r="B373" s="1" t="s">
        <v>546</v>
      </c>
      <c r="C373" s="1" t="s">
        <v>560</v>
      </c>
      <c r="D373" s="1" t="s">
        <v>19</v>
      </c>
      <c r="E373" s="1" t="s">
        <v>561</v>
      </c>
      <c r="F373" s="1"/>
      <c r="G373" s="1" t="s">
        <v>562</v>
      </c>
      <c r="H373" s="1" t="s">
        <v>550</v>
      </c>
      <c r="I373" s="1"/>
      <c r="J373" s="15">
        <v>86.04</v>
      </c>
      <c r="K373" s="15">
        <v>1204.74</v>
      </c>
    </row>
    <row r="374" spans="1:11" ht="16.25" customHeight="1" outlineLevel="5" x14ac:dyDescent="0.2">
      <c r="B374" s="1" t="s">
        <v>546</v>
      </c>
      <c r="C374" s="1" t="s">
        <v>563</v>
      </c>
      <c r="D374" s="1" t="s">
        <v>19</v>
      </c>
      <c r="E374" s="1" t="s">
        <v>564</v>
      </c>
      <c r="F374" s="1"/>
      <c r="G374" s="1" t="s">
        <v>565</v>
      </c>
      <c r="H374" s="1" t="s">
        <v>550</v>
      </c>
      <c r="I374" s="1"/>
      <c r="J374" s="15">
        <v>93.55</v>
      </c>
      <c r="K374" s="15">
        <v>1298.29</v>
      </c>
    </row>
    <row r="375" spans="1:11" ht="16.25" customHeight="1" outlineLevel="5" x14ac:dyDescent="0.2">
      <c r="B375" s="1" t="s">
        <v>546</v>
      </c>
      <c r="C375" s="1" t="s">
        <v>566</v>
      </c>
      <c r="D375" s="1" t="s">
        <v>19</v>
      </c>
      <c r="E375" s="1" t="s">
        <v>567</v>
      </c>
      <c r="F375" s="1"/>
      <c r="G375" s="1" t="s">
        <v>568</v>
      </c>
      <c r="H375" s="1" t="s">
        <v>550</v>
      </c>
      <c r="I375" s="1"/>
      <c r="J375" s="15">
        <v>66.180000000000007</v>
      </c>
      <c r="K375" s="15">
        <v>1364.47</v>
      </c>
    </row>
    <row r="376" spans="1:11" ht="16.25" customHeight="1" outlineLevel="5" x14ac:dyDescent="0.2">
      <c r="B376" s="1" t="s">
        <v>546</v>
      </c>
      <c r="C376" s="1" t="s">
        <v>298</v>
      </c>
      <c r="D376" s="1" t="s">
        <v>19</v>
      </c>
      <c r="E376" s="1" t="s">
        <v>534</v>
      </c>
      <c r="F376" s="1"/>
      <c r="G376" s="1" t="s">
        <v>569</v>
      </c>
      <c r="H376" s="1" t="s">
        <v>550</v>
      </c>
      <c r="I376" s="1"/>
      <c r="J376" s="15">
        <v>103.46</v>
      </c>
      <c r="K376" s="15">
        <v>1467.93</v>
      </c>
    </row>
    <row r="377" spans="1:11" ht="16.25" customHeight="1" outlineLevel="5" x14ac:dyDescent="0.2">
      <c r="B377" s="1" t="s">
        <v>546</v>
      </c>
      <c r="C377" s="1" t="s">
        <v>307</v>
      </c>
      <c r="D377" s="1" t="s">
        <v>19</v>
      </c>
      <c r="E377" s="1" t="s">
        <v>308</v>
      </c>
      <c r="F377" s="1"/>
      <c r="G377" s="1" t="s">
        <v>570</v>
      </c>
      <c r="H377" s="1" t="s">
        <v>550</v>
      </c>
      <c r="I377" s="1"/>
      <c r="J377" s="15">
        <v>51.09</v>
      </c>
      <c r="K377" s="15">
        <v>1519.02</v>
      </c>
    </row>
    <row r="378" spans="1:11" ht="16.25" customHeight="1" outlineLevel="5" x14ac:dyDescent="0.2">
      <c r="B378" s="1" t="s">
        <v>546</v>
      </c>
      <c r="C378" s="1" t="s">
        <v>571</v>
      </c>
      <c r="D378" s="1" t="s">
        <v>19</v>
      </c>
      <c r="E378" s="1" t="s">
        <v>572</v>
      </c>
      <c r="F378" s="1"/>
      <c r="G378" s="1" t="s">
        <v>573</v>
      </c>
      <c r="H378" s="1" t="s">
        <v>550</v>
      </c>
      <c r="I378" s="1"/>
      <c r="J378" s="15">
        <v>86.71</v>
      </c>
      <c r="K378" s="15">
        <v>1605.73</v>
      </c>
    </row>
    <row r="379" spans="1:11" ht="16.25" customHeight="1" outlineLevel="5" x14ac:dyDescent="0.2">
      <c r="B379" s="1" t="s">
        <v>546</v>
      </c>
      <c r="C379" s="1" t="s">
        <v>574</v>
      </c>
      <c r="D379" s="1" t="s">
        <v>19</v>
      </c>
      <c r="E379" s="1" t="s">
        <v>575</v>
      </c>
      <c r="F379" s="1"/>
      <c r="G379" s="1" t="s">
        <v>576</v>
      </c>
      <c r="H379" s="1" t="s">
        <v>550</v>
      </c>
      <c r="I379" s="1"/>
      <c r="J379" s="15">
        <v>85.13</v>
      </c>
      <c r="K379" s="15">
        <v>1690.86</v>
      </c>
    </row>
    <row r="380" spans="1:11" ht="16.25" customHeight="1" outlineLevel="4" x14ac:dyDescent="0.2">
      <c r="A380" s="10" t="s">
        <v>577</v>
      </c>
      <c r="J380" s="16">
        <f>J367+J368+J369+J370+J371+J372+J373+J374+J375+J376+J377+J378+J379</f>
        <v>1690.8600000000001</v>
      </c>
    </row>
    <row r="381" spans="1:11" ht="16.25" customHeight="1" outlineLevel="3" x14ac:dyDescent="0.2">
      <c r="A381" s="11" t="s">
        <v>578</v>
      </c>
      <c r="J381" s="16">
        <f>J224+J227+J245+J250+J253+J256+J259+J264+J267+J343+J346+J366+J380</f>
        <v>30449.94000000001</v>
      </c>
    </row>
    <row r="382" spans="1:11" ht="16.25" customHeight="1" outlineLevel="2" x14ac:dyDescent="0.2">
      <c r="A382" s="12" t="s">
        <v>579</v>
      </c>
      <c r="J382" s="16">
        <f>J8+J223+J381</f>
        <v>104066.19999999998</v>
      </c>
    </row>
    <row r="383" spans="1:11" ht="16.25" customHeight="1" outlineLevel="1" x14ac:dyDescent="0.2">
      <c r="A383" s="13" t="s">
        <v>580</v>
      </c>
      <c r="J383" s="16">
        <f>J7+J382</f>
        <v>104066.19999999998</v>
      </c>
    </row>
    <row r="384" spans="1:11" ht="16.25" customHeight="1" x14ac:dyDescent="0.2">
      <c r="A384" s="14" t="s">
        <v>581</v>
      </c>
      <c r="J384" s="16">
        <f>J383</f>
        <v>104066.19999999998</v>
      </c>
    </row>
    <row r="385" spans="1:10" ht="16.25" customHeight="1" x14ac:dyDescent="0.2">
      <c r="B385" s="2" t="s">
        <v>582</v>
      </c>
      <c r="J385" s="16">
        <v>104066.2</v>
      </c>
    </row>
    <row r="389" spans="1:10" ht="16.25" customHeight="1" x14ac:dyDescent="0.2">
      <c r="A389" s="19" t="s">
        <v>583</v>
      </c>
      <c r="B389" s="18"/>
      <c r="C389" s="18"/>
      <c r="D389" s="18"/>
      <c r="E389" s="18"/>
      <c r="F389" s="18"/>
      <c r="G389" s="18"/>
      <c r="H389" s="18"/>
      <c r="I389" s="18"/>
      <c r="J389" s="18"/>
    </row>
  </sheetData>
  <mergeCells count="4">
    <mergeCell ref="A1:J1"/>
    <mergeCell ref="A389:J389"/>
    <mergeCell ref="A3:J3"/>
    <mergeCell ref="A2:J2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4C70827CE1643B5B73FB1777F5DED" ma:contentTypeVersion="3" ma:contentTypeDescription="Crée un document." ma:contentTypeScope="" ma:versionID="01cf83ad81305ca96ce9e6ad6c2380a9">
  <xsd:schema xmlns:xsd="http://www.w3.org/2001/XMLSchema" xmlns:xs="http://www.w3.org/2001/XMLSchema" xmlns:p="http://schemas.microsoft.com/office/2006/metadata/properties" xmlns:ns2="3079b3ca-dd4f-4e66-a9f9-5e0fc6984ea8" targetNamespace="http://schemas.microsoft.com/office/2006/metadata/properties" ma:root="true" ma:fieldsID="5a990775ec9fe13f5e9ec4203d501fa4" ns2:_="">
    <xsd:import namespace="3079b3ca-dd4f-4e66-a9f9-5e0fc6984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9b3ca-dd4f-4e66-a9f9-5e0fc6984e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572572-82EF-4D09-A096-12AA0730C2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9A567F-B646-41F9-91E6-7CB663D9F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9b3ca-dd4f-4e66-a9f9-5e0fc6984e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5A2B00-23DE-49EA-800C-237A7F5B6F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LATIF Marya</cp:lastModifiedBy>
  <cp:revision/>
  <dcterms:created xsi:type="dcterms:W3CDTF">2022-03-24T08:55:57Z</dcterms:created>
  <dcterms:modified xsi:type="dcterms:W3CDTF">2026-02-04T12:32:34Z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0x0101007474C70827CE1643B5B73FB1777F5DED</vt:lpwstr>
  </property>
  <property fmtid="{D5CDD505-2E9C-101B-9397-08002B2CF9AE}" pid="3" name="MediaServiceImageTags">
    <vt:lpwstr/>
  </property>
</Properties>
</file>
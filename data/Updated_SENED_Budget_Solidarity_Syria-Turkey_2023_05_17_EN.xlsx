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ade\Desktop\Nancy\"/>
    </mc:Choice>
  </mc:AlternateContent>
  <xr:revisionPtr revIDLastSave="0" documentId="13_ncr:1_{FCC3F3A3-D663-4A47-BF88-AE41AF34B970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Amendment EUR (2)" sheetId="7" r:id="rId1"/>
    <sheet name="Transactions List" sheetId="4" r:id="rId2"/>
    <sheet name="Project Budget in euros" sheetId="6" state="hidden" r:id="rId3"/>
  </sheets>
  <externalReferences>
    <externalReference r:id="rId4"/>
  </externalReferences>
  <definedNames>
    <definedName name="_xlnm._FilterDatabase" localSheetId="1" hidden="1">'Transactions List'!$A$4:$O$324</definedName>
    <definedName name="_xlnm.Print_Titles" localSheetId="2">'Project Budget in euros'!$5:$5</definedName>
    <definedName name="_xlnm.Print_Area" localSheetId="2">'Project Budget in euros'!$A$3:$G$47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4" l="1"/>
  <c r="J72" i="7"/>
  <c r="J74" i="7" s="1"/>
  <c r="I72" i="7"/>
  <c r="W71" i="7"/>
  <c r="V71" i="7"/>
  <c r="X70" i="7"/>
  <c r="W70" i="7"/>
  <c r="W72" i="7" s="1"/>
  <c r="V70" i="7"/>
  <c r="V72" i="7" s="1"/>
  <c r="U70" i="7"/>
  <c r="S70" i="7"/>
  <c r="K70" i="7"/>
  <c r="AK65" i="7"/>
  <c r="J65" i="7"/>
  <c r="I65" i="7"/>
  <c r="I67" i="7" s="1"/>
  <c r="H65" i="7"/>
  <c r="AJ64" i="7"/>
  <c r="AI64" i="7"/>
  <c r="AH64" i="7"/>
  <c r="AG64" i="7"/>
  <c r="AF64" i="7"/>
  <c r="AE64" i="7"/>
  <c r="AD64" i="7"/>
  <c r="AK64" i="7" s="1"/>
  <c r="AL64" i="7" s="1"/>
  <c r="W64" i="7"/>
  <c r="V64" i="7"/>
  <c r="U64" i="7"/>
  <c r="X64" i="7" s="1"/>
  <c r="R64" i="7"/>
  <c r="S64" i="7" s="1"/>
  <c r="Y64" i="7" s="1"/>
  <c r="Q64" i="7"/>
  <c r="K64" i="7"/>
  <c r="F64" i="7"/>
  <c r="AJ63" i="7"/>
  <c r="AI63" i="7"/>
  <c r="AH63" i="7"/>
  <c r="AG63" i="7"/>
  <c r="AF63" i="7"/>
  <c r="AE63" i="7"/>
  <c r="AD63" i="7"/>
  <c r="AK63" i="7" s="1"/>
  <c r="X63" i="7"/>
  <c r="W63" i="7"/>
  <c r="V63" i="7"/>
  <c r="U63" i="7"/>
  <c r="R63" i="7"/>
  <c r="S63" i="7" s="1"/>
  <c r="Y63" i="7" s="1"/>
  <c r="Q63" i="7"/>
  <c r="K63" i="7"/>
  <c r="F63" i="7"/>
  <c r="L63" i="7" s="1"/>
  <c r="AJ62" i="7"/>
  <c r="AI62" i="7"/>
  <c r="AH62" i="7"/>
  <c r="AG62" i="7"/>
  <c r="AF62" i="7"/>
  <c r="AE62" i="7"/>
  <c r="AD62" i="7"/>
  <c r="AK62" i="7" s="1"/>
  <c r="AL62" i="7" s="1"/>
  <c r="W62" i="7"/>
  <c r="V62" i="7"/>
  <c r="U62" i="7"/>
  <c r="X62" i="7" s="1"/>
  <c r="R62" i="7"/>
  <c r="Q62" i="7"/>
  <c r="S62" i="7" s="1"/>
  <c r="K62" i="7"/>
  <c r="F62" i="7"/>
  <c r="L62" i="7" s="1"/>
  <c r="AJ61" i="7"/>
  <c r="AI61" i="7"/>
  <c r="AH61" i="7"/>
  <c r="AG61" i="7"/>
  <c r="AF61" i="7"/>
  <c r="AE61" i="7"/>
  <c r="AD61" i="7"/>
  <c r="AK61" i="7" s="1"/>
  <c r="AL61" i="7" s="1"/>
  <c r="W61" i="7"/>
  <c r="V61" i="7"/>
  <c r="U61" i="7"/>
  <c r="X61" i="7" s="1"/>
  <c r="R61" i="7"/>
  <c r="Q61" i="7"/>
  <c r="S61" i="7" s="1"/>
  <c r="Y61" i="7" s="1"/>
  <c r="K61" i="7"/>
  <c r="F61" i="7"/>
  <c r="AJ60" i="7"/>
  <c r="AI60" i="7"/>
  <c r="AH60" i="7"/>
  <c r="AG60" i="7"/>
  <c r="AF60" i="7"/>
  <c r="AE60" i="7"/>
  <c r="AD60" i="7"/>
  <c r="AK60" i="7" s="1"/>
  <c r="AL60" i="7" s="1"/>
  <c r="Z60" i="7"/>
  <c r="X60" i="7"/>
  <c r="W60" i="7"/>
  <c r="V60" i="7"/>
  <c r="U60" i="7"/>
  <c r="R60" i="7"/>
  <c r="S60" i="7" s="1"/>
  <c r="Y60" i="7" s="1"/>
  <c r="Q60" i="7"/>
  <c r="K60" i="7"/>
  <c r="L60" i="7" s="1"/>
  <c r="F60" i="7"/>
  <c r="AJ59" i="7"/>
  <c r="AI59" i="7"/>
  <c r="AH59" i="7"/>
  <c r="AG59" i="7"/>
  <c r="AF59" i="7"/>
  <c r="AE59" i="7"/>
  <c r="AD59" i="7"/>
  <c r="AK59" i="7" s="1"/>
  <c r="AL59" i="7" s="1"/>
  <c r="Z59" i="7"/>
  <c r="W59" i="7"/>
  <c r="V59" i="7"/>
  <c r="X59" i="7" s="1"/>
  <c r="U59" i="7"/>
  <c r="R59" i="7"/>
  <c r="S59" i="7" s="1"/>
  <c r="Q59" i="7"/>
  <c r="L59" i="7"/>
  <c r="K59" i="7"/>
  <c r="F59" i="7"/>
  <c r="F65" i="7" s="1"/>
  <c r="AM65" i="7" s="1"/>
  <c r="AA58" i="7"/>
  <c r="AA65" i="7" s="1"/>
  <c r="W58" i="7"/>
  <c r="V58" i="7"/>
  <c r="U58" i="7"/>
  <c r="X58" i="7" s="1"/>
  <c r="R58" i="7"/>
  <c r="S58" i="7" s="1"/>
  <c r="Y58" i="7" s="1"/>
  <c r="Q58" i="7"/>
  <c r="K58" i="7"/>
  <c r="L58" i="7" s="1"/>
  <c r="W57" i="7"/>
  <c r="W65" i="7" s="1"/>
  <c r="V57" i="7"/>
  <c r="V65" i="7" s="1"/>
  <c r="U57" i="7"/>
  <c r="X57" i="7" s="1"/>
  <c r="S57" i="7"/>
  <c r="R57" i="7"/>
  <c r="Q57" i="7"/>
  <c r="L57" i="7"/>
  <c r="K57" i="7"/>
  <c r="K65" i="7" s="1"/>
  <c r="J55" i="7"/>
  <c r="J67" i="7" s="1"/>
  <c r="I55" i="7"/>
  <c r="H55" i="7"/>
  <c r="AK54" i="7"/>
  <c r="AL54" i="7" s="1"/>
  <c r="Z54" i="7"/>
  <c r="W54" i="7"/>
  <c r="V54" i="7"/>
  <c r="X54" i="7" s="1"/>
  <c r="U54" i="7"/>
  <c r="R54" i="7"/>
  <c r="S54" i="7" s="1"/>
  <c r="Y54" i="7" s="1"/>
  <c r="Q54" i="7"/>
  <c r="L54" i="7"/>
  <c r="K54" i="7"/>
  <c r="F54" i="7"/>
  <c r="AM54" i="7" s="1"/>
  <c r="AK53" i="7"/>
  <c r="AL53" i="7" s="1"/>
  <c r="Z53" i="7"/>
  <c r="W53" i="7"/>
  <c r="V53" i="7"/>
  <c r="U53" i="7"/>
  <c r="X53" i="7" s="1"/>
  <c r="S53" i="7"/>
  <c r="Y53" i="7" s="1"/>
  <c r="R53" i="7"/>
  <c r="Q53" i="7"/>
  <c r="K53" i="7"/>
  <c r="F53" i="7"/>
  <c r="AM53" i="7" s="1"/>
  <c r="AK52" i="7"/>
  <c r="AL52" i="7" s="1"/>
  <c r="Z52" i="7"/>
  <c r="W52" i="7"/>
  <c r="V52" i="7"/>
  <c r="U52" i="7"/>
  <c r="X52" i="7" s="1"/>
  <c r="R52" i="7"/>
  <c r="S52" i="7" s="1"/>
  <c r="Y52" i="7" s="1"/>
  <c r="Q52" i="7"/>
  <c r="K52" i="7"/>
  <c r="F52" i="7"/>
  <c r="AK51" i="7"/>
  <c r="AL51" i="7" s="1"/>
  <c r="Z51" i="7"/>
  <c r="X51" i="7"/>
  <c r="W51" i="7"/>
  <c r="V51" i="7"/>
  <c r="U51" i="7"/>
  <c r="R51" i="7"/>
  <c r="S51" i="7" s="1"/>
  <c r="Y51" i="7" s="1"/>
  <c r="Q51" i="7"/>
  <c r="K51" i="7"/>
  <c r="L51" i="7" s="1"/>
  <c r="F51" i="7"/>
  <c r="AM51" i="7" s="1"/>
  <c r="AK50" i="7"/>
  <c r="AL50" i="7" s="1"/>
  <c r="Z50" i="7"/>
  <c r="W50" i="7"/>
  <c r="V50" i="7"/>
  <c r="U50" i="7"/>
  <c r="X50" i="7" s="1"/>
  <c r="R50" i="7"/>
  <c r="S50" i="7" s="1"/>
  <c r="Y50" i="7" s="1"/>
  <c r="Q50" i="7"/>
  <c r="L50" i="7"/>
  <c r="K50" i="7"/>
  <c r="F50" i="7"/>
  <c r="AM50" i="7" s="1"/>
  <c r="AK49" i="7"/>
  <c r="AL49" i="7" s="1"/>
  <c r="Z49" i="7"/>
  <c r="W49" i="7"/>
  <c r="V49" i="7"/>
  <c r="U49" i="7"/>
  <c r="X49" i="7" s="1"/>
  <c r="S49" i="7"/>
  <c r="Y49" i="7" s="1"/>
  <c r="R49" i="7"/>
  <c r="Q49" i="7"/>
  <c r="K49" i="7"/>
  <c r="F49" i="7"/>
  <c r="AM49" i="7" s="1"/>
  <c r="AA48" i="7"/>
  <c r="AA47" i="7"/>
  <c r="AA46" i="7"/>
  <c r="W46" i="7"/>
  <c r="W55" i="7" s="1"/>
  <c r="V46" i="7"/>
  <c r="U46" i="7"/>
  <c r="X46" i="7" s="1"/>
  <c r="R46" i="7"/>
  <c r="S46" i="7" s="1"/>
  <c r="Q46" i="7"/>
  <c r="L46" i="7"/>
  <c r="K46" i="7"/>
  <c r="AA45" i="7"/>
  <c r="AA55" i="7" s="1"/>
  <c r="X45" i="7"/>
  <c r="W45" i="7"/>
  <c r="V45" i="7"/>
  <c r="V55" i="7" s="1"/>
  <c r="U45" i="7"/>
  <c r="U55" i="7" s="1"/>
  <c r="R45" i="7"/>
  <c r="Q45" i="7"/>
  <c r="S45" i="7" s="1"/>
  <c r="K45" i="7"/>
  <c r="L45" i="7" s="1"/>
  <c r="T43" i="7"/>
  <c r="K43" i="7"/>
  <c r="J43" i="7"/>
  <c r="I43" i="7"/>
  <c r="H43" i="7"/>
  <c r="F43" i="7"/>
  <c r="AA42" i="7"/>
  <c r="W42" i="7"/>
  <c r="V42" i="7"/>
  <c r="U42" i="7"/>
  <c r="X42" i="7" s="1"/>
  <c r="R42" i="7"/>
  <c r="S42" i="7" s="1"/>
  <c r="Y42" i="7" s="1"/>
  <c r="Q42" i="7"/>
  <c r="L42" i="7"/>
  <c r="K42" i="7"/>
  <c r="AK41" i="7"/>
  <c r="F41" i="7"/>
  <c r="AA40" i="7"/>
  <c r="AA43" i="7" s="1"/>
  <c r="W40" i="7"/>
  <c r="W43" i="7" s="1"/>
  <c r="V40" i="7"/>
  <c r="V43" i="7" s="1"/>
  <c r="U40" i="7"/>
  <c r="X40" i="7" s="1"/>
  <c r="X43" i="7" s="1"/>
  <c r="S40" i="7"/>
  <c r="S43" i="7" s="1"/>
  <c r="R40" i="7"/>
  <c r="Q40" i="7"/>
  <c r="L40" i="7"/>
  <c r="L43" i="7" s="1"/>
  <c r="K40" i="7"/>
  <c r="J38" i="7"/>
  <c r="I38" i="7"/>
  <c r="W37" i="7"/>
  <c r="V37" i="7"/>
  <c r="X37" i="7" s="1"/>
  <c r="U37" i="7"/>
  <c r="R37" i="7"/>
  <c r="S37" i="7" s="1"/>
  <c r="Q37" i="7"/>
  <c r="K37" i="7"/>
  <c r="L37" i="7" s="1"/>
  <c r="F37" i="7"/>
  <c r="W34" i="7"/>
  <c r="V34" i="7"/>
  <c r="X34" i="7" s="1"/>
  <c r="U34" i="7"/>
  <c r="R34" i="7"/>
  <c r="S34" i="7" s="1"/>
  <c r="Y34" i="7" s="1"/>
  <c r="Q34" i="7"/>
  <c r="L34" i="7"/>
  <c r="K34" i="7"/>
  <c r="F34" i="7"/>
  <c r="W33" i="7"/>
  <c r="V33" i="7"/>
  <c r="S33" i="7"/>
  <c r="R33" i="7"/>
  <c r="Q33" i="7"/>
  <c r="F33" i="7"/>
  <c r="H33" i="7" s="1"/>
  <c r="AK31" i="7"/>
  <c r="AL31" i="7" s="1"/>
  <c r="W31" i="7"/>
  <c r="X31" i="7" s="1"/>
  <c r="V31" i="7"/>
  <c r="U31" i="7"/>
  <c r="S31" i="7"/>
  <c r="R31" i="7"/>
  <c r="F31" i="7"/>
  <c r="AK30" i="7"/>
  <c r="AL30" i="7" s="1"/>
  <c r="W30" i="7"/>
  <c r="V30" i="7"/>
  <c r="X30" i="7" s="1"/>
  <c r="U30" i="7"/>
  <c r="S30" i="7"/>
  <c r="R30" i="7"/>
  <c r="F30" i="7"/>
  <c r="AK29" i="7"/>
  <c r="W29" i="7"/>
  <c r="V29" i="7"/>
  <c r="X29" i="7" s="1"/>
  <c r="U29" i="7"/>
  <c r="R29" i="7"/>
  <c r="S29" i="7" s="1"/>
  <c r="Y29" i="7" s="1"/>
  <c r="F29" i="7"/>
  <c r="AK28" i="7"/>
  <c r="AL28" i="7" s="1"/>
  <c r="W28" i="7"/>
  <c r="V28" i="7"/>
  <c r="U28" i="7"/>
  <c r="X28" i="7" s="1"/>
  <c r="S28" i="7"/>
  <c r="Y28" i="7" s="1"/>
  <c r="R28" i="7"/>
  <c r="F28" i="7"/>
  <c r="AK27" i="7"/>
  <c r="AL27" i="7" s="1"/>
  <c r="W27" i="7"/>
  <c r="X27" i="7" s="1"/>
  <c r="V27" i="7"/>
  <c r="U27" i="7"/>
  <c r="S27" i="7"/>
  <c r="Y27" i="7" s="1"/>
  <c r="R27" i="7"/>
  <c r="F27" i="7"/>
  <c r="AK26" i="7"/>
  <c r="AL26" i="7" s="1"/>
  <c r="W26" i="7"/>
  <c r="V26" i="7"/>
  <c r="X26" i="7" s="1"/>
  <c r="Y26" i="7" s="1"/>
  <c r="U26" i="7"/>
  <c r="S26" i="7"/>
  <c r="R26" i="7"/>
  <c r="F26" i="7"/>
  <c r="AK25" i="7"/>
  <c r="F25" i="7"/>
  <c r="AK24" i="7"/>
  <c r="AL24" i="7" s="1"/>
  <c r="S24" i="7"/>
  <c r="R24" i="7"/>
  <c r="F24" i="7"/>
  <c r="AK23" i="7"/>
  <c r="F23" i="7"/>
  <c r="AK22" i="7"/>
  <c r="W22" i="7"/>
  <c r="V22" i="7"/>
  <c r="U22" i="7"/>
  <c r="X22" i="7" s="1"/>
  <c r="R22" i="7"/>
  <c r="S22" i="7" s="1"/>
  <c r="F22" i="7"/>
  <c r="AK21" i="7"/>
  <c r="F21" i="7"/>
  <c r="AK20" i="7"/>
  <c r="F20" i="7"/>
  <c r="AK19" i="7"/>
  <c r="W19" i="7"/>
  <c r="V19" i="7"/>
  <c r="U19" i="7"/>
  <c r="X19" i="7" s="1"/>
  <c r="R19" i="7"/>
  <c r="S19" i="7" s="1"/>
  <c r="Y19" i="7" s="1"/>
  <c r="F19" i="7"/>
  <c r="AJ66" i="7"/>
  <c r="AI66" i="7"/>
  <c r="AH66" i="7"/>
  <c r="AG66" i="7"/>
  <c r="AF66" i="7"/>
  <c r="AK18" i="7"/>
  <c r="AD66" i="7"/>
  <c r="W18" i="7"/>
  <c r="V18" i="7"/>
  <c r="X18" i="7" s="1"/>
  <c r="Y18" i="7" s="1"/>
  <c r="U18" i="7"/>
  <c r="S18" i="7"/>
  <c r="R18" i="7"/>
  <c r="O18" i="7"/>
  <c r="F18" i="7"/>
  <c r="AM18" i="7" s="1"/>
  <c r="AA16" i="7"/>
  <c r="AA15" i="7"/>
  <c r="W15" i="7"/>
  <c r="V15" i="7"/>
  <c r="U15" i="7"/>
  <c r="X15" i="7" s="1"/>
  <c r="S15" i="7"/>
  <c r="R15" i="7"/>
  <c r="AA14" i="7"/>
  <c r="W14" i="7"/>
  <c r="V14" i="7"/>
  <c r="U14" i="7"/>
  <c r="X14" i="7" s="1"/>
  <c r="S14" i="7"/>
  <c r="Y14" i="7" s="1"/>
  <c r="R14" i="7"/>
  <c r="AA13" i="7"/>
  <c r="W13" i="7"/>
  <c r="V13" i="7"/>
  <c r="U13" i="7"/>
  <c r="X13" i="7" s="1"/>
  <c r="S13" i="7"/>
  <c r="R13" i="7"/>
  <c r="AA12" i="7"/>
  <c r="W12" i="7"/>
  <c r="V12" i="7"/>
  <c r="U12" i="7"/>
  <c r="X12" i="7" s="1"/>
  <c r="S12" i="7"/>
  <c r="Y12" i="7" s="1"/>
  <c r="R12" i="7"/>
  <c r="AA11" i="7"/>
  <c r="W11" i="7"/>
  <c r="V11" i="7"/>
  <c r="U11" i="7"/>
  <c r="X11" i="7" s="1"/>
  <c r="S11" i="7"/>
  <c r="R11" i="7"/>
  <c r="AA10" i="7"/>
  <c r="W10" i="7"/>
  <c r="W38" i="7" s="1"/>
  <c r="W66" i="7" s="1"/>
  <c r="W67" i="7" s="1"/>
  <c r="V10" i="7"/>
  <c r="V38" i="7" s="1"/>
  <c r="U10" i="7"/>
  <c r="S10" i="7"/>
  <c r="R10" i="7"/>
  <c r="AA9" i="7"/>
  <c r="AA38" i="7" s="1"/>
  <c r="P4" i="7"/>
  <c r="P3" i="7"/>
  <c r="P2" i="7"/>
  <c r="L45" i="6"/>
  <c r="M45" i="6" s="1"/>
  <c r="K45" i="6"/>
  <c r="J45" i="6"/>
  <c r="I45" i="6"/>
  <c r="G45" i="6"/>
  <c r="F38" i="6" s="1"/>
  <c r="M44" i="6"/>
  <c r="L44" i="6"/>
  <c r="M43" i="6"/>
  <c r="L43" i="6"/>
  <c r="L42" i="6"/>
  <c r="M42" i="6" s="1"/>
  <c r="F42" i="6"/>
  <c r="M41" i="6"/>
  <c r="L41" i="6"/>
  <c r="L40" i="6"/>
  <c r="M40" i="6" s="1"/>
  <c r="L39" i="6"/>
  <c r="M39" i="6" s="1"/>
  <c r="F39" i="6"/>
  <c r="L38" i="6"/>
  <c r="M38" i="6" s="1"/>
  <c r="K33" i="6"/>
  <c r="L33" i="6" s="1"/>
  <c r="J33" i="6"/>
  <c r="I33" i="6"/>
  <c r="L32" i="6"/>
  <c r="M32" i="6" s="1"/>
  <c r="G32" i="6"/>
  <c r="L31" i="6"/>
  <c r="M31" i="6" s="1"/>
  <c r="G31" i="6"/>
  <c r="L30" i="6"/>
  <c r="M30" i="6" s="1"/>
  <c r="G30" i="6"/>
  <c r="M29" i="6"/>
  <c r="L29" i="6"/>
  <c r="G29" i="6"/>
  <c r="M28" i="6"/>
  <c r="L28" i="6"/>
  <c r="G28" i="6"/>
  <c r="G33" i="6" s="1"/>
  <c r="K26" i="6"/>
  <c r="J26" i="6"/>
  <c r="I26" i="6"/>
  <c r="M25" i="6"/>
  <c r="L25" i="6"/>
  <c r="G25" i="6"/>
  <c r="L24" i="6"/>
  <c r="M24" i="6" s="1"/>
  <c r="G24" i="6"/>
  <c r="L23" i="6"/>
  <c r="M23" i="6" s="1"/>
  <c r="G23" i="6"/>
  <c r="L22" i="6"/>
  <c r="M22" i="6" s="1"/>
  <c r="G22" i="6"/>
  <c r="G26" i="6" s="1"/>
  <c r="M20" i="6"/>
  <c r="L20" i="6"/>
  <c r="K20" i="6"/>
  <c r="J20" i="6"/>
  <c r="I20" i="6"/>
  <c r="L19" i="6"/>
  <c r="G19" i="6"/>
  <c r="G20" i="6" s="1"/>
  <c r="M18" i="6"/>
  <c r="L18" i="6"/>
  <c r="G18" i="6"/>
  <c r="K16" i="6"/>
  <c r="J16" i="6"/>
  <c r="J34" i="6" s="1"/>
  <c r="J35" i="6" s="1"/>
  <c r="J47" i="6" s="1"/>
  <c r="I16" i="6"/>
  <c r="L15" i="6"/>
  <c r="M15" i="6" s="1"/>
  <c r="G15" i="6"/>
  <c r="L14" i="6"/>
  <c r="G14" i="6"/>
  <c r="M14" i="6" s="1"/>
  <c r="M12" i="6"/>
  <c r="L12" i="6"/>
  <c r="G12" i="6"/>
  <c r="M11" i="6"/>
  <c r="L11" i="6"/>
  <c r="G11" i="6"/>
  <c r="L9" i="6"/>
  <c r="G9" i="6"/>
  <c r="G16" i="6" s="1"/>
  <c r="G34" i="6" s="1"/>
  <c r="G35" i="6" s="1"/>
  <c r="G47" i="6" s="1"/>
  <c r="M8" i="6"/>
  <c r="L8" i="6"/>
  <c r="G8" i="6"/>
  <c r="L323" i="4"/>
  <c r="O322" i="4"/>
  <c r="N322" i="4"/>
  <c r="L322" i="4"/>
  <c r="O321" i="4"/>
  <c r="N321" i="4"/>
  <c r="L321" i="4"/>
  <c r="O320" i="4"/>
  <c r="N320" i="4"/>
  <c r="L320" i="4"/>
  <c r="O319" i="4"/>
  <c r="N319" i="4"/>
  <c r="L319" i="4"/>
  <c r="O318" i="4"/>
  <c r="N318" i="4"/>
  <c r="L318" i="4"/>
  <c r="O317" i="4"/>
  <c r="N317" i="4"/>
  <c r="L317" i="4"/>
  <c r="O316" i="4"/>
  <c r="N316" i="4"/>
  <c r="L316" i="4"/>
  <c r="O315" i="4"/>
  <c r="N315" i="4"/>
  <c r="L315" i="4"/>
  <c r="O314" i="4"/>
  <c r="N314" i="4"/>
  <c r="L314" i="4"/>
  <c r="O313" i="4"/>
  <c r="N313" i="4"/>
  <c r="L313" i="4"/>
  <c r="O312" i="4"/>
  <c r="N312" i="4"/>
  <c r="L312" i="4"/>
  <c r="O311" i="4"/>
  <c r="N311" i="4"/>
  <c r="L311" i="4"/>
  <c r="O310" i="4"/>
  <c r="N310" i="4"/>
  <c r="L310" i="4"/>
  <c r="O309" i="4"/>
  <c r="N309" i="4"/>
  <c r="L309" i="4"/>
  <c r="O308" i="4"/>
  <c r="N308" i="4"/>
  <c r="L308" i="4"/>
  <c r="O307" i="4"/>
  <c r="N307" i="4"/>
  <c r="L307" i="4"/>
  <c r="O306" i="4"/>
  <c r="N306" i="4"/>
  <c r="L306" i="4"/>
  <c r="O305" i="4"/>
  <c r="N305" i="4"/>
  <c r="L305" i="4"/>
  <c r="O304" i="4"/>
  <c r="N304" i="4"/>
  <c r="L304" i="4"/>
  <c r="O303" i="4"/>
  <c r="N303" i="4"/>
  <c r="L303" i="4"/>
  <c r="O302" i="4"/>
  <c r="N302" i="4"/>
  <c r="L302" i="4"/>
  <c r="O301" i="4"/>
  <c r="N301" i="4"/>
  <c r="L301" i="4"/>
  <c r="O300" i="4"/>
  <c r="N300" i="4"/>
  <c r="L300" i="4"/>
  <c r="O299" i="4"/>
  <c r="N299" i="4"/>
  <c r="L299" i="4"/>
  <c r="O298" i="4"/>
  <c r="N298" i="4"/>
  <c r="L298" i="4"/>
  <c r="O297" i="4"/>
  <c r="N297" i="4"/>
  <c r="L297" i="4"/>
  <c r="O296" i="4"/>
  <c r="N296" i="4"/>
  <c r="L296" i="4"/>
  <c r="O295" i="4"/>
  <c r="N295" i="4"/>
  <c r="L295" i="4"/>
  <c r="O294" i="4"/>
  <c r="N294" i="4"/>
  <c r="L294" i="4"/>
  <c r="O293" i="4"/>
  <c r="N293" i="4"/>
  <c r="L293" i="4"/>
  <c r="O292" i="4"/>
  <c r="N292" i="4"/>
  <c r="L292" i="4"/>
  <c r="O291" i="4"/>
  <c r="N291" i="4"/>
  <c r="L291" i="4"/>
  <c r="O290" i="4"/>
  <c r="N290" i="4"/>
  <c r="L290" i="4"/>
  <c r="O289" i="4"/>
  <c r="N289" i="4"/>
  <c r="L289" i="4"/>
  <c r="O288" i="4"/>
  <c r="N288" i="4"/>
  <c r="L288" i="4"/>
  <c r="O287" i="4"/>
  <c r="N287" i="4"/>
  <c r="L287" i="4"/>
  <c r="O286" i="4"/>
  <c r="N286" i="4"/>
  <c r="L286" i="4"/>
  <c r="O285" i="4"/>
  <c r="N285" i="4"/>
  <c r="L285" i="4"/>
  <c r="O284" i="4"/>
  <c r="N284" i="4"/>
  <c r="L284" i="4"/>
  <c r="O283" i="4"/>
  <c r="N283" i="4"/>
  <c r="L283" i="4"/>
  <c r="O282" i="4"/>
  <c r="N282" i="4"/>
  <c r="L282" i="4"/>
  <c r="O281" i="4"/>
  <c r="N281" i="4"/>
  <c r="L281" i="4"/>
  <c r="O280" i="4"/>
  <c r="N280" i="4"/>
  <c r="L280" i="4"/>
  <c r="O279" i="4"/>
  <c r="N279" i="4"/>
  <c r="L279" i="4"/>
  <c r="O278" i="4"/>
  <c r="N278" i="4"/>
  <c r="L278" i="4"/>
  <c r="O277" i="4"/>
  <c r="N277" i="4"/>
  <c r="L277" i="4"/>
  <c r="O276" i="4"/>
  <c r="N276" i="4"/>
  <c r="L276" i="4"/>
  <c r="O275" i="4"/>
  <c r="N275" i="4"/>
  <c r="L275" i="4"/>
  <c r="O274" i="4"/>
  <c r="N274" i="4"/>
  <c r="L274" i="4"/>
  <c r="O273" i="4"/>
  <c r="N273" i="4"/>
  <c r="L273" i="4"/>
  <c r="O272" i="4"/>
  <c r="N272" i="4"/>
  <c r="L272" i="4"/>
  <c r="O271" i="4"/>
  <c r="N271" i="4"/>
  <c r="L271" i="4"/>
  <c r="O270" i="4"/>
  <c r="N270" i="4"/>
  <c r="L270" i="4"/>
  <c r="O269" i="4"/>
  <c r="N269" i="4"/>
  <c r="L269" i="4"/>
  <c r="O268" i="4"/>
  <c r="N268" i="4"/>
  <c r="L268" i="4"/>
  <c r="O267" i="4"/>
  <c r="N267" i="4"/>
  <c r="L267" i="4"/>
  <c r="O266" i="4"/>
  <c r="N266" i="4"/>
  <c r="L266" i="4"/>
  <c r="O265" i="4"/>
  <c r="N265" i="4"/>
  <c r="L265" i="4"/>
  <c r="O264" i="4"/>
  <c r="N264" i="4"/>
  <c r="L264" i="4"/>
  <c r="O263" i="4"/>
  <c r="N263" i="4"/>
  <c r="L263" i="4"/>
  <c r="O262" i="4"/>
  <c r="N262" i="4"/>
  <c r="L262" i="4"/>
  <c r="O261" i="4"/>
  <c r="N261" i="4"/>
  <c r="L261" i="4"/>
  <c r="O260" i="4"/>
  <c r="N260" i="4"/>
  <c r="L260" i="4"/>
  <c r="O259" i="4"/>
  <c r="N259" i="4"/>
  <c r="L259" i="4"/>
  <c r="O258" i="4"/>
  <c r="N258" i="4"/>
  <c r="L258" i="4"/>
  <c r="O257" i="4"/>
  <c r="N257" i="4"/>
  <c r="L257" i="4"/>
  <c r="O256" i="4"/>
  <c r="N256" i="4"/>
  <c r="L256" i="4"/>
  <c r="O255" i="4"/>
  <c r="N255" i="4"/>
  <c r="L255" i="4"/>
  <c r="O254" i="4"/>
  <c r="N254" i="4"/>
  <c r="L254" i="4"/>
  <c r="O253" i="4"/>
  <c r="N253" i="4"/>
  <c r="L253" i="4"/>
  <c r="O252" i="4"/>
  <c r="N252" i="4"/>
  <c r="L252" i="4"/>
  <c r="O251" i="4"/>
  <c r="N251" i="4"/>
  <c r="L251" i="4"/>
  <c r="O250" i="4"/>
  <c r="N250" i="4"/>
  <c r="L250" i="4"/>
  <c r="O249" i="4"/>
  <c r="N249" i="4"/>
  <c r="L249" i="4"/>
  <c r="O248" i="4"/>
  <c r="N248" i="4"/>
  <c r="L248" i="4"/>
  <c r="O247" i="4"/>
  <c r="N247" i="4"/>
  <c r="L247" i="4"/>
  <c r="O246" i="4"/>
  <c r="N246" i="4"/>
  <c r="L246" i="4"/>
  <c r="O245" i="4"/>
  <c r="N245" i="4"/>
  <c r="L245" i="4"/>
  <c r="O244" i="4"/>
  <c r="N244" i="4"/>
  <c r="L244" i="4"/>
  <c r="O243" i="4"/>
  <c r="N243" i="4"/>
  <c r="L243" i="4"/>
  <c r="O242" i="4"/>
  <c r="N242" i="4"/>
  <c r="L242" i="4"/>
  <c r="O241" i="4"/>
  <c r="N241" i="4"/>
  <c r="L241" i="4"/>
  <c r="O240" i="4"/>
  <c r="N240" i="4"/>
  <c r="L240" i="4"/>
  <c r="O239" i="4"/>
  <c r="N239" i="4"/>
  <c r="L239" i="4"/>
  <c r="O238" i="4"/>
  <c r="N238" i="4"/>
  <c r="L238" i="4"/>
  <c r="O237" i="4"/>
  <c r="N237" i="4"/>
  <c r="L237" i="4"/>
  <c r="O236" i="4"/>
  <c r="N236" i="4"/>
  <c r="L236" i="4"/>
  <c r="O235" i="4"/>
  <c r="N235" i="4"/>
  <c r="L235" i="4"/>
  <c r="O234" i="4"/>
  <c r="N234" i="4"/>
  <c r="L234" i="4"/>
  <c r="O233" i="4"/>
  <c r="N233" i="4"/>
  <c r="L233" i="4"/>
  <c r="O232" i="4"/>
  <c r="N232" i="4"/>
  <c r="L232" i="4"/>
  <c r="O231" i="4"/>
  <c r="N231" i="4"/>
  <c r="L231" i="4"/>
  <c r="O230" i="4"/>
  <c r="N230" i="4"/>
  <c r="L230" i="4"/>
  <c r="O229" i="4"/>
  <c r="N229" i="4"/>
  <c r="L229" i="4"/>
  <c r="O228" i="4"/>
  <c r="N228" i="4"/>
  <c r="L228" i="4"/>
  <c r="O227" i="4"/>
  <c r="N227" i="4"/>
  <c r="L227" i="4"/>
  <c r="O226" i="4"/>
  <c r="N226" i="4"/>
  <c r="L226" i="4"/>
  <c r="O225" i="4"/>
  <c r="N225" i="4"/>
  <c r="L225" i="4"/>
  <c r="O224" i="4"/>
  <c r="N224" i="4"/>
  <c r="L224" i="4"/>
  <c r="O223" i="4"/>
  <c r="N223" i="4"/>
  <c r="L223" i="4"/>
  <c r="O222" i="4"/>
  <c r="N222" i="4"/>
  <c r="L222" i="4"/>
  <c r="O221" i="4"/>
  <c r="N221" i="4"/>
  <c r="L221" i="4"/>
  <c r="O220" i="4"/>
  <c r="N220" i="4"/>
  <c r="L220" i="4"/>
  <c r="O219" i="4"/>
  <c r="N219" i="4"/>
  <c r="L219" i="4"/>
  <c r="O218" i="4"/>
  <c r="N218" i="4"/>
  <c r="L218" i="4"/>
  <c r="O217" i="4"/>
  <c r="N217" i="4"/>
  <c r="L217" i="4"/>
  <c r="O216" i="4"/>
  <c r="N216" i="4"/>
  <c r="L216" i="4"/>
  <c r="O215" i="4"/>
  <c r="N215" i="4"/>
  <c r="L215" i="4"/>
  <c r="O214" i="4"/>
  <c r="N214" i="4"/>
  <c r="L214" i="4"/>
  <c r="O213" i="4"/>
  <c r="N213" i="4"/>
  <c r="L213" i="4"/>
  <c r="O212" i="4"/>
  <c r="N212" i="4"/>
  <c r="L212" i="4"/>
  <c r="O211" i="4"/>
  <c r="N211" i="4"/>
  <c r="L211" i="4"/>
  <c r="O210" i="4"/>
  <c r="N210" i="4"/>
  <c r="L210" i="4"/>
  <c r="O209" i="4"/>
  <c r="N209" i="4"/>
  <c r="L209" i="4"/>
  <c r="O208" i="4"/>
  <c r="N208" i="4"/>
  <c r="L208" i="4"/>
  <c r="O207" i="4"/>
  <c r="N207" i="4"/>
  <c r="L207" i="4"/>
  <c r="O206" i="4"/>
  <c r="N206" i="4"/>
  <c r="L206" i="4"/>
  <c r="O205" i="4"/>
  <c r="N205" i="4"/>
  <c r="L205" i="4"/>
  <c r="O204" i="4"/>
  <c r="N204" i="4"/>
  <c r="L204" i="4"/>
  <c r="O203" i="4"/>
  <c r="N203" i="4"/>
  <c r="L203" i="4"/>
  <c r="O202" i="4"/>
  <c r="N202" i="4"/>
  <c r="L202" i="4"/>
  <c r="O201" i="4"/>
  <c r="N201" i="4"/>
  <c r="L201" i="4"/>
  <c r="O200" i="4"/>
  <c r="N200" i="4"/>
  <c r="L200" i="4"/>
  <c r="O199" i="4"/>
  <c r="N199" i="4"/>
  <c r="L199" i="4"/>
  <c r="O198" i="4"/>
  <c r="N198" i="4"/>
  <c r="L198" i="4"/>
  <c r="O197" i="4"/>
  <c r="N197" i="4"/>
  <c r="L197" i="4"/>
  <c r="O196" i="4"/>
  <c r="N196" i="4"/>
  <c r="L196" i="4"/>
  <c r="O195" i="4"/>
  <c r="N195" i="4"/>
  <c r="L195" i="4"/>
  <c r="O194" i="4"/>
  <c r="N194" i="4"/>
  <c r="L194" i="4"/>
  <c r="O193" i="4"/>
  <c r="N193" i="4"/>
  <c r="L193" i="4"/>
  <c r="O192" i="4"/>
  <c r="N192" i="4"/>
  <c r="L192" i="4"/>
  <c r="O191" i="4"/>
  <c r="N191" i="4"/>
  <c r="L191" i="4"/>
  <c r="O190" i="4"/>
  <c r="N190" i="4"/>
  <c r="L190" i="4"/>
  <c r="O189" i="4"/>
  <c r="N189" i="4"/>
  <c r="L189" i="4"/>
  <c r="O188" i="4"/>
  <c r="N188" i="4"/>
  <c r="L188" i="4"/>
  <c r="O187" i="4"/>
  <c r="N187" i="4"/>
  <c r="L187" i="4"/>
  <c r="O186" i="4"/>
  <c r="N186" i="4"/>
  <c r="L186" i="4"/>
  <c r="O185" i="4"/>
  <c r="N185" i="4"/>
  <c r="L185" i="4"/>
  <c r="O184" i="4"/>
  <c r="N184" i="4"/>
  <c r="L184" i="4"/>
  <c r="O183" i="4"/>
  <c r="N183" i="4"/>
  <c r="L183" i="4"/>
  <c r="O182" i="4"/>
  <c r="N182" i="4"/>
  <c r="L182" i="4"/>
  <c r="O181" i="4"/>
  <c r="N181" i="4"/>
  <c r="L181" i="4"/>
  <c r="O180" i="4"/>
  <c r="N180" i="4"/>
  <c r="L180" i="4"/>
  <c r="O179" i="4"/>
  <c r="N179" i="4"/>
  <c r="L179" i="4"/>
  <c r="O178" i="4"/>
  <c r="N178" i="4"/>
  <c r="L178" i="4"/>
  <c r="O177" i="4"/>
  <c r="N177" i="4"/>
  <c r="L177" i="4"/>
  <c r="O176" i="4"/>
  <c r="N176" i="4"/>
  <c r="L176" i="4"/>
  <c r="O175" i="4"/>
  <c r="N175" i="4"/>
  <c r="L175" i="4"/>
  <c r="O174" i="4"/>
  <c r="N174" i="4"/>
  <c r="L174" i="4"/>
  <c r="O173" i="4"/>
  <c r="N173" i="4"/>
  <c r="L173" i="4"/>
  <c r="O172" i="4"/>
  <c r="N172" i="4"/>
  <c r="L172" i="4"/>
  <c r="O171" i="4"/>
  <c r="N171" i="4"/>
  <c r="L171" i="4"/>
  <c r="O170" i="4"/>
  <c r="N170" i="4"/>
  <c r="L170" i="4"/>
  <c r="O169" i="4"/>
  <c r="N169" i="4"/>
  <c r="L169" i="4"/>
  <c r="O168" i="4"/>
  <c r="N168" i="4"/>
  <c r="L168" i="4"/>
  <c r="O167" i="4"/>
  <c r="N167" i="4"/>
  <c r="L167" i="4"/>
  <c r="O166" i="4"/>
  <c r="N166" i="4"/>
  <c r="L166" i="4"/>
  <c r="O165" i="4"/>
  <c r="N165" i="4"/>
  <c r="L165" i="4"/>
  <c r="O164" i="4"/>
  <c r="N164" i="4"/>
  <c r="L164" i="4"/>
  <c r="O163" i="4"/>
  <c r="N163" i="4"/>
  <c r="L163" i="4"/>
  <c r="O162" i="4"/>
  <c r="N162" i="4"/>
  <c r="L162" i="4"/>
  <c r="O161" i="4"/>
  <c r="N161" i="4"/>
  <c r="L161" i="4"/>
  <c r="O160" i="4"/>
  <c r="N160" i="4"/>
  <c r="L160" i="4"/>
  <c r="O159" i="4"/>
  <c r="N159" i="4"/>
  <c r="L159" i="4"/>
  <c r="O158" i="4"/>
  <c r="N158" i="4"/>
  <c r="L158" i="4"/>
  <c r="O157" i="4"/>
  <c r="N157" i="4"/>
  <c r="L157" i="4"/>
  <c r="O156" i="4"/>
  <c r="N156" i="4"/>
  <c r="L156" i="4"/>
  <c r="O155" i="4"/>
  <c r="N155" i="4"/>
  <c r="L155" i="4"/>
  <c r="O154" i="4"/>
  <c r="N154" i="4"/>
  <c r="L154" i="4"/>
  <c r="O153" i="4"/>
  <c r="N153" i="4"/>
  <c r="L153" i="4"/>
  <c r="O152" i="4"/>
  <c r="N152" i="4"/>
  <c r="L152" i="4"/>
  <c r="O151" i="4"/>
  <c r="N151" i="4"/>
  <c r="L151" i="4"/>
  <c r="O150" i="4"/>
  <c r="N150" i="4"/>
  <c r="L150" i="4"/>
  <c r="O149" i="4"/>
  <c r="N149" i="4"/>
  <c r="L149" i="4"/>
  <c r="O148" i="4"/>
  <c r="N148" i="4"/>
  <c r="L148" i="4"/>
  <c r="O147" i="4"/>
  <c r="N147" i="4"/>
  <c r="L147" i="4"/>
  <c r="O146" i="4"/>
  <c r="N146" i="4"/>
  <c r="L146" i="4"/>
  <c r="O145" i="4"/>
  <c r="N145" i="4"/>
  <c r="L145" i="4"/>
  <c r="O144" i="4"/>
  <c r="N144" i="4"/>
  <c r="L144" i="4"/>
  <c r="O143" i="4"/>
  <c r="N143" i="4"/>
  <c r="L143" i="4"/>
  <c r="O142" i="4"/>
  <c r="N142" i="4"/>
  <c r="L142" i="4"/>
  <c r="O141" i="4"/>
  <c r="N141" i="4"/>
  <c r="L141" i="4"/>
  <c r="O140" i="4"/>
  <c r="N140" i="4"/>
  <c r="L140" i="4"/>
  <c r="O139" i="4"/>
  <c r="N139" i="4"/>
  <c r="L139" i="4"/>
  <c r="O138" i="4"/>
  <c r="N138" i="4"/>
  <c r="L138" i="4"/>
  <c r="O137" i="4"/>
  <c r="N137" i="4"/>
  <c r="L137" i="4"/>
  <c r="O136" i="4"/>
  <c r="N136" i="4"/>
  <c r="L136" i="4"/>
  <c r="O135" i="4"/>
  <c r="N135" i="4"/>
  <c r="L135" i="4"/>
  <c r="O134" i="4"/>
  <c r="N134" i="4"/>
  <c r="L134" i="4"/>
  <c r="O133" i="4"/>
  <c r="N133" i="4"/>
  <c r="L133" i="4"/>
  <c r="O132" i="4"/>
  <c r="N132" i="4"/>
  <c r="L132" i="4"/>
  <c r="O131" i="4"/>
  <c r="N131" i="4"/>
  <c r="L131" i="4"/>
  <c r="O130" i="4"/>
  <c r="N130" i="4"/>
  <c r="L130" i="4"/>
  <c r="O129" i="4"/>
  <c r="N129" i="4"/>
  <c r="L129" i="4"/>
  <c r="O128" i="4"/>
  <c r="N128" i="4"/>
  <c r="L128" i="4"/>
  <c r="O127" i="4"/>
  <c r="N127" i="4"/>
  <c r="L127" i="4"/>
  <c r="O126" i="4"/>
  <c r="N126" i="4"/>
  <c r="L126" i="4"/>
  <c r="O125" i="4"/>
  <c r="N125" i="4"/>
  <c r="L125" i="4"/>
  <c r="O124" i="4"/>
  <c r="N124" i="4"/>
  <c r="L124" i="4"/>
  <c r="O123" i="4"/>
  <c r="N123" i="4"/>
  <c r="L123" i="4"/>
  <c r="O122" i="4"/>
  <c r="N122" i="4"/>
  <c r="L122" i="4"/>
  <c r="O121" i="4"/>
  <c r="N121" i="4"/>
  <c r="L121" i="4"/>
  <c r="O120" i="4"/>
  <c r="N120" i="4"/>
  <c r="L120" i="4"/>
  <c r="O119" i="4"/>
  <c r="N119" i="4"/>
  <c r="L119" i="4"/>
  <c r="O118" i="4"/>
  <c r="N118" i="4"/>
  <c r="L118" i="4"/>
  <c r="O117" i="4"/>
  <c r="N117" i="4"/>
  <c r="L117" i="4"/>
  <c r="O116" i="4"/>
  <c r="N116" i="4"/>
  <c r="L116" i="4"/>
  <c r="O115" i="4"/>
  <c r="N115" i="4"/>
  <c r="L115" i="4"/>
  <c r="O114" i="4"/>
  <c r="N114" i="4"/>
  <c r="L114" i="4"/>
  <c r="O113" i="4"/>
  <c r="N113" i="4"/>
  <c r="L113" i="4"/>
  <c r="O112" i="4"/>
  <c r="N112" i="4"/>
  <c r="L112" i="4"/>
  <c r="O111" i="4"/>
  <c r="N111" i="4"/>
  <c r="L111" i="4"/>
  <c r="O110" i="4"/>
  <c r="N110" i="4"/>
  <c r="L110" i="4"/>
  <c r="O109" i="4"/>
  <c r="N109" i="4"/>
  <c r="L109" i="4"/>
  <c r="O108" i="4"/>
  <c r="N108" i="4"/>
  <c r="L108" i="4"/>
  <c r="O107" i="4"/>
  <c r="N107" i="4"/>
  <c r="L107" i="4"/>
  <c r="O106" i="4"/>
  <c r="N106" i="4"/>
  <c r="L106" i="4"/>
  <c r="O105" i="4"/>
  <c r="N105" i="4"/>
  <c r="L105" i="4"/>
  <c r="O104" i="4"/>
  <c r="N104" i="4"/>
  <c r="L104" i="4"/>
  <c r="O103" i="4"/>
  <c r="N103" i="4"/>
  <c r="L103" i="4"/>
  <c r="O102" i="4"/>
  <c r="N102" i="4"/>
  <c r="L102" i="4"/>
  <c r="O101" i="4"/>
  <c r="N101" i="4"/>
  <c r="L101" i="4"/>
  <c r="O100" i="4"/>
  <c r="N100" i="4"/>
  <c r="L100" i="4"/>
  <c r="O99" i="4"/>
  <c r="N99" i="4"/>
  <c r="L99" i="4"/>
  <c r="O98" i="4"/>
  <c r="N98" i="4"/>
  <c r="L98" i="4"/>
  <c r="O97" i="4"/>
  <c r="N97" i="4"/>
  <c r="L97" i="4"/>
  <c r="O96" i="4"/>
  <c r="N96" i="4"/>
  <c r="L96" i="4"/>
  <c r="O95" i="4"/>
  <c r="N95" i="4"/>
  <c r="L95" i="4"/>
  <c r="O94" i="4"/>
  <c r="N94" i="4"/>
  <c r="L94" i="4"/>
  <c r="O93" i="4"/>
  <c r="N93" i="4"/>
  <c r="L93" i="4"/>
  <c r="O92" i="4"/>
  <c r="N92" i="4"/>
  <c r="L92" i="4"/>
  <c r="O91" i="4"/>
  <c r="N91" i="4"/>
  <c r="L91" i="4"/>
  <c r="O90" i="4"/>
  <c r="N90" i="4"/>
  <c r="L90" i="4"/>
  <c r="O89" i="4"/>
  <c r="N89" i="4"/>
  <c r="L89" i="4"/>
  <c r="O88" i="4"/>
  <c r="N88" i="4"/>
  <c r="L88" i="4"/>
  <c r="O87" i="4"/>
  <c r="N87" i="4"/>
  <c r="L87" i="4"/>
  <c r="O86" i="4"/>
  <c r="N86" i="4"/>
  <c r="L86" i="4"/>
  <c r="O85" i="4"/>
  <c r="N85" i="4"/>
  <c r="L85" i="4"/>
  <c r="O84" i="4"/>
  <c r="N84" i="4"/>
  <c r="L84" i="4"/>
  <c r="O83" i="4"/>
  <c r="N83" i="4"/>
  <c r="L83" i="4"/>
  <c r="O82" i="4"/>
  <c r="N82" i="4"/>
  <c r="L82" i="4"/>
  <c r="O81" i="4"/>
  <c r="N81" i="4"/>
  <c r="L81" i="4"/>
  <c r="O80" i="4"/>
  <c r="N80" i="4"/>
  <c r="L80" i="4"/>
  <c r="O79" i="4"/>
  <c r="N79" i="4"/>
  <c r="L79" i="4"/>
  <c r="O78" i="4"/>
  <c r="N78" i="4"/>
  <c r="L78" i="4"/>
  <c r="O77" i="4"/>
  <c r="N77" i="4"/>
  <c r="L77" i="4"/>
  <c r="O76" i="4"/>
  <c r="N76" i="4"/>
  <c r="L76" i="4"/>
  <c r="O75" i="4"/>
  <c r="N75" i="4"/>
  <c r="L75" i="4"/>
  <c r="O74" i="4"/>
  <c r="N74" i="4"/>
  <c r="L74" i="4"/>
  <c r="O73" i="4"/>
  <c r="N73" i="4"/>
  <c r="L73" i="4"/>
  <c r="O72" i="4"/>
  <c r="N72" i="4"/>
  <c r="L72" i="4"/>
  <c r="O71" i="4"/>
  <c r="N71" i="4"/>
  <c r="L71" i="4"/>
  <c r="O70" i="4"/>
  <c r="N70" i="4"/>
  <c r="L70" i="4"/>
  <c r="O69" i="4"/>
  <c r="N69" i="4"/>
  <c r="L69" i="4"/>
  <c r="O68" i="4"/>
  <c r="N68" i="4"/>
  <c r="L68" i="4"/>
  <c r="O67" i="4"/>
  <c r="N67" i="4"/>
  <c r="L67" i="4"/>
  <c r="O66" i="4"/>
  <c r="N66" i="4"/>
  <c r="L66" i="4"/>
  <c r="O65" i="4"/>
  <c r="N65" i="4"/>
  <c r="L65" i="4"/>
  <c r="O64" i="4"/>
  <c r="N64" i="4"/>
  <c r="L64" i="4"/>
  <c r="O63" i="4"/>
  <c r="N63" i="4"/>
  <c r="L63" i="4"/>
  <c r="O62" i="4"/>
  <c r="N62" i="4"/>
  <c r="L62" i="4"/>
  <c r="O61" i="4"/>
  <c r="N61" i="4"/>
  <c r="L61" i="4"/>
  <c r="O60" i="4"/>
  <c r="N60" i="4"/>
  <c r="L60" i="4"/>
  <c r="O59" i="4"/>
  <c r="N59" i="4"/>
  <c r="L59" i="4"/>
  <c r="O58" i="4"/>
  <c r="N58" i="4"/>
  <c r="L58" i="4"/>
  <c r="O57" i="4"/>
  <c r="N57" i="4"/>
  <c r="L57" i="4"/>
  <c r="O56" i="4"/>
  <c r="N56" i="4"/>
  <c r="L56" i="4"/>
  <c r="O55" i="4"/>
  <c r="N55" i="4"/>
  <c r="L55" i="4"/>
  <c r="O54" i="4"/>
  <c r="N54" i="4"/>
  <c r="L54" i="4"/>
  <c r="O53" i="4"/>
  <c r="N53" i="4"/>
  <c r="L53" i="4"/>
  <c r="O52" i="4"/>
  <c r="N52" i="4"/>
  <c r="L52" i="4"/>
  <c r="O51" i="4"/>
  <c r="N51" i="4"/>
  <c r="L51" i="4"/>
  <c r="O50" i="4"/>
  <c r="N50" i="4"/>
  <c r="L50" i="4"/>
  <c r="O49" i="4"/>
  <c r="N49" i="4"/>
  <c r="L49" i="4"/>
  <c r="O48" i="4"/>
  <c r="N48" i="4"/>
  <c r="L48" i="4"/>
  <c r="O47" i="4"/>
  <c r="N47" i="4"/>
  <c r="L47" i="4"/>
  <c r="O46" i="4"/>
  <c r="N46" i="4"/>
  <c r="L46" i="4"/>
  <c r="O45" i="4"/>
  <c r="N45" i="4"/>
  <c r="L45" i="4"/>
  <c r="O44" i="4"/>
  <c r="N44" i="4"/>
  <c r="L44" i="4"/>
  <c r="O43" i="4"/>
  <c r="N43" i="4"/>
  <c r="L43" i="4"/>
  <c r="O42" i="4"/>
  <c r="N42" i="4"/>
  <c r="L42" i="4"/>
  <c r="O41" i="4"/>
  <c r="N41" i="4"/>
  <c r="L41" i="4"/>
  <c r="O40" i="4"/>
  <c r="N40" i="4"/>
  <c r="L40" i="4"/>
  <c r="O39" i="4"/>
  <c r="N39" i="4"/>
  <c r="L39" i="4"/>
  <c r="O38" i="4"/>
  <c r="N38" i="4"/>
  <c r="L38" i="4"/>
  <c r="O37" i="4"/>
  <c r="N37" i="4"/>
  <c r="L37" i="4"/>
  <c r="O36" i="4"/>
  <c r="N36" i="4"/>
  <c r="L36" i="4"/>
  <c r="O35" i="4"/>
  <c r="N35" i="4"/>
  <c r="L35" i="4"/>
  <c r="O34" i="4"/>
  <c r="N34" i="4"/>
  <c r="L34" i="4"/>
  <c r="O33" i="4"/>
  <c r="N33" i="4"/>
  <c r="L33" i="4"/>
  <c r="O32" i="4"/>
  <c r="N32" i="4"/>
  <c r="L32" i="4"/>
  <c r="O31" i="4"/>
  <c r="N31" i="4"/>
  <c r="L31" i="4"/>
  <c r="O30" i="4"/>
  <c r="N30" i="4"/>
  <c r="L30" i="4"/>
  <c r="O29" i="4"/>
  <c r="N29" i="4"/>
  <c r="L29" i="4"/>
  <c r="O28" i="4"/>
  <c r="N28" i="4"/>
  <c r="L28" i="4"/>
  <c r="O27" i="4"/>
  <c r="N27" i="4"/>
  <c r="L27" i="4"/>
  <c r="O26" i="4"/>
  <c r="N26" i="4"/>
  <c r="L26" i="4"/>
  <c r="O25" i="4"/>
  <c r="N25" i="4"/>
  <c r="L25" i="4"/>
  <c r="O24" i="4"/>
  <c r="N24" i="4"/>
  <c r="L24" i="4"/>
  <c r="O23" i="4"/>
  <c r="N23" i="4"/>
  <c r="L23" i="4"/>
  <c r="O22" i="4"/>
  <c r="N22" i="4"/>
  <c r="L22" i="4"/>
  <c r="O21" i="4"/>
  <c r="N21" i="4"/>
  <c r="L21" i="4"/>
  <c r="O20" i="4"/>
  <c r="N20" i="4"/>
  <c r="L20" i="4"/>
  <c r="O19" i="4"/>
  <c r="N19" i="4"/>
  <c r="L19" i="4"/>
  <c r="O18" i="4"/>
  <c r="N18" i="4"/>
  <c r="L18" i="4"/>
  <c r="O17" i="4"/>
  <c r="N17" i="4"/>
  <c r="L17" i="4"/>
  <c r="O16" i="4"/>
  <c r="N16" i="4"/>
  <c r="L16" i="4"/>
  <c r="O15" i="4"/>
  <c r="N15" i="4"/>
  <c r="L15" i="4"/>
  <c r="O14" i="4"/>
  <c r="N14" i="4"/>
  <c r="L14" i="4"/>
  <c r="O13" i="4"/>
  <c r="N13" i="4"/>
  <c r="L13" i="4"/>
  <c r="O12" i="4"/>
  <c r="N12" i="4"/>
  <c r="L12" i="4"/>
  <c r="O11" i="4"/>
  <c r="N11" i="4"/>
  <c r="L11" i="4"/>
  <c r="O10" i="4"/>
  <c r="N10" i="4"/>
  <c r="L10" i="4"/>
  <c r="O9" i="4"/>
  <c r="N9" i="4"/>
  <c r="L9" i="4"/>
  <c r="O8" i="4"/>
  <c r="N8" i="4"/>
  <c r="L8" i="4"/>
  <c r="O7" i="4"/>
  <c r="N7" i="4"/>
  <c r="L7" i="4"/>
  <c r="O6" i="4"/>
  <c r="N6" i="4"/>
  <c r="L6" i="4"/>
  <c r="O5" i="4"/>
  <c r="N5" i="4"/>
  <c r="AM31" i="7" l="1"/>
  <c r="AM30" i="7"/>
  <c r="AM27" i="7"/>
  <c r="AM26" i="7"/>
  <c r="AM21" i="7"/>
  <c r="AL21" i="7"/>
  <c r="Y45" i="7"/>
  <c r="Y55" i="7" s="1"/>
  <c r="S55" i="7"/>
  <c r="X65" i="7"/>
  <c r="AI67" i="7"/>
  <c r="Y30" i="7"/>
  <c r="U33" i="7"/>
  <c r="X33" i="7" s="1"/>
  <c r="H38" i="7"/>
  <c r="H66" i="7" s="1"/>
  <c r="K33" i="7"/>
  <c r="AM52" i="7"/>
  <c r="AJ67" i="7"/>
  <c r="V66" i="7"/>
  <c r="V67" i="7" s="1"/>
  <c r="Y13" i="7"/>
  <c r="AM24" i="7"/>
  <c r="Y37" i="7"/>
  <c r="AM41" i="7"/>
  <c r="AL41" i="7"/>
  <c r="Y46" i="7"/>
  <c r="AM60" i="7"/>
  <c r="AM61" i="7"/>
  <c r="Y62" i="7"/>
  <c r="V74" i="7"/>
  <c r="AL19" i="7"/>
  <c r="AM19" i="7"/>
  <c r="W74" i="7"/>
  <c r="AM25" i="7"/>
  <c r="AL25" i="7"/>
  <c r="X55" i="7"/>
  <c r="AF67" i="7"/>
  <c r="AM64" i="7"/>
  <c r="AA66" i="7"/>
  <c r="AA67" i="7" s="1"/>
  <c r="Y11" i="7"/>
  <c r="Y15" i="7"/>
  <c r="AM28" i="7"/>
  <c r="Y31" i="7"/>
  <c r="Y59" i="7"/>
  <c r="AG67" i="7"/>
  <c r="AM63" i="7"/>
  <c r="AL63" i="7"/>
  <c r="AL65" i="7"/>
  <c r="AM23" i="7"/>
  <c r="AL23" i="7"/>
  <c r="AL18" i="7"/>
  <c r="Y33" i="7"/>
  <c r="AL20" i="7"/>
  <c r="AM20" i="7"/>
  <c r="Y22" i="7"/>
  <c r="AL22" i="7"/>
  <c r="AM22" i="7"/>
  <c r="S65" i="7"/>
  <c r="AH67" i="7"/>
  <c r="I74" i="7"/>
  <c r="AM29" i="7"/>
  <c r="AL29" i="7"/>
  <c r="X10" i="7"/>
  <c r="X38" i="7" s="1"/>
  <c r="X66" i="7" s="1"/>
  <c r="X67" i="7" s="1"/>
  <c r="S38" i="7"/>
  <c r="Y40" i="7"/>
  <c r="Y43" i="7" s="1"/>
  <c r="U43" i="7"/>
  <c r="L49" i="7"/>
  <c r="L53" i="7"/>
  <c r="Y57" i="7"/>
  <c r="AE66" i="7"/>
  <c r="AK66" i="7" s="1"/>
  <c r="AM59" i="7"/>
  <c r="AM62" i="7"/>
  <c r="L64" i="7"/>
  <c r="L65" i="7" s="1"/>
  <c r="Y70" i="7"/>
  <c r="F38" i="7"/>
  <c r="F66" i="7" s="1"/>
  <c r="L52" i="7"/>
  <c r="L55" i="7" s="1"/>
  <c r="F55" i="7"/>
  <c r="L61" i="7"/>
  <c r="L70" i="7"/>
  <c r="U65" i="7"/>
  <c r="K55" i="7"/>
  <c r="AD67" i="7"/>
  <c r="M9" i="6"/>
  <c r="L324" i="4"/>
  <c r="M19" i="6"/>
  <c r="L26" i="6"/>
  <c r="M26" i="6" s="1"/>
  <c r="M33" i="6"/>
  <c r="L16" i="6"/>
  <c r="M16" i="6" s="1"/>
  <c r="I34" i="6"/>
  <c r="K34" i="6"/>
  <c r="K35" i="6" s="1"/>
  <c r="K47" i="6" s="1"/>
  <c r="F41" i="6"/>
  <c r="F44" i="6"/>
  <c r="F40" i="6"/>
  <c r="F43" i="6"/>
  <c r="AE67" i="7" l="1"/>
  <c r="F67" i="7"/>
  <c r="AM66" i="7"/>
  <c r="K38" i="7"/>
  <c r="L33" i="7"/>
  <c r="L38" i="7" s="1"/>
  <c r="S66" i="7"/>
  <c r="S67" i="7" s="1"/>
  <c r="AL66" i="7"/>
  <c r="K66" i="7"/>
  <c r="H67" i="7"/>
  <c r="H71" i="7" s="1"/>
  <c r="AK67" i="7"/>
  <c r="AL67" i="7" s="1"/>
  <c r="Y65" i="7"/>
  <c r="U38" i="7"/>
  <c r="U66" i="7" s="1"/>
  <c r="U67" i="7" s="1"/>
  <c r="Y10" i="7"/>
  <c r="Y38" i="7" s="1"/>
  <c r="Y66" i="7" s="1"/>
  <c r="Y67" i="7" s="1"/>
  <c r="L34" i="6"/>
  <c r="M34" i="6" s="1"/>
  <c r="I35" i="6"/>
  <c r="K71" i="7" l="1"/>
  <c r="K72" i="7" s="1"/>
  <c r="U71" i="7"/>
  <c r="H72" i="7"/>
  <c r="H74" i="7" s="1"/>
  <c r="AM67" i="7"/>
  <c r="F71" i="7"/>
  <c r="K67" i="7"/>
  <c r="L66" i="7"/>
  <c r="L67" i="7" s="1"/>
  <c r="L35" i="6"/>
  <c r="M35" i="6" s="1"/>
  <c r="I47" i="6"/>
  <c r="L47" i="6" s="1"/>
  <c r="M47" i="6" s="1"/>
  <c r="F72" i="7" l="1"/>
  <c r="E71" i="7" s="1"/>
  <c r="L71" i="7"/>
  <c r="L72" i="7" s="1"/>
  <c r="L74" i="7" s="1"/>
  <c r="S71" i="7"/>
  <c r="X71" i="7"/>
  <c r="X72" i="7" s="1"/>
  <c r="X74" i="7" s="1"/>
  <c r="U72" i="7"/>
  <c r="U74" i="7" s="1"/>
  <c r="K74" i="7"/>
  <c r="R71" i="7" l="1"/>
  <c r="Y71" i="7"/>
  <c r="Y72" i="7" s="1"/>
  <c r="Y74" i="7" s="1"/>
  <c r="S72" i="7"/>
  <c r="Z18" i="7"/>
  <c r="F74" i="7"/>
  <c r="Z10" i="7"/>
  <c r="E70" i="7"/>
  <c r="E72" i="7" s="1"/>
  <c r="S74" i="7" l="1"/>
  <c r="R70" i="7"/>
  <c r="R72" i="7" s="1"/>
</calcChain>
</file>

<file path=xl/sharedStrings.xml><?xml version="1.0" encoding="utf-8"?>
<sst xmlns="http://schemas.openxmlformats.org/spreadsheetml/2006/main" count="2546" uniqueCount="879">
  <si>
    <t>!!Please insert lines under the sub-headings if necessary!!</t>
  </si>
  <si>
    <t>!! Pay attention not to erase formulas in the blue cells !!</t>
  </si>
  <si>
    <t>If this table is filled up, no need to fill in the "project budget in euros" sheet</t>
  </si>
  <si>
    <r>
      <t>Do not fill in this table in euros - it will fill up automatically</t>
    </r>
    <r>
      <rPr>
        <sz val="9"/>
        <color indexed="12"/>
        <rFont val="Arial"/>
        <family val="2"/>
      </rPr>
      <t xml:space="preserve">
</t>
    </r>
    <r>
      <rPr>
        <b/>
        <sz val="9"/>
        <color indexed="10"/>
        <rFont val="Arial"/>
        <family val="2"/>
      </rPr>
      <t xml:space="preserve">!! Pay attention not to erase formulas in the cells !! </t>
    </r>
  </si>
  <si>
    <r>
      <t>Careful</t>
    </r>
    <r>
      <rPr>
        <sz val="9"/>
        <color indexed="10"/>
        <rFont val="Arial"/>
        <family val="2"/>
      </rPr>
      <t xml:space="preserve"> : if you add extra lines, remember to copy formulas !</t>
    </r>
  </si>
  <si>
    <t>Name of the person in charge of the budget</t>
  </si>
  <si>
    <t>Name of the applicant NGO</t>
  </si>
  <si>
    <t>Sened Organization</t>
  </si>
  <si>
    <t>Euro exchange rate
€ / USD</t>
  </si>
  <si>
    <t xml:space="preserve">&lt;If necessary update the local currency exchange rate in J3 cell </t>
  </si>
  <si>
    <t>Project title</t>
  </si>
  <si>
    <t>Control columns</t>
  </si>
  <si>
    <r>
      <t>Expenditure related to the project</t>
    </r>
    <r>
      <rPr>
        <b/>
        <sz val="9"/>
        <rFont val="Arial"/>
        <family val="2"/>
      </rPr>
      <t xml:space="preserve">
</t>
    </r>
    <r>
      <rPr>
        <sz val="9"/>
        <rFont val="Arial"/>
        <family val="2"/>
      </rPr>
      <t>Recommendations</t>
    </r>
  </si>
  <si>
    <t>Unit</t>
  </si>
  <si>
    <t>Number of units</t>
  </si>
  <si>
    <t>Unit cost in EUR</t>
  </si>
  <si>
    <t>Total cost in EUR</t>
  </si>
  <si>
    <t>Year 1 in TRY</t>
  </si>
  <si>
    <t>Year 2 in TRY</t>
  </si>
  <si>
    <t>Year 3 in TRY</t>
  </si>
  <si>
    <t>Total 3 years in TRY</t>
  </si>
  <si>
    <r>
      <t>Discrepancy</t>
    </r>
    <r>
      <rPr>
        <sz val="9.5"/>
        <color indexed="12"/>
        <rFont val="Arial"/>
        <family val="2"/>
      </rPr>
      <t xml:space="preserve">
(column F-K)
must equal zero</t>
    </r>
  </si>
  <si>
    <r>
      <t>Expenditure related to the project</t>
    </r>
    <r>
      <rPr>
        <b/>
        <sz val="9"/>
        <color indexed="16"/>
        <rFont val="Arial"/>
        <family val="2"/>
      </rPr>
      <t xml:space="preserve">
</t>
    </r>
    <r>
      <rPr>
        <sz val="9"/>
        <color indexed="16"/>
        <rFont val="Arial"/>
        <family val="2"/>
      </rPr>
      <t>Recommendations</t>
    </r>
  </si>
  <si>
    <t>Unit cost (euros)</t>
  </si>
  <si>
    <t>Total cost
(euros)</t>
  </si>
  <si>
    <t>Year 1 (euros)</t>
  </si>
  <si>
    <t>Year 2 (euros)</t>
  </si>
  <si>
    <t>Year 3 (euros)</t>
  </si>
  <si>
    <t>Total 3 years (euros)</t>
  </si>
  <si>
    <r>
      <t>Discrepancy</t>
    </r>
    <r>
      <rPr>
        <sz val="9.5"/>
        <color indexed="16"/>
        <rFont val="Arial"/>
        <family val="2"/>
      </rPr>
      <t xml:space="preserve">
(column S-X)
must equal zero</t>
    </r>
  </si>
  <si>
    <t xml:space="preserve">Sened Contribution </t>
  </si>
  <si>
    <t xml:space="preserve">TOTAL EXPENSES </t>
  </si>
  <si>
    <t>%</t>
  </si>
  <si>
    <t>Remaining</t>
  </si>
  <si>
    <t>Human resources dedicated to the project</t>
  </si>
  <si>
    <t>1.1</t>
  </si>
  <si>
    <t>Salaries and employer's contributions</t>
  </si>
  <si>
    <t>Salary for coordination</t>
  </si>
  <si>
    <t>1.1.01</t>
  </si>
  <si>
    <t>IT and Media Officer (50%) TR</t>
  </si>
  <si>
    <t>per month</t>
  </si>
  <si>
    <t>1.1.02</t>
  </si>
  <si>
    <t>MHPSS Technical Specialist (10%) TR</t>
  </si>
  <si>
    <t>1.1.4</t>
  </si>
  <si>
    <t>MHPSS Technical Specialist (5%) TR</t>
  </si>
  <si>
    <t>1.1.03</t>
  </si>
  <si>
    <t>Supply Chain Coordinator  (10%) TR</t>
  </si>
  <si>
    <t>1.1.5</t>
  </si>
  <si>
    <t>Supply Chain Coordinator  (5%) TR</t>
  </si>
  <si>
    <t>1.1.04</t>
  </si>
  <si>
    <t>Project Coordinator (10%) TR</t>
  </si>
  <si>
    <t>1.1.6</t>
  </si>
  <si>
    <t>Project Coordinator (5%) TR</t>
  </si>
  <si>
    <t>1.1.05</t>
  </si>
  <si>
    <t>Inclusion Technical Specialist (10%) SY</t>
  </si>
  <si>
    <t>1.1.13</t>
  </si>
  <si>
    <t>Inclusion Technical Specialist (5%) SY</t>
  </si>
  <si>
    <t>1.1.06</t>
  </si>
  <si>
    <t>MEAL Coordinator (10%) TR</t>
  </si>
  <si>
    <t>1.1.10</t>
  </si>
  <si>
    <t>MEAL Coordinator (5%) TR</t>
  </si>
  <si>
    <t>1.1.07</t>
  </si>
  <si>
    <t>HR Coordinator (10%) TR</t>
  </si>
  <si>
    <t>1.1.8</t>
  </si>
  <si>
    <t>HR Coordinator (20%) TR</t>
  </si>
  <si>
    <t>1.1.08</t>
  </si>
  <si>
    <t>Finance Coordiantor (10%) TR</t>
  </si>
  <si>
    <t>Salary for operational staff</t>
  </si>
  <si>
    <t>Project Officer (100%) TR</t>
  </si>
  <si>
    <t>1.1.11</t>
  </si>
  <si>
    <t>1.1.09</t>
  </si>
  <si>
    <t>Finance Assistant (100%) TR</t>
  </si>
  <si>
    <t>1.1.7</t>
  </si>
  <si>
    <t>Finance Officer (20%) TR</t>
  </si>
  <si>
    <t>Supply Assistant (100%) TR</t>
  </si>
  <si>
    <t>Child safeguarding specalist (15%)</t>
  </si>
  <si>
    <t>1.1.12</t>
  </si>
  <si>
    <t>Case Manager*1 (100%) - SY</t>
  </si>
  <si>
    <t>1.1.14</t>
  </si>
  <si>
    <t>Case Manager*2 (100%) - SY</t>
  </si>
  <si>
    <t>Case Officer*1 ( 100%)-SY</t>
  </si>
  <si>
    <t>PSS Officer*2 (100%) - SY</t>
  </si>
  <si>
    <t>1.1.15</t>
  </si>
  <si>
    <t>Inclusion Sr.Officer (100%) SY</t>
  </si>
  <si>
    <t>1.1.16</t>
  </si>
  <si>
    <t>SNR Officer*1 (100%) - SY</t>
  </si>
  <si>
    <t>SNR Officer*2 (100%) - SY</t>
  </si>
  <si>
    <t>1.1.17</t>
  </si>
  <si>
    <t>Case Worker*4 (100%) - SY</t>
  </si>
  <si>
    <t>1.1.18</t>
  </si>
  <si>
    <t>PSS Facilitator*4 (100%) - SY</t>
  </si>
  <si>
    <t>1.1.19</t>
  </si>
  <si>
    <t>Media Officer (100%) - SY</t>
  </si>
  <si>
    <t>1.1.21</t>
  </si>
  <si>
    <t>Driver (100%) - SY</t>
  </si>
  <si>
    <t>1.1.22</t>
  </si>
  <si>
    <t>Receptioinst (100%) - SY</t>
  </si>
  <si>
    <t>Cleaner (100%) - SY</t>
  </si>
  <si>
    <t>1.1.24</t>
  </si>
  <si>
    <t>1.2</t>
  </si>
  <si>
    <t>Honoraires experts</t>
  </si>
  <si>
    <t>1.2.1</t>
  </si>
  <si>
    <t>1.3</t>
  </si>
  <si>
    <t>Per diem food and accomodation</t>
  </si>
  <si>
    <t>1.3.1</t>
  </si>
  <si>
    <t>Sub-total 1 Human resources of the project</t>
  </si>
  <si>
    <t>Travel costs</t>
  </si>
  <si>
    <t>2.1</t>
  </si>
  <si>
    <t>2 Cars  for mobile team and benfiaries</t>
  </si>
  <si>
    <t>Rental two Cars + running cost
(purchase and Running cost)</t>
  </si>
  <si>
    <t xml:space="preserve">Fuel for 2 cars </t>
  </si>
  <si>
    <t xml:space="preserve">Travel cost from Turkey to Syria for management and Support staff </t>
  </si>
  <si>
    <t>2.2</t>
  </si>
  <si>
    <t>Rental Minibus + running cost</t>
  </si>
  <si>
    <t>Sub- total 2 Travel costs</t>
  </si>
  <si>
    <t>Equipment (material and supplies)</t>
  </si>
  <si>
    <t>3.1.1</t>
  </si>
  <si>
    <t>Laptops</t>
  </si>
  <si>
    <t>per item</t>
  </si>
  <si>
    <t>3.1.2</t>
  </si>
  <si>
    <t>Mobile phones</t>
  </si>
  <si>
    <t>Tablets</t>
  </si>
  <si>
    <t>3.1.3</t>
  </si>
  <si>
    <t xml:space="preserve">Projector </t>
  </si>
  <si>
    <t>3.1.4</t>
  </si>
  <si>
    <t>Water dispenser</t>
  </si>
  <si>
    <t>3.1.6</t>
  </si>
  <si>
    <t>Supplies and Stationary</t>
  </si>
  <si>
    <t>lumpsum</t>
  </si>
  <si>
    <t>3.1.5</t>
  </si>
  <si>
    <t>Stationary</t>
  </si>
  <si>
    <t>3.1.7</t>
  </si>
  <si>
    <t>Refreshment for activities</t>
  </si>
  <si>
    <t>per participant</t>
  </si>
  <si>
    <t>3.1.8</t>
  </si>
  <si>
    <t>PSS Kits for chilren</t>
  </si>
  <si>
    <t>Printings and IEC materials</t>
  </si>
  <si>
    <t>3.1.9</t>
  </si>
  <si>
    <t>PSS Kits for adults</t>
  </si>
  <si>
    <t>3.1.10</t>
  </si>
  <si>
    <t>Printing MEAL materials</t>
  </si>
  <si>
    <t>PSS Package for group sessions for adult</t>
  </si>
  <si>
    <t>3.1.11</t>
  </si>
  <si>
    <t>Montessori tools</t>
  </si>
  <si>
    <t>Recreational activities material</t>
  </si>
  <si>
    <t>Sub-total 3 Material and supplies</t>
  </si>
  <si>
    <t>Other costs</t>
  </si>
  <si>
    <t>4.1</t>
  </si>
  <si>
    <t>Rent Community Center in Gaziantep (50%)</t>
  </si>
  <si>
    <t>4.2</t>
  </si>
  <si>
    <t>Rent Community Center in A'zaz (50%)</t>
  </si>
  <si>
    <t>Office rehabilitation setup</t>
  </si>
  <si>
    <t>times</t>
  </si>
  <si>
    <t xml:space="preserve">Office running cost A'zaz with Mobile bills forproject staff </t>
  </si>
  <si>
    <t>4.3</t>
  </si>
  <si>
    <t>Office running cost Gaziantep</t>
  </si>
  <si>
    <t>ECF</t>
  </si>
  <si>
    <t>per beneficiary</t>
  </si>
  <si>
    <t>4.5</t>
  </si>
  <si>
    <t>Case management support</t>
  </si>
  <si>
    <t>4.6</t>
  </si>
  <si>
    <t>Training Cost for 20 participant 
(Venue + lunch + coffee break)</t>
  </si>
  <si>
    <t>training</t>
  </si>
  <si>
    <t>4.7</t>
  </si>
  <si>
    <t>Accomodation of trainers</t>
  </si>
  <si>
    <t>per day</t>
  </si>
  <si>
    <t>4.8</t>
  </si>
  <si>
    <t>Child friendly space</t>
  </si>
  <si>
    <t>4.9</t>
  </si>
  <si>
    <t>Hotline</t>
  </si>
  <si>
    <t xml:space="preserve">Sub-total  4 Other costs  </t>
  </si>
  <si>
    <t>Sub-total  5  Administrative costs (10%)</t>
  </si>
  <si>
    <t>Sub-total  5  Administrative costs</t>
  </si>
  <si>
    <t>TOTAL DIRECT COSTS OF THE PROJET (1 to 5)</t>
  </si>
  <si>
    <t>FINANCING PLAN of the PROJECT</t>
  </si>
  <si>
    <t>Requested*</t>
  </si>
  <si>
    <t>Raised*</t>
  </si>
  <si>
    <t>Percentage</t>
  </si>
  <si>
    <t>Local currency</t>
  </si>
  <si>
    <t>Year 1</t>
  </si>
  <si>
    <t>Year 2</t>
  </si>
  <si>
    <t>Year 3</t>
  </si>
  <si>
    <t>Total</t>
  </si>
  <si>
    <t>Discrepancy</t>
  </si>
  <si>
    <t>euros</t>
  </si>
  <si>
    <t>Total  (euros)</t>
  </si>
  <si>
    <t>Requested grant to the Fondation de France</t>
  </si>
  <si>
    <t>x</t>
  </si>
  <si>
    <t>TOTAL RESOURCES</t>
  </si>
  <si>
    <t>* tick relevant box</t>
  </si>
  <si>
    <t xml:space="preserve">Check sum (total direct costs and total income must equal zero) </t>
  </si>
  <si>
    <t>No</t>
  </si>
  <si>
    <t>Budget</t>
  </si>
  <si>
    <t>REF</t>
  </si>
  <si>
    <t>no. of vouch-er</t>
  </si>
  <si>
    <t>Internal voucher number of the
Recipient</t>
  </si>
  <si>
    <t>Date of 
voucher</t>
  </si>
  <si>
    <t>Name of the Recipient
from voucher/evidence</t>
  </si>
  <si>
    <t>Reason for payment
(detailled content of voucher/evidence)</t>
  </si>
  <si>
    <t>Currency 
of voucher</t>
  </si>
  <si>
    <t xml:space="preserve">Amount 
of voucher
</t>
  </si>
  <si>
    <t>Exchange rate
(according EU currency converter or exchange of funds)</t>
  </si>
  <si>
    <t>Expenditure in the currency of Grant Agreement
€</t>
  </si>
  <si>
    <t>Year</t>
  </si>
  <si>
    <t>Period</t>
  </si>
  <si>
    <t>S2400800388</t>
  </si>
  <si>
    <t>F09683</t>
  </si>
  <si>
    <t xml:space="preserve">Social Security  </t>
  </si>
  <si>
    <t>MOHAMMAD YASSER MALATI</t>
  </si>
  <si>
    <t>MOHAMMAD YASSER MALATI/   Social Security August-2024 / 100% / ( Total Amount 13363.84 )</t>
  </si>
  <si>
    <t>TRY</t>
  </si>
  <si>
    <t>F09696</t>
  </si>
  <si>
    <t>Income Tax &amp; Stamp</t>
  </si>
  <si>
    <t>MOHAMMAD YASSER MALATI/   Income Tax &amp; Stamp Tax August-2024 / 100% / ( Total Amount 4149.53 )</t>
  </si>
  <si>
    <t>F09216</t>
  </si>
  <si>
    <t>Salary</t>
  </si>
  <si>
    <t>MOHAMMAD YASSER MALATI/   Bank Paid Net Salary August-2024 / 100% / ( Total Amount 34113.53 )</t>
  </si>
  <si>
    <t>S2400900388</t>
  </si>
  <si>
    <t>F07182</t>
  </si>
  <si>
    <t>MOHAMMAD YASSER MALATI/   Social Security September-2024 / 100% / ( Total Amount 13466.64 )</t>
  </si>
  <si>
    <t>F08575</t>
  </si>
  <si>
    <t>MOHAMMAD YASSER MALATI/   Bank Paid Net Salary September-2024 / 100% / ( Total Amount 32702.31 )</t>
  </si>
  <si>
    <t>F05725</t>
  </si>
  <si>
    <t>MOHAMMAD YASSER MALATI/   Income Tax &amp; Stamp Tax September-2024 / 100% / ( Total Amount 5560.76 )</t>
  </si>
  <si>
    <t>F07098</t>
  </si>
  <si>
    <t xml:space="preserve">SGK Discount </t>
  </si>
  <si>
    <t>MOHAMMAD YASSER MALATI/   SGK Discount September-2024 / 100% / ( Total Amount 55.72 )</t>
  </si>
  <si>
    <t>S2401000388</t>
  </si>
  <si>
    <t>F07075</t>
  </si>
  <si>
    <t>MOHAMMAD YASSER MALATI/   Social Security October-2024 / 100% / ( Total Amount 13415 )</t>
  </si>
  <si>
    <t>F06413</t>
  </si>
  <si>
    <t>MOHAMMAD YASSER MALATI/   Income Tax &amp; Stamp Tax October-2024 / 100% / ( Total Amount 6159.4 )</t>
  </si>
  <si>
    <t>F09894</t>
  </si>
  <si>
    <t>MOHAMMAD YASSER MALATI/   Bank Paid Net Salary October-2024 / 100% / ( Total Amount 32127.33 )</t>
  </si>
  <si>
    <t>MOHAMMAD YASSER MALATI/   SGK Discount October-2024 / 100% / ( Total Amount 60.6 )</t>
  </si>
  <si>
    <t>S2401100388</t>
  </si>
  <si>
    <t>F12225</t>
  </si>
  <si>
    <t>MOHAMMAD YASSER MALATI/   Income Tax &amp; Stamp Tax November-2024 / 100% / ( Total Amount 6196.79 )</t>
  </si>
  <si>
    <t>F12803</t>
  </si>
  <si>
    <t>MOHAMMAD YASSER MALATI/   Social Security November-2024 / 100% / ( Total Amount 13466.64 )</t>
  </si>
  <si>
    <t>F10820</t>
  </si>
  <si>
    <t>MOHAMMAD YASSER MALATI/   Bank Paid Net Salary November-2024 / 100% / ( Total Amount 32066.28 )</t>
  </si>
  <si>
    <t>F15060</t>
  </si>
  <si>
    <t>MOHAMMAD YASSER MALATI/   SGK Discount December-2024 / 100% / ( Total Amount 59.04 )</t>
  </si>
  <si>
    <t>S2401200388</t>
  </si>
  <si>
    <t>F15218</t>
  </si>
  <si>
    <t>MOHAMMAD YASSER MALATI/   Bank Paid Net Salary December-2024 / 100% / ( Total Amount 32127.33 )</t>
  </si>
  <si>
    <t>MOHAMMAD YASSER MALATI/   Social Security December-2024 / 100% / ( Total Amount 13415 )</t>
  </si>
  <si>
    <t>MOHAMMAD YASSER MALATI/   Income Tax &amp; Stamp Tax December-2024 / 100% / ( Total Amount 6159.4 )</t>
  </si>
  <si>
    <t>S2401000364</t>
  </si>
  <si>
    <t>F09987</t>
  </si>
  <si>
    <t>YASEMIN TAHA</t>
  </si>
  <si>
    <t>YASEMIN TAHA/   Bank Paid Net Salary October-2024 / 100% / ( Total Amount 26390.77 )</t>
  </si>
  <si>
    <t>S2400800364</t>
  </si>
  <si>
    <t>YASEMIN TAHA/   Social Security August-2024 / 29.825% / ( Total Amount 10146.34 )</t>
  </si>
  <si>
    <t>YASEMIN TAHA/   Income Tax &amp; Stamp Tax August-2024 / 29.825% / ( Total Amount 1992.03 )</t>
  </si>
  <si>
    <t>S2400900364</t>
  </si>
  <si>
    <t>YASEMIN TAHA/   Social Security September-2024 / 100% / ( Total Amount 10224.39 )</t>
  </si>
  <si>
    <t>F08627</t>
  </si>
  <si>
    <t>YASEMIN TAHA/   Bank Paid Net Salary September-2024 / 100% / ( Total Amount 27856.03 )</t>
  </si>
  <si>
    <t>YASEMIN TAHA/   Income Tax &amp; Stamp Tax September-2024 / 100% / ( Total Amount 1992.03 )</t>
  </si>
  <si>
    <t>YASEMIN TAHA/   SGK Discount September-2024 / 100% / ( Total Amount 42.31 )</t>
  </si>
  <si>
    <t>YASEMIN TAHA/   Social Security October-2024 / 100% / ( Total Amount 10172.75 )</t>
  </si>
  <si>
    <t>YASEMIN TAHA/   Income Tax &amp; Stamp Tax October-2024 / 100% / ( Total Amount 3480.96 )</t>
  </si>
  <si>
    <t>F09263</t>
  </si>
  <si>
    <t>YASEMIN TAHA/   Bank Paid Net Salary August-2024 / 29.825% / ( Total Amount 27856.03 )</t>
  </si>
  <si>
    <t>YASEMIN TAHA/   SGK Discount October-2024 / 100% / ( Total Amount 45.95 )</t>
  </si>
  <si>
    <t>S2400900194</t>
  </si>
  <si>
    <t>FIRAS HAJ ISSA</t>
  </si>
  <si>
    <t>FIRAS HAJ ISSA/   Income Tax &amp; Stamp Tax September-2024 / 100% / ( Total Amount 6196.79 )</t>
  </si>
  <si>
    <t>F08781</t>
  </si>
  <si>
    <t>FIRAS HAJ ISSA/   Bank Paid Net Salary September-2024 / 100% / ( Total Amount 32066.28 )</t>
  </si>
  <si>
    <t>FIRAS HAJ ISSA/   Social Security September-2024 / 100% / ( Total Amount 13466.64 )</t>
  </si>
  <si>
    <t>FIRAS HAJ ISSA/   SGK Discount September-2024 / 100% / ( Total Amount 55.72 )</t>
  </si>
  <si>
    <t>S2401000194</t>
  </si>
  <si>
    <t>FIRAS HAJ ISSA/   Social Security October-2024 / 100% / ( Total Amount 13415 )</t>
  </si>
  <si>
    <t>F09824</t>
  </si>
  <si>
    <t>FIRAS HAJ ISSA/   Bank Paid Net Salary October-2024 / 100% / ( Total Amount 32127.33 )</t>
  </si>
  <si>
    <t>FIRAS HAJ ISSA/   Income Tax &amp; Stamp Tax October-2024 /100% / ( Total Amount 6159.4 )</t>
  </si>
  <si>
    <t>FIRAS HAJ ISSA/   SGK Discount October-2024 / 100% / ( Total Amount 60.6 ) 60%</t>
  </si>
  <si>
    <t>S2400900365</t>
  </si>
  <si>
    <t>HULUD ELOKUS</t>
  </si>
  <si>
    <t>HULUD ELOKUS/   Social Security September-2024 / 34.921% / ( Total Amount 21457.64 )</t>
  </si>
  <si>
    <t>F08619</t>
  </si>
  <si>
    <t xml:space="preserve">Pension </t>
  </si>
  <si>
    <t>HULUD ELOKUS/   Pension Payment September-2024 / 34.921% / ( Total Amount 1965 )</t>
  </si>
  <si>
    <t>HULUD ELOKUS/   Income Tax &amp; Stamp Tax September-2024 / 34.921% / ( Total Amount 11981.78 )</t>
  </si>
  <si>
    <t>F08795</t>
  </si>
  <si>
    <t>HULUD ELOKUS/   Bank Paid Net Salary September-2024 / 34.921% / ( Total Amount 45056.29 )</t>
  </si>
  <si>
    <t>HULUD ELOKUS/   SGK Discount September-2024 / 34.921% / ( Total Amount 88.79 )</t>
  </si>
  <si>
    <t>S2401000365</t>
  </si>
  <si>
    <t>HULUD ELOKUS/   Social Security October-2024 / 28.889% / ( Total Amount 19943.28 ) / 28 Days</t>
  </si>
  <si>
    <t>HULUD ELOKUS/   Income Tax &amp; Stamp Tax October-2024 / 28.889% / ( Total Amount 10885.48 ) / 28 Days</t>
  </si>
  <si>
    <t>F09845</t>
  </si>
  <si>
    <t>HULUD ELOKUS/   Bank Paid Net Salary October-2024 / 28.889% / ( Total Amount 43871.82 ) / 28 Days</t>
  </si>
  <si>
    <t>HULUD ELOKUS/   SGK Discount October-2024 / 28.889% / ( Total Amount 90.09 ) / 28 Days</t>
  </si>
  <si>
    <t>S2401100365</t>
  </si>
  <si>
    <t>F10782</t>
  </si>
  <si>
    <t>HULUD ELOKUS/   Bank Paid Net Salary November-2024 / 27.843% / ( Total Amount 27376.02 ) / 12 Days</t>
  </si>
  <si>
    <t>HULUD ELOKUS/   Social Security November-2024 / 27.843% / ( Total Amount 11718.79 ) / 12 Days</t>
  </si>
  <si>
    <t>HULUD ELOKUS/   Income Tax &amp; Stamp Tax November-2024 / 27.843% / ( Total Amount 4931.45 ) / 12 Days</t>
  </si>
  <si>
    <t>HULUD ELOKUS/   SGK Discount  Nov-2024 / 27.843% / ( Total Amount 51.38 ) / 12 Days</t>
  </si>
  <si>
    <t>S2401200365</t>
  </si>
  <si>
    <t>HULUD ELOKUS/   Social Security December-2024 / 10% / ( Total Amount 11676 ) / 12 Days</t>
  </si>
  <si>
    <t>F03540</t>
  </si>
  <si>
    <t>HULUD ELOKUS/   Bank Paid Net Salary December-2024 / 10% / ( Total Amount 27295.92 ) / 12 Days</t>
  </si>
  <si>
    <t>HULUD ELOKUS/   Income Tax &amp; Stamp Tax December-2024 / 10% / ( Total Amount 4900.47 ) / 12 Days</t>
  </si>
  <si>
    <t>S2411000334</t>
  </si>
  <si>
    <t>PTT</t>
  </si>
  <si>
    <t>PTT USD</t>
  </si>
  <si>
    <t>PTT- USD</t>
  </si>
  <si>
    <t>Commission Fees /  ABDULLAH SALAL / Case Manager / Salary of  September-2024 Net Salary Paid by Bank  for 29 days / 628.33 USD</t>
  </si>
  <si>
    <t>USD</t>
  </si>
  <si>
    <t>S2400900449</t>
  </si>
  <si>
    <t>ABDULLAH SALAL USD</t>
  </si>
  <si>
    <t>ABDULLAH SALAL / Case Manager / Salary of  September-2024 Net Salary Paid by Bank  for 29 days / 628.33 USD</t>
  </si>
  <si>
    <t>S2401000449</t>
  </si>
  <si>
    <t>ABDULLAH SALAL / Case Manager / Salary of  October-2024 Net Salary Paid by Bank  / 650 USD</t>
  </si>
  <si>
    <t>S2411000434</t>
  </si>
  <si>
    <t>Commission fees / ABDULLAH SALAL / Case Manager / Salary of  October-2024 Net Salary Paid by Bank  / 650 USD</t>
  </si>
  <si>
    <t>S2411000635</t>
  </si>
  <si>
    <t>Commission fees / ABDULLAH SALAL / Case Manager / Salary of  November-2024 Net Salary Paid by Bank  / 650 USD</t>
  </si>
  <si>
    <t>S2401100449</t>
  </si>
  <si>
    <t>ABDULLAH SALAL / Case Manager / Salary of  November-2024 Net Salary Paid by Bank  / 650 USD</t>
  </si>
  <si>
    <t>S2411000659</t>
  </si>
  <si>
    <t xml:space="preserve">Commission fees </t>
  </si>
  <si>
    <t>1% PTT Fees of ABDULLAH SALAL / Case Manager / Salary of  December-2024 Net Salary Paid by Bank  / 650 USD</t>
  </si>
  <si>
    <t>S2401200449</t>
  </si>
  <si>
    <t>ABDULLAH SALAL / Case Manager / Salary of  December-2024 Net Salary Paid by Bank  / 650 USD</t>
  </si>
  <si>
    <t>S2400900151</t>
  </si>
  <si>
    <t>SAMA AL MATAR USD</t>
  </si>
  <si>
    <t>SAMA AL MATAR / Outreach Worker / Salary of  September-2024 Net Salary Paid by Bank  for 9 days / 150 USD</t>
  </si>
  <si>
    <t>Commission Fees /  SAMA AL MATAR / Outreach Worker / Salary of  September-2024 Net Salary Paid by Bank  for 9 days / 150 USD</t>
  </si>
  <si>
    <t>S2401000151</t>
  </si>
  <si>
    <t>SAMA AL MATAR / Case Officer / Salary of  October-2024 Net Salary Paid by Bank  / 500 USD</t>
  </si>
  <si>
    <t>Commission fees / SAMA AL MATAR / Case Officer / Salary of  October-2024 Net Salary Paid by Bank  / 500 USD</t>
  </si>
  <si>
    <t>Commission fees / SAMA AL MATAR / Case Officer / Salary of  November-2024 Net Salary Paid by Bank  for 12 days / 200 USD</t>
  </si>
  <si>
    <t>S2401100151</t>
  </si>
  <si>
    <t>SAMA AL MATAR / Case Officer / Salary of  November-2024 Net Salary Paid by Bank  for 12 days / 200 USD</t>
  </si>
  <si>
    <t>Commission Fees /  MELAK SEBSABE / PSS Officer / Salary of  September-2024 Net Salary Paid by Bank  for 1 days / 16.67 USD</t>
  </si>
  <si>
    <t>S2400900459</t>
  </si>
  <si>
    <t>MELAK SEBSABE USD</t>
  </si>
  <si>
    <t>MELAK SEBSABE / PSS Officer / Salary of  September-2024 Net Salary Paid by Bank  for 1 days / 16.67 USD</t>
  </si>
  <si>
    <t>Commission fees / AHMAD ABDULLAH / Incluiosn Senior Officer / Salary of  October-2024 Net Salary Paid by Bank  / 650 USD</t>
  </si>
  <si>
    <t>S2401000461</t>
  </si>
  <si>
    <t>AHMAD ABDULLAH USD</t>
  </si>
  <si>
    <t>AHMAD ABDULLAH / Incluiosn Senior Officer / Salary of  October-2024 Net Salary Paid by Bank  / 650 USD</t>
  </si>
  <si>
    <t>Commission fees / AHMAD ABDULLAH / Incluiosn Senior Officer / Salary of  November-2024 Net Salary Paid by Bank  / 650 USD</t>
  </si>
  <si>
    <t>S2401100461</t>
  </si>
  <si>
    <t>AHMAD ABDULLAH / Incluiosn Senior Officer / Salary of  November-2024 Net Salary Paid by Bank  / 650 USD</t>
  </si>
  <si>
    <t>S2401200461</t>
  </si>
  <si>
    <t>AHMAD ABDULLAH / Incluiosn Senior Officer / Salary of  December-2024 Net Salary Paid by Bank  / 650 USD</t>
  </si>
  <si>
    <t>1% PTT Fees of AHMAD ABDULLAH / Incluiosn Senior Officer / Salary of  December-2024 Net Salary Paid by Bank  / 650 USD</t>
  </si>
  <si>
    <t>Commission fees / EMAN JAQLA / SNR Officer / Salary of  November-2024 Net Salary Paid by Bank  for 14 days / 233.33 USD</t>
  </si>
  <si>
    <t>S2401100472</t>
  </si>
  <si>
    <t>EMAN JAQLA USD</t>
  </si>
  <si>
    <t>EMAN JAQLA / SNR Officer / Salary of  November-2024 Net Salary Paid by Bank  for 14 days / 233.33 USD</t>
  </si>
  <si>
    <t>S2401200472</t>
  </si>
  <si>
    <t>EMAN JAQLA / SNR Officer / Salary of  December-2024 Net Salary Paid by Bank  / 500 USD</t>
  </si>
  <si>
    <t>1% PTT Fees of EMAN JAQLA / SNR Officer / Salary of  December-2024 Net Salary Paid by Bank  / 500 USD</t>
  </si>
  <si>
    <t>Commission Fees /  ALAA ELJASIM ELMUHAMMET / Case Worker / Salary of  September-2024 Net Salary Paid by Bank  for 9 days / 105 USD</t>
  </si>
  <si>
    <t>Commission Fees / NASER EL SEYH / Field Worker / Salary of  September-2024 Net Salary Paid by Bank  for 9 days / 105 USD</t>
  </si>
  <si>
    <t>Commission Fees /  MAISAA NAJJAR / Case Worker / Salary of  September-2024 Net Salary Paid by Bank  for 13 days / 151.67 USD</t>
  </si>
  <si>
    <t>Commission Fees /  ASIM EL NEHAR / Case Worker / Salary of  September-2024 Net Salary Paid by Bank  for 12 days / 140 USD</t>
  </si>
  <si>
    <t>S2400900233</t>
  </si>
  <si>
    <t>NASER EL SEYH USD</t>
  </si>
  <si>
    <t>NASER EL SEYH / Field Worker / Salary of  September-2024 Net Salary Paid by Bank  for 9 days / 105 USD</t>
  </si>
  <si>
    <t>S2400900458</t>
  </si>
  <si>
    <t>ALAA ELJASIM ELMUHAMMET USD</t>
  </si>
  <si>
    <t>ALAA ELJASIM ELMUHAMMET / Case Worker / Salary of  September-2024 Net Salary Paid by Bank  for 9 days / 105 USD</t>
  </si>
  <si>
    <t>S2400900457</t>
  </si>
  <si>
    <t>ASIM EL NEHAR USD</t>
  </si>
  <si>
    <t>ASIM EL NEHAR / Case Worker / Salary of  September-2024 Net Salary Paid by Bank  for 12 days / 140 USD</t>
  </si>
  <si>
    <t>S2400900456</t>
  </si>
  <si>
    <t>MAISAA NAJJAR USD</t>
  </si>
  <si>
    <t>MAISAA NAJJAR / Case Worker / Salary of  September-2024 Net Salary Paid by Bank  for 13 days / 151.67 USD</t>
  </si>
  <si>
    <t>Commission fees / MAISAA NAJJAR / Case Worker / Salary of  October-2024 Net Salary Paid by Bank  / 350 USD</t>
  </si>
  <si>
    <t>Commission fees / ASIM EL NEHAR / Case Worker / Salary of  October-2024 Net Salary Paid by Bank  / 350 USD</t>
  </si>
  <si>
    <t>Commission fees / ALAA ELJASIM ELMUHAMMET / Case Worker / Salary of  October-2024 Net Salary Paid by Bank  for 8 days / 93.33 USD</t>
  </si>
  <si>
    <t>S2401000456</t>
  </si>
  <si>
    <t>MAISAA NAJJAR / Case Worker / Salary of  October-2024 Net Salary Paid by Bank  / 350 USD</t>
  </si>
  <si>
    <t>S2401000233</t>
  </si>
  <si>
    <t>NASER EL SEYH / Field Worker / Salary of  October-2024 Net Salary Paid by Bank  for 29 days / 338.33 USD</t>
  </si>
  <si>
    <t>S2401000457</t>
  </si>
  <si>
    <t>ASIM EL NEHAR / Case Worker / Salary of  October-2024 Net Salary Paid by Bank  / 350 USD</t>
  </si>
  <si>
    <t>Commission fees / NASER EL SEYH / Field Worker / Salary of  October-2024 Net Salary Paid by Bank  for 29 days / 338.33 USD</t>
  </si>
  <si>
    <t>S2401000458</t>
  </si>
  <si>
    <t>ALAA ELJASIM ELMUHAMMET / Case Worker / Salary of  October-2024 Net Salary Paid by Bank  for 8 days / 93.33 USD</t>
  </si>
  <si>
    <t>Commission fees / ASIM EL NEHAR / Case Worker / Salary of  November-2024 Net Salary Paid by Bank  / 350 USD</t>
  </si>
  <si>
    <t>Commission fees / NASER EL SEYH / Case Worker / Salary of  November-2024 Net Salary Paid by Bank  / 350 USD</t>
  </si>
  <si>
    <t>Commission fees / MAISAA NAJJAR / Case Worker / Salary of  November-2024 Net Salary Paid by Bank  / 350 USD</t>
  </si>
  <si>
    <t>S2401100456</t>
  </si>
  <si>
    <t>MAISAA NAJJAR / Case Worker / Salary of  November-2024 Net Salary Paid by Bank  / 350 USD</t>
  </si>
  <si>
    <t>S2401100457</t>
  </si>
  <si>
    <t>ASIM EL NEHAR / Case Worker / Salary of  November-2024 Net Salary Paid by Bank  / 350 USD</t>
  </si>
  <si>
    <t>S2401100233</t>
  </si>
  <si>
    <t>NASER EL SEYH / Case Worker / Salary of  November-2024 Net Salary Paid by Bank  / 350 USD</t>
  </si>
  <si>
    <t>S2401200473</t>
  </si>
  <si>
    <t>SAWSAN ALSBEEA USD</t>
  </si>
  <si>
    <t>SAWSAN ALSBEEA / Outreach Worker / Salary of  December-2024 Net Salary Paid by Bank  / 350 USD</t>
  </si>
  <si>
    <t>S2401200456</t>
  </si>
  <si>
    <t>MAISAA NAJJAR / Case Worker / Salary of  December-2024 Net Salary Paid by Bank  / 350 USD</t>
  </si>
  <si>
    <t>S2401200457</t>
  </si>
  <si>
    <t>ASIM EL NEHAR / Case Worker / Salary of  December-2024 Net Salary Paid by Bank  / 350 USD</t>
  </si>
  <si>
    <t>S2401200233</t>
  </si>
  <si>
    <t>NASER EL SEYH / Case Worker / Salary of  December-2024 Net Salary Paid by Bank  / 350 USD</t>
  </si>
  <si>
    <t>1% PTT Fees of MAISAA NAJJAR / Case Worker / Salary of  December-2024 Net Salary Paid by Bank  / 350 USD</t>
  </si>
  <si>
    <t>1% PTT Fees of ASIM EL NEHAR / Case Worker / Salary of  December-2024 Net Salary Paid by Bank  / 350 USD</t>
  </si>
  <si>
    <t>1% PTT Fees of NASER EL SEYH / Case Worker / Salary of  December-2024 Net Salary Paid by Bank  / 350 USD</t>
  </si>
  <si>
    <t>1% PTT Fees of SAWSAN ALSBEEA / Outreach Worker / Salary of  December-2024 Net Salary Paid by Bank  / 350 USD</t>
  </si>
  <si>
    <t>S2401000465</t>
  </si>
  <si>
    <t>MOHAMAD RAMI AL KHALIL USD</t>
  </si>
  <si>
    <t>MOHAMAD RAMI AL KHALIL / PSS Facilitator / Salary of  October-2024 Net Salary Paid by Bank  for 16 days / 186.67 USD</t>
  </si>
  <si>
    <t>Commission fees / MUHAMMED EKFEYYAD / PSS Facilitator / Salary of  October-2024 Net Salary Paid by Bank  for 23 days / 268.33 USD</t>
  </si>
  <si>
    <t>Commission fees / MOHAMAD RAMI AL KHALIL / PSS Facilitator / Salary of  October-2024 Net Salary Paid by Bank  for 16 days / 186.67 USD</t>
  </si>
  <si>
    <t>Commission fees / RAHMA KRAMI / PSS Facilitator / Salary of  October-2024 Net Salary Paid by Bank  for 5 days / 58.33 USD</t>
  </si>
  <si>
    <t>S2401000469</t>
  </si>
  <si>
    <t>RAHMA KRAMI USD</t>
  </si>
  <si>
    <t>RAHMA KRAMI / PSS Facilitator / Salary of  October-2024 Net Salary Paid by Bank  for 5 days / 58.33 USD</t>
  </si>
  <si>
    <t>S2401000463</t>
  </si>
  <si>
    <t>MUHAMMED EKFEYYAD USD</t>
  </si>
  <si>
    <t>MUHAMMED EKFEYYAD / PSS Facilitator / Salary of  October-2024 Net Salary Paid by Bank  for 23 days / 268.33 USD</t>
  </si>
  <si>
    <t>Commission fees /  EMEL BEKAR / PSS Facilitator / Salary of  November-2024 Net Salary Paid by Bank  for 28 days / 326.67 USD</t>
  </si>
  <si>
    <t>Commission fees / RAHMA KRAMI / PSS Facilitator / Salary of  November-2024 Net Salary Paid by Bank  / 350 USD</t>
  </si>
  <si>
    <t>Commission fees / MUHAMMED EKFEYYAD / PSS Facilitator / Salary of  November-2024 Net Salary Paid by Bank  / 350 USD</t>
  </si>
  <si>
    <t>Commission fees / MOHAMAD RAMI AL KHALIL / PSS Facilitator / Salary of  November-2024 Net Salary Paid by Bank  for 28 days / 326.67 USD</t>
  </si>
  <si>
    <t>S2401100463</t>
  </si>
  <si>
    <t>MUHAMMED EKFEYYAD / PSS Facilitator / Salary of  November-2024 Net Salary Paid by Bank  / 350 USD</t>
  </si>
  <si>
    <t>S2401100465</t>
  </si>
  <si>
    <t>MOHAMAD RAMI AL KHALIL / PSS Facilitator / Salary of  November-2024 Net Salary Paid by Bank  for 28 days / 326.67 USD</t>
  </si>
  <si>
    <t>S2401100469</t>
  </si>
  <si>
    <t>RAHMA KRAMI / PSS Facilitator / Salary of  November-2024 Net Salary Paid by Bank  / 350 USD</t>
  </si>
  <si>
    <t>S2401100470</t>
  </si>
  <si>
    <t>EMEL BEKAR USD</t>
  </si>
  <si>
    <t>EMEL BEKAR / PSS Facilitator / Salary of  November-2024 Net Salary Paid by Bank  for 28 days / 326.67 USD</t>
  </si>
  <si>
    <t>S2401200469</t>
  </si>
  <si>
    <t>RAHMA KRAMI / PSS Facilitator / Salary of  December-2024 Net Salary Paid by Bank  / 350 USD</t>
  </si>
  <si>
    <t>1% PTT Fees of RAHMA KRAMI / PSS Facilitator / Salary of  December-2024 Net Salary Paid by Bank  / 350 USD</t>
  </si>
  <si>
    <t>1% PTT Fees of MOHAMAD RAMI AL KHALIL / PSS Facilitator / Salary of  December-2024 Net Salary Paid by Bank  / 350 USD</t>
  </si>
  <si>
    <t>1% PTT Fees of MUHAMMED EKFEYYAD / PSS Facilitator / Salary of  December-2024 Net Salary Paid by Bank  / 350 USD</t>
  </si>
  <si>
    <t>S2401200465</t>
  </si>
  <si>
    <t>MOHAMAD RAMI AL KHALIL / PSS Facilitator / Salary of  December-2024 Net Salary Paid by Bank  / 350 USD</t>
  </si>
  <si>
    <t>S2401200463</t>
  </si>
  <si>
    <t>MUHAMMED EKFEYYAD / PSS Facilitator / Salary of  December-2024 Net Salary Paid by Bank  / 350 USD</t>
  </si>
  <si>
    <t>S2401200470</t>
  </si>
  <si>
    <t>EMEL BEKAR / PSS Facilitator / Salary of  December-2024 Net Salary Paid by Bank  for 29 days / 338.33 USD</t>
  </si>
  <si>
    <t>1% PTT Fees of EMEL BEKAR / PSS Facilitator / Salary of  December-2024 Net Salary Paid by Bank  for 29 days / 338.33 USD</t>
  </si>
  <si>
    <t>Commission Fees / SAED EL HABBUS / Media Officer / Salary of  September-2024 Net Salary Paid by Bank  for 29 days / 483.33 USD</t>
  </si>
  <si>
    <t>S2400900448</t>
  </si>
  <si>
    <t>SAED EL HABBUS USD</t>
  </si>
  <si>
    <t>SAED EL HABBUS / Media Officer / Salary of  September-2024 Net Salary Paid by Bank  for 29 days / 483.33 USD</t>
  </si>
  <si>
    <t>Commission fees / SAED EL HABBUS / Media Officer / Salary of  October-2024 Net Salary Paid by Bank  / 500 USD</t>
  </si>
  <si>
    <t>S2401000448</t>
  </si>
  <si>
    <t>SAED EL HABBUS / Media Officer / Salary of  October-2024 Net Salary Paid by Bank  / 500 USD</t>
  </si>
  <si>
    <t>Commission fees / SAED EL HABBUS / Media Officer / Salary of  November-2024 Net Salary Paid by Bank  / 500 USD</t>
  </si>
  <si>
    <t>S2401100448</t>
  </si>
  <si>
    <t>SAED EL HABBUS / Media Officer / Salary of  November-2024 Net Salary Paid by Bank  / 500 USD</t>
  </si>
  <si>
    <t>S2401200448</t>
  </si>
  <si>
    <t>SAED EL HABBUS / Media Officer / Salary of  December-2024 Net Salary Paid by Bank  / 500 USD</t>
  </si>
  <si>
    <t>1% PTT Fees of SAED EL HABBUS / Media Officer / Salary of  December-2024 Net Salary Paid by Bank  / 500 USD</t>
  </si>
  <si>
    <t>S2401000468</t>
  </si>
  <si>
    <t>ABDULHAMID JUMA USD</t>
  </si>
  <si>
    <t>ABDULHAMID JUMA / Driver  / Salary of  October-2024 Net Salary Paid by Bank  for 5 days / 33.33 USD</t>
  </si>
  <si>
    <t>Commission fees / ABDULHAMID JUMA / Driver  / Salary of  October-2024 Net Salary Paid by Bank  for 5 days / 33.33 USD</t>
  </si>
  <si>
    <t>S2411000623</t>
  </si>
  <si>
    <t>AZIZ AL AZO-USD</t>
  </si>
  <si>
    <t>2 Days fees for driver  / dayson 23rd &amp; 24th October 2024 / for a temporary position spanning two working /  30.00 USD x34.2011= 1026.033 Indicative Exchange Rates Announced at 15:30 on 23/10/2024by the Central Bank of Turkey / for -Oct-2024 30.00 USD/DPR1104558734/ Invoice#09502</t>
  </si>
  <si>
    <t>Commission fees / ABDULHAMID JUMA / Driver  / Salary of  November-2024 Net Salary Paid by Bank  / 200 USD</t>
  </si>
  <si>
    <t>S2401100194</t>
  </si>
  <si>
    <t>FIRAS HAJ ISSA/   Income Tax &amp; Stamp Tax November-2024 / 100% / ( Total Amount 6196.79 ) 50%</t>
  </si>
  <si>
    <t>S2401100468</t>
  </si>
  <si>
    <t>ABDULHAMID JUMA / Driver  / Salary of  November-2024 Net Salary Paid by Bank  / 200 USD</t>
  </si>
  <si>
    <t>FIRAS HAJ ISSA/   Bank Paid Net Salary November-2024 / 100% / ( Total Amount 32066.28 ) 50%</t>
  </si>
  <si>
    <t>FIRAS HAJ ISSA/   Social Security November-2024 / 100% / ( Total Amount 13466.64 ) 50%</t>
  </si>
  <si>
    <t>1% PTT Fees of ABDULHAMID JUMA / Driver  / Salary of  December-2024 Net Salary Paid by Bank  / 200 USD</t>
  </si>
  <si>
    <t>S2401200468</t>
  </si>
  <si>
    <t>ABDULHAMID JUMA / Driver  / Salary of  December-2024 Net Salary Paid by Bank  / 200 USD</t>
  </si>
  <si>
    <t>Commission fees / MUNTAZER NASIF / Cleaner / Salary of  November-2024 Net Salary Paid by Bank  for 13 days / 108.33 USD</t>
  </si>
  <si>
    <t>S2401100474</t>
  </si>
  <si>
    <t>MUNTAZER NASIF USD</t>
  </si>
  <si>
    <t>MUNTAZER NASIF / Cleaner / Salary of  November-2024 Net Salary Paid by Bank  for 13 days / 108.33 USD</t>
  </si>
  <si>
    <t>S2401200474</t>
  </si>
  <si>
    <t>MUNTAZER NASIF / Cleaner / Salary of  December-2024 Net Salary Paid by Bank  / 250 USD</t>
  </si>
  <si>
    <t>1% PTT Fees of MUNTAZER NASIF / Cleaner / Salary of  December-2024 Net Salary Paid by Bank  / 250 USD</t>
  </si>
  <si>
    <t>S2417100007</t>
  </si>
  <si>
    <t>ABDO AL ASSEAD (PORRIDGE FOR FUEL)-USD</t>
  </si>
  <si>
    <t>80 Liters / Fuel Filling for Cm /80* 0,90USD /+ Car Wash Cm/ DPR1714560778 / Invoice#026263</t>
  </si>
  <si>
    <t>S2417100004</t>
  </si>
  <si>
    <t>70 Liters  / Fuel Filling for H1 /70 * 0,9 / + Car Wash Cm + Car Wash H1/ DPR1714560772 /Invoice#026267</t>
  </si>
  <si>
    <t>S2417100005</t>
  </si>
  <si>
    <t>41 Liters / Fuel Filling for H1 / 41* 0,9 USD / + Car Wash Cm + Car Wash H1 / DPR1714560737 /  Invoice#026273</t>
  </si>
  <si>
    <t>S2417100006</t>
  </si>
  <si>
    <t>MOHAMAD DIAB MALDOAN-USD</t>
  </si>
  <si>
    <t>35 Liters  / Filling fuel for a cm car /35 L* 0,9 USD /  + replacing the cm battery / DPR1714560798 /Invoice#0751</t>
  </si>
  <si>
    <t>S2417100009</t>
  </si>
  <si>
    <t>72 Liters / Fuel Filling for H1/ DPR1714561970 /  Invoice#3156</t>
  </si>
  <si>
    <t>S2417100010</t>
  </si>
  <si>
    <t>Engine oil change cm, h1 + transmission oil change cm, h1 / 99.00USD x34.4642 = 3412.00 Indicative Exchange Rates Announced at 15:30 on 22/11/2024by the Central Bank of Turkey / for -Nov-2024 99 USD / DPR17145620100 / Invoice#3154</t>
  </si>
  <si>
    <t>S2417100011</t>
  </si>
  <si>
    <t>Fuel Filling for H1+ Car Wash H1. Invoice#3157</t>
  </si>
  <si>
    <t>S2417100013</t>
  </si>
  <si>
    <t>ABDULLAH DEK ( ALDEK TRADING COMPANY)-USD</t>
  </si>
  <si>
    <t>79 Liters Diesel / 79*39 TRY / Fuel Filling for H1 / INV#0036</t>
  </si>
  <si>
    <t>S2417100014</t>
  </si>
  <si>
    <t>4 cm high quality Cm car wheels.Invoice#3169</t>
  </si>
  <si>
    <t>S2417100002</t>
  </si>
  <si>
    <t>Sham AD.Agency -ABDULMNUM JAWOUYSH- USD</t>
  </si>
  <si>
    <t>Supplies Materials / Distribute to Beneficiaries / Roll up size 85 * 200 cm + Single side, A5 color Brochures printing + Poster + white wooden box designed for complaints +  Regular card cardboard  + PSEA Poster + A4 Brochures + PSEA Poster Adult + PSEA A4 Brochures + Table flags + Wall flags /PR#24-SYR-AZA-537 /INV#005601</t>
  </si>
  <si>
    <t>Commission fees / Supplies Materials / Distribute to Beneficiaries / Roll up size 85 * 200 cm + Single side, A5 color Brochures printing + Poster + white wooden box designed for complaints +  Regular card cardboard  + PSEA Poster + A4 Brochures + PSEA Poster Adult + PSEA A4 Brochures + Table flags + Wall flags /PR#24-SYR-AZA-537 /INV#005601</t>
  </si>
  <si>
    <t>S2411000632</t>
  </si>
  <si>
    <t>ALI AL SED ALI ( TAYBA TRADING) USD</t>
  </si>
  <si>
    <t>25 Vests  / for Sened Organization employees in A'zaz and Idlib regions /  northwest Syria + carrying / the new Sened Organization logo /PR#24-SYR-AZA-560/INV#1681</t>
  </si>
  <si>
    <t>S2417100003</t>
  </si>
  <si>
    <t>1682 + 1683 + 1684 + 1685</t>
  </si>
  <si>
    <t>One Set Montessori Tools and Materials for Project Activities / including 96 items / PR#24-SYR-AZA-535 /INVS# 1682 + 1683 + 1684 + 1685</t>
  </si>
  <si>
    <t>Commission fees / One Set Montessori Tools and Materials for Project Activities / including 96 items / PR#24-SYR-AZA-535 /INVS# 1682 + 1683 + 1684 + 1685</t>
  </si>
  <si>
    <t>S2417100001</t>
  </si>
  <si>
    <t>MAHMOUD AMOURİ( AL AMOURI BATTERIES)- USD</t>
  </si>
  <si>
    <t>Solar energy system and installing / 6 gauge solar panel 300 + Open voltage inverter device 4.2 + 40 M copper cables 10 + Fixed sheet iron + Electrical circuit breakers for protection + Electrical circuit breakers for charging  / for Azaz office /PR#24-SYR-AZA-549 /INV#3550</t>
  </si>
  <si>
    <t>S2417100008</t>
  </si>
  <si>
    <t>ALSHAMI ( MOHAMMED MUSTAFA ALASEEL)-USD</t>
  </si>
  <si>
    <t>2 Electric heater with an operating power range of 1000 to 3000 watts / DPR17145621100 / INV#0918</t>
  </si>
  <si>
    <t>Commission fees / Solar energy system and installing / 6 gauge solar panel 300 + Open voltage inverter device 4.2 + 40 M copper cables 10 + Fixed sheet iron + Electrical circuit breakers for protection + Electrical circuit breakers for charging  / for Azaz office /PR#24-SYR-AZA-549 /INV#3550</t>
  </si>
  <si>
    <t>S2411000631</t>
  </si>
  <si>
    <t>ABDULLAH DERVIS (AL SOROH COMPANY )-USD</t>
  </si>
  <si>
    <t>2000 Liters / high-quality heating fuel (Diesel)  / for Azaz office /  free of impurities + non-cohesive + non-freezing + and without unpleasant odors before or during ignition  / For  supplies and  consumables / 24-SYR-AZA-606 /INV#308</t>
  </si>
  <si>
    <t>S2417100012</t>
  </si>
  <si>
    <t>FADEL MUHAMMED ALHAJ ISSA (AL Fadel Company)-USD</t>
  </si>
  <si>
    <t>Beneficiary service / diesel heater with accessories + 25 liters of diesel / Invoice#0157</t>
  </si>
  <si>
    <t>S2416600084</t>
  </si>
  <si>
    <t>SALAH HASANO- USD</t>
  </si>
  <si>
    <t>1000 Liters / Monthly water bill for Azaz office covering November / 26.10 USD x34.2757 = 894.595 / for -Nov-2024 26.10 USD. Monthly water subscription to fill 6 water tanks, /DPR1664559727 /  Invoice#</t>
  </si>
  <si>
    <t>S2416600080</t>
  </si>
  <si>
    <t>One set of stationery  / for daily team use / Blue Pen high quality+ Adhesive tape + Glue Stick equivalent +A4 white paper + High-quality and safe electrical connections + High quality calculator + Plastic folder with a button + Transparent plastic files + A large, high-quality / PR#24-SYR-AZA-492 /INV#</t>
  </si>
  <si>
    <t>S2500100388</t>
  </si>
  <si>
    <t>229902 </t>
  </si>
  <si>
    <t>MOHAMMAD YASSER MALATI/   Social Security January-2025 / 100% / ( Total Amount 17647.67 )</t>
  </si>
  <si>
    <t>F02310</t>
  </si>
  <si>
    <t>MOHAMMAD YASSER MALATI/   Bank Paid Net Salary January-2025 / 100% / ( Total Amount 45512.72 )</t>
  </si>
  <si>
    <t xml:space="preserve"> SGK Discount </t>
  </si>
  <si>
    <t>MOHAMMAD YASSER MALATI/   SGK Discount January-2025 / 100% / ( Total Amount 77.38 )</t>
  </si>
  <si>
    <t>MOHAMMAD YASSER MALATI/   Income Tax &amp; Stamp Tax January-2025 / 100% / ( Total Amount 3766.38 )</t>
  </si>
  <si>
    <t>S2500200388</t>
  </si>
  <si>
    <t>F03316</t>
  </si>
  <si>
    <t>MOHAMMAD YASSER MALATI/   Social Security February-2025 / 100% / ( Total Amount 18293.18 )</t>
  </si>
  <si>
    <t>MOHAMMAD YASSER MALATI/   SGK Discount February-2025 / 100% / ( Total Amount 251.69 )</t>
  </si>
  <si>
    <t>F60092</t>
  </si>
  <si>
    <t>MOHAMMAD YASSER MALATI/   Income Tax &amp; Stamp Tax February-2025 / 100% / ( Total Amount 3809.07 )</t>
  </si>
  <si>
    <t>F11531</t>
  </si>
  <si>
    <t>MOHAMMAD YASSER MALATI/   Bank Paid Net Salary February-2025 / 100% / ( Total Amount 45422.63 )</t>
  </si>
  <si>
    <t>S2500100364</t>
  </si>
  <si>
    <t>31-01-2025</t>
  </si>
  <si>
    <t>YASEMIN TAHA/   Social Security January-2025 / 100% / ( Total Amount 13750.42 )</t>
  </si>
  <si>
    <t>YASEMIN TAHA/   SGK Discount January-2025 / 100% / ( Total Amount 60.3 )</t>
  </si>
  <si>
    <t>YASEMIN TAHA/   Income Tax &amp; Stamp Tax January-2025 / 100% / ( Total Amount 2158.81 )</t>
  </si>
  <si>
    <t>F02487</t>
  </si>
  <si>
    <t>YASEMIN TAHA/   Bank Paid Net Salary January-2025 / 100% / ( Total Amount 37005.29 )</t>
  </si>
  <si>
    <t>S2500200364</t>
  </si>
  <si>
    <t>YASEMIN TAHA/   SGK Discount February-2025 / 100% / ( Total Amount 196.43 )</t>
  </si>
  <si>
    <t>YASEMIN TAHA/   Social Security February-2025 / 100% / ( Total Amount 14276.93 )</t>
  </si>
  <si>
    <t>YASEMIN TAHA/   Income Tax &amp; Stamp Tax February-2025 / 100% / ( Total Amount 2201.5 )</t>
  </si>
  <si>
    <t>F11804</t>
  </si>
  <si>
    <t>28-02-2025</t>
  </si>
  <si>
    <t>YASEMIN TAHA/   Bank Paid Net Salary February-2025 / 100% / ( Total Amount 36915.2 )</t>
  </si>
  <si>
    <t>S2500100123</t>
  </si>
  <si>
    <t>Ismail Kasem</t>
  </si>
  <si>
    <t>ISMAIL KASEM/   Income Tax &amp; Stamp Tax January-2025 / 50% / ( Total Amount 6968.01 )</t>
  </si>
  <si>
    <t>ISMAIL KASEM/   Social Security January-2025 / 50% / ( Total Amount 25409.42 )</t>
  </si>
  <si>
    <t>F02290</t>
  </si>
  <si>
    <t>ISMAIL KASEM/   Bank Paid Net Salary January-2025 / 50% / ( Total Amount 62456.08 )</t>
  </si>
  <si>
    <t>S2500200123</t>
  </si>
  <si>
    <t>ISMAIL KASEM/   Social Security February-2025 / 50% / ( Total Amount 26291.93 )</t>
  </si>
  <si>
    <t>SGK Discount</t>
  </si>
  <si>
    <t>ISMAIL KASEM/   SGK Discount February-2025 / 50% / ( Total Amount 361.74 )</t>
  </si>
  <si>
    <t>F11520</t>
  </si>
  <si>
    <t>ISMAIL KASEM/   Bank Paid Net Salary February-2025 / 50% / ( Total Amount 62366 )</t>
  </si>
  <si>
    <t>ISMAIL KASEM/   Income Tax &amp; Stamp Tax February-2025 / 50% / ( Total Amount 7010.7 )</t>
  </si>
  <si>
    <t>S2500100365</t>
  </si>
  <si>
    <t>F02278</t>
  </si>
  <si>
    <t>HULUD ELOKUS/   Bank Paid Net Salary January-2025 / 25% / ( Total Amount 37831.94 ) / 12 Days</t>
  </si>
  <si>
    <t>HULUD ELOKUS/   SGK Discount January-2025 / 25% / ( Total Amount 65.13 ) / 12 Days</t>
  </si>
  <si>
    <t>HULUD ELOKUS/   Income Tax &amp; Stamp Tax January-2025 / 25% / ( Total Amount 2613.57 ) / 12 Days</t>
  </si>
  <si>
    <t>HULUD ELOKUS/   Social Security January-2025 / 25% / ( Total Amount 14852.9 ) / 12 Days</t>
  </si>
  <si>
    <t>S2500200365</t>
  </si>
  <si>
    <t>HULUD ELOKUS/   Social Security February-2025 / 25% / ( Total Amount 15491.66 ) / 12 Days</t>
  </si>
  <si>
    <t>F11506</t>
  </si>
  <si>
    <t>HULUD ELOKUS/   Bank Paid Net Salary February-2025 / 25% / ( Total Amount 38224.31 ) / 12 Days</t>
  </si>
  <si>
    <t>HULUD ELOKUS/   SGK Discount February-2025 / 25% / ( Total Amount 213.14 ) / 12 Days</t>
  </si>
  <si>
    <t>HULUD ELOKUS/   Income Tax &amp; Stamp Tax February-2025 / 25% / ( Total Amount 2687.71 ) / 12 Days</t>
  </si>
  <si>
    <t>S2400120138</t>
  </si>
  <si>
    <t>MUHAMED VALI- USD</t>
  </si>
  <si>
    <t>MUHAMED VALI/   Case officer / Bank Paid Net Salary Dec-2024 / 100% / ( Total Amount 550 USD  )</t>
  </si>
  <si>
    <t>S2500100138</t>
  </si>
  <si>
    <t>MUHAMED VALI /  Case officer / Bank Paid Net Salary Jan-2025 / 100% / ( Total Amount 610 USD  )</t>
  </si>
  <si>
    <t>S2500100449</t>
  </si>
  <si>
    <t>ABDULLAH SALAL / Case Manager / Salary of  January-2025 Net Salary Paid by Bank  / 710 USD</t>
  </si>
  <si>
    <t>S2511000011</t>
  </si>
  <si>
    <t>PTT Transfer fees as 1% for ABDULLAH SALAL / Case Manager / Salary of  January-2025  / 7.1 USD</t>
  </si>
  <si>
    <t>S2500200449</t>
  </si>
  <si>
    <t>ABDULLAH SALAL / Case Manager / Salary of  February-2025 Net Salary Paid by Bank  / 710 USD</t>
  </si>
  <si>
    <t>S2511100054</t>
  </si>
  <si>
    <t>PTT Fees as 1% of ABDULLAH SALAL / Case Manager / Salary of  February-2025 Net Salary Paid by Bank  / 7.1 USD</t>
  </si>
  <si>
    <t>S2500200138</t>
  </si>
  <si>
    <t>MUHAMED VALI /  Case officer  / Bank Paid Net Salary Feb-2025 / 100% / ( Total Amount 610 USD  )</t>
  </si>
  <si>
    <t>S2500100494</t>
  </si>
  <si>
    <t>RIM MHEMD USD</t>
  </si>
  <si>
    <t>RIM MHEMD / PSS Officer / Salary of  January-2025 Net Salary Paid by Bank  for 27 days / 504 USD</t>
  </si>
  <si>
    <t>PTT Transfer fees as 1% for SAMI EL HAMUD / PSS Officer / Salary of  January-2025  for 23 days / 4.29 USD</t>
  </si>
  <si>
    <t>PTT Transfer fees as 1% for RIM MHEMD / PSS Officer / Salary of  January-2025  for 27 days / 5.04 USD</t>
  </si>
  <si>
    <t>S2500100495</t>
  </si>
  <si>
    <t>SAMI EL HAMUD USD</t>
  </si>
  <si>
    <t>SAMI EL HAMUD / PSS Officer / Salary of  January-2025 Net Salary Paid by Bank  for 23 days / 429.33 USD</t>
  </si>
  <si>
    <t>PTT Fees as 1% of RIM MHEMD / PSS Officer / Salary of  February-2025 Net Salary Paid by Bank  / 5.6 USD</t>
  </si>
  <si>
    <t>S2500200494</t>
  </si>
  <si>
    <t>RIM MHEMD / PSS Officer / Salary of  February-2025 Net Salary Paid by Bank  / 560 USD</t>
  </si>
  <si>
    <t>S2500200495</t>
  </si>
  <si>
    <t>SAMI EL HAMUD / PSS Officer / Salary of  February-2025 Net Salary Paid by Bank  for 26 days / 485.33 USD</t>
  </si>
  <si>
    <t>PTT Fees as 1% of SAMI EL HAMUD / PSS Officer / Salary of  February-2025 Net Salary Paid by Bank  for 26 days / 4.85 USD</t>
  </si>
  <si>
    <t>S2500100461</t>
  </si>
  <si>
    <t>AHMAD ABDULLAH / Incluiosn Senior Officer / Salary of  January-2025 Net Salary Paid by Bank  / 710 USD</t>
  </si>
  <si>
    <t>PTT Transfer fees as 1% for AHMAD ABDULLAH / Incluiosn Senior Officer / Salary of  January-2025  / 7.1 USD</t>
  </si>
  <si>
    <t>PTT Fees as 1% of AHMAD ABDULLAH / Inclusion Senior Officer / Salary of  February-2025 Net Salary Paid by Bank  / 7.1 USD</t>
  </si>
  <si>
    <t>S2500200461</t>
  </si>
  <si>
    <t>AHMAD ABDULLAH / Inclusion Senior Officer / Salary of  February-2025 Net Salary Paid by Bank  / 710 USD</t>
  </si>
  <si>
    <t>S2500100472</t>
  </si>
  <si>
    <t>EMAN JAQLA / SNR Officer / Salary of  January-2025 Net Salary Paid by Bank  / 560 USD</t>
  </si>
  <si>
    <t>PTT Transfer fees as 1% for EMAN JAQLA / SNR Officer / Salary of  January-2025  / 5.6 USD</t>
  </si>
  <si>
    <t>PTT Fees as 1% of EMAN JAQLA / SNR Officer / Salary of  February-2025 Net Salary Paid by Bank  / 5.6 USD</t>
  </si>
  <si>
    <t>S2500200472</t>
  </si>
  <si>
    <t>EMAN JAQLA / SNR Officer / Salary of  February-2025 Net Salary Paid by Bank  / 560 USD</t>
  </si>
  <si>
    <t>PTT Transfer fees as 1% for MAISAA NAJJAR / Case Worker / Salary of  January-2025  / 4.1 USD</t>
  </si>
  <si>
    <t>S2500100456</t>
  </si>
  <si>
    <t>MAISAA NAJJAR / Case Worker / Salary of  January-2025 Net Salary Paid by Bank  / 410 USD</t>
  </si>
  <si>
    <t>S2500100457</t>
  </si>
  <si>
    <t>ASIM EL NEHAR / Case Worker / Salary of  January-2025 Net Salary Paid by Bank  / 410 USD</t>
  </si>
  <si>
    <t>S2500100233</t>
  </si>
  <si>
    <t>NASER EL SEYH / Case Worker / Salary of  January-2025 Net Salary Paid by Bank  / 410 USD</t>
  </si>
  <si>
    <t>PTT Transfer fees as 1% for ASIM EL NEHAR / Case Worker / Salary of  January-2025  / 4.1 USD</t>
  </si>
  <si>
    <t>PTT Transfer fees as 1% for NASER EL SEYH / Case Worker / Salary of  January-2025  / 4.1 USD</t>
  </si>
  <si>
    <t>PTT Fees as 1% of ASIM EL NEHAR / Case Worker / Salary of  February-2025 Net Salary Paid by Bank  / 4.1 USD</t>
  </si>
  <si>
    <t>S2511000025</t>
  </si>
  <si>
    <t>PTT Fees as 1% of MAISAA NAJJAR / Case Worker / Salary of  February-2025 Net Salary Paid by Bank  for 18 days / 2.46 USD</t>
  </si>
  <si>
    <t>S2500200500</t>
  </si>
  <si>
    <t>MOHAMMAD ALAID ALSHAWI USD</t>
  </si>
  <si>
    <t>MOHAMMAD ALAID ALSHAWI  / Salary of  February-2025 Net Salary Paid by Bank  for 13 days / 177.67 USD</t>
  </si>
  <si>
    <t>S2500200456</t>
  </si>
  <si>
    <t>MAISAA NAJJAR / Case Worker / Salary of  February-2025 Net Salary Paid by Bank  for 18 days / 246 USD</t>
  </si>
  <si>
    <t>PTT Fees as 1% of NASER EL SEYH / Case Worker / Salary of  February-2025 Net Salary Paid by Bank  / 4.1 USD</t>
  </si>
  <si>
    <t>S2500200233</t>
  </si>
  <si>
    <t>NASER EL SEYH / Case Worker / Salary of  February-2025 Net Salary Paid by Bank  / 410 USD</t>
  </si>
  <si>
    <t>S2500200457</t>
  </si>
  <si>
    <t>ASIM EL NEHAR / Case Worker / Salary of  February-2025 Net Salary Paid by Bank  / 410 USD</t>
  </si>
  <si>
    <t>S2500100469</t>
  </si>
  <si>
    <t>RAHMA KRAMI / PSS Facilitator / Salary of  January-2025 Net Salary Paid by Bank  / 410 USD</t>
  </si>
  <si>
    <t>S2500100465</t>
  </si>
  <si>
    <t>MOHAMAD RAMI AL KHALIL / PSS Facilitator / Salary of  January-2025 Net Salary Paid by Bank  / 410 USD</t>
  </si>
  <si>
    <t>S2500100470</t>
  </si>
  <si>
    <t>EMEL BEKAR / PSS Facilitator / Salary of  January-2025 Net Salary Paid by Bank  / 410 USD</t>
  </si>
  <si>
    <t>PTT Transfer fees as 1% for EMEL BEKAR / PSS Facilitator / Salary of  January-2025  / 4.1 USD</t>
  </si>
  <si>
    <t>S2500100463</t>
  </si>
  <si>
    <t>MUHAMMED EKFEYYAD / PSS Facilitator / Salary of  January-2025 Net Salary Paid by Bank  for 19 days / 259.67 USD</t>
  </si>
  <si>
    <t>PTT Transfer fees as 1% for MOHAMAD RAMI AL KHALIL / PSS Facilitator / Salary of  January-2025  / 4.1 USD</t>
  </si>
  <si>
    <t>PTT Transfer fees as 1% for RAHMA KRAMI / PSS Facilitator / Salary of  January-2025  / 4.1 USD</t>
  </si>
  <si>
    <t>S2517100042</t>
  </si>
  <si>
    <t>PTT  1 % / MUHAMMED EKFEYYAD / PSS Facilitator / Salary of  January-2025 Net Salary Paid by Bank  for 19 days / 259.67 USD</t>
  </si>
  <si>
    <t>PTT Fees as 1% of MOHAMAD RAMI AL KHALIL / PSS Facilitator / Salary of  February-2025 Net Salary Paid by Bank  / 4.1 USD</t>
  </si>
  <si>
    <t>S2500200465</t>
  </si>
  <si>
    <t>MOHAMAD RAMI AL KHALIL / PSS Facilitator / Salary of  February-2025 Net Salary Paid by Bank  / 410 USD</t>
  </si>
  <si>
    <t>PTT Fees as 1% of RAHMA KRAMI / PSS Facilitator / Salary of  February-2025 Net Salary Paid by Bank  / 4.1 USD</t>
  </si>
  <si>
    <t>S2500200470</t>
  </si>
  <si>
    <t>EMEL BEKAR / PSS Facilitator / Salary of  February-2025 Net Salary Paid by Bank  / 410 USD</t>
  </si>
  <si>
    <t>S2500200469</t>
  </si>
  <si>
    <t>RAHMA KRAMI / PSS Facilitator / Salary of  February-2025 Net Salary Paid by Bank  / 410 USD</t>
  </si>
  <si>
    <t>PTT Fees as 1% of EMEL BEKAR / PSS Facilitator / Salary of  February-2025 Net Salary Paid by Bank  / 4.1 USD</t>
  </si>
  <si>
    <t>PTT Transfer fees as 1% for SAED EL HABBUS / Media Officer / Salary of  January-2025  / 5.6 USD</t>
  </si>
  <si>
    <t>S2500100448</t>
  </si>
  <si>
    <t>SAED EL HABBUS / Media Officer / Salary of  January-2025 Net Salary Paid by Bank  / 560 USD</t>
  </si>
  <si>
    <t>PTT Fees as 1% of SAED EL HABBUS / Media Officer / Salary of  February-2025 Net Salary Paid by Bank  / 5.6 USD</t>
  </si>
  <si>
    <t>S2500200448</t>
  </si>
  <si>
    <t>SAED EL HABBUS / Media Officer / Salary of  February-2025 Net Salary Paid by Bank  / 560 USD</t>
  </si>
  <si>
    <t>PTT Transfer fees as 1% for ABDULHAMID JUMA / Driver  / Salary of  January-2025  / 2.6 USD</t>
  </si>
  <si>
    <t>S2500100468</t>
  </si>
  <si>
    <t>ABDULHAMID JUMA / Driver  / Salary of  January-2025 Net Salary Paid by Bank  / 260 USD</t>
  </si>
  <si>
    <t>PTT Fees as 1% of ABDULHAMID JUMA / Driver  / Salary of  February-2025 Net Salary Paid by Bank  / 2.6 USD</t>
  </si>
  <si>
    <t>S2500200468</t>
  </si>
  <si>
    <t>26-02-2025</t>
  </si>
  <si>
    <t>ABDULHAMID JUMA / Driver  / Salary of  February-2025 Net Salary Paid by Bank  / 260 USD</t>
  </si>
  <si>
    <t>PTT Transfer fees as 1% for MUNTAZER NASIF / Cleaner / Salary of  January-2025  / 3.1 USD</t>
  </si>
  <si>
    <t>S2500100474</t>
  </si>
  <si>
    <t>MUNTAZER NASIF / Cleaner / Salary of  January-2025 Net Salary Paid by Bank  / 310 USD</t>
  </si>
  <si>
    <t>S2517100008</t>
  </si>
  <si>
    <t>CASH</t>
  </si>
  <si>
    <t>#3188</t>
  </si>
  <si>
    <t>AL AMAN (MOHAMAD DIAB MALDOAN) -TRY</t>
  </si>
  <si>
    <t>Filling a CM car with European diesel for to going to Aleppo
 / 48.40 $ * 35.2710 = 1707.1164 TL /  Exchange rates  Central Bank of Turkey / Invoice#3188</t>
  </si>
  <si>
    <t>S2517100009</t>
  </si>
  <si>
    <t>#004933</t>
  </si>
  <si>
    <t>ABDO AL ASSEAD (PORRIDGE FOR FUEL)-TRY</t>
  </si>
  <si>
    <t>Filling a H1 car with European diesel.Invoice#004933</t>
  </si>
  <si>
    <t>S2517100012</t>
  </si>
  <si>
    <t>#3175</t>
  </si>
  <si>
    <t>Filling a H1 car with European diesel.Invoice#3175</t>
  </si>
  <si>
    <t>S2517100019</t>
  </si>
  <si>
    <t>#2240</t>
  </si>
  <si>
    <t>TOWER STATION (AHMAD ALKHALED)-USD</t>
  </si>
  <si>
    <t>Filling a CM car with European diesel.Invoice#2240</t>
  </si>
  <si>
    <t>S2517100021</t>
  </si>
  <si>
    <t>#3176</t>
  </si>
  <si>
    <t>Filling a CM car with European diesel.Invoice#3176</t>
  </si>
  <si>
    <t>S2517100023</t>
  </si>
  <si>
    <t>#3177</t>
  </si>
  <si>
    <t>Filling a H1 car with European diesel.Invoice#3177</t>
  </si>
  <si>
    <t>S2517100025</t>
  </si>
  <si>
    <t>#3179</t>
  </si>
  <si>
    <t>Filling a cm car with diesel  + changing the windshield wipers + washing the car.INVOICE#3179</t>
  </si>
  <si>
    <t>S2517100026</t>
  </si>
  <si>
    <t>#3182</t>
  </si>
  <si>
    <t>Filling a H1 car with European diesel.Invoice#3182</t>
  </si>
  <si>
    <t>S2517100028</t>
  </si>
  <si>
    <t>#00948</t>
  </si>
  <si>
    <t>Filling European diesel for a white CM car.INVOICE</t>
  </si>
  <si>
    <t>S2517100029</t>
  </si>
  <si>
    <t>#3199</t>
  </si>
  <si>
    <t>S2517100031</t>
  </si>
  <si>
    <t>#00945</t>
  </si>
  <si>
    <t>Filling European diesel for a  white cm car.INVOICE#00945</t>
  </si>
  <si>
    <t>S2517100030</t>
  </si>
  <si>
    <t>Filling European diesel for a silver cm car.INVOICE00928</t>
  </si>
  <si>
    <t>S2517100044</t>
  </si>
  <si>
    <t>#00941</t>
  </si>
  <si>
    <t>Filling European diesel for a white CM car.INVOICE#00941</t>
  </si>
  <si>
    <t>S2517100034</t>
  </si>
  <si>
    <t>#004942</t>
  </si>
  <si>
    <t>Filling European diesel for a white CM car.INVOICE#004942</t>
  </si>
  <si>
    <t>S2517100035</t>
  </si>
  <si>
    <t>#3200</t>
  </si>
  <si>
    <t>Filling European diesel for a white CM car.INVOICE#3200</t>
  </si>
  <si>
    <t>S2517100048</t>
  </si>
  <si>
    <t xml:space="preserve"> #0015123</t>
  </si>
  <si>
    <t>ABDULRAHMAN ABDO -USD</t>
  </si>
  <si>
    <t>Renting a car from Kafr Yahmul Center to Azaz Center to supervise the special education team #0015123</t>
  </si>
  <si>
    <t>S2517100043</t>
  </si>
  <si>
    <t>#3426</t>
  </si>
  <si>
    <t>One of Packet Stationary / 15 Box  A4 white paper +  5 Box Blue Pen high quality Fluid ink + 5 Piece A notebook with a reinforced cardboard /  PR#25-SYR-AZA-81 / INV#3426</t>
  </si>
  <si>
    <t>S2511000050</t>
  </si>
  <si>
    <t>Commission fees / 1% PTT  / One of Packet Stationary / 15 Box  A4 white paper +  5 Box Blue Pen high quality Fluid ink + 5 Piece A notebook with a reinforced cardboard /  PR#25-SYR-AZA-81 / INV#3426</t>
  </si>
  <si>
    <t>S2517100003</t>
  </si>
  <si>
    <t>#2712</t>
  </si>
  <si>
    <t>VAIL HAC ALI ( KABSO RESTAURANTS CHAIN)- USD</t>
  </si>
  <si>
    <t>39 Meals /  13 trainees *3 Days  /  shawarma, grilled chicken, or broasted meals daily during the training on the / guidelines for international child helplines regarding starting and operating child helplines in emergency / areas for three consecutive  /  14,15,and 16 -Jan-2025 /PR#25-SYR-AZA-33 /INV#2712</t>
  </si>
  <si>
    <t>S2517100001</t>
  </si>
  <si>
    <t>#00409</t>
  </si>
  <si>
    <t>SAFWAN ZILTI ( AL-AMIR COMPANY)-USD</t>
  </si>
  <si>
    <t>200  PSS kits For children / A backpack made of linen fabric (first grade)+Drawing notebook+Wooden colored pencils+Drawing notebook+Notebook(Large Arabic language notebook+A motivational sticker set containing+Box of blue pens containing+Box of red pens containing+Sharpener(Metal pencil sharpener)+sharpener+Eraser+pencil case for storing pens+Children's storybooks+Coloring book suitable+Foam balls+Cubes+A wooden brain teaser game+Wooden puzzle suitable for ages 5 to 15 /PR#24-SYR-AZA-470/INV#00409 /6,062.00 USD</t>
  </si>
  <si>
    <t>S2517100002</t>
  </si>
  <si>
    <t>Commission Fees / 1 % PTT /  200  PSS kits For children / A backpack made of linen fabric (first grade)+Drawing notebook+Wooden colored pencils+Drawing notebook+Notebook(Large Arabic language notebook+A motivational sticker set containing+Box of blue pens containing+Box of red pens containing+Sharpener(Metal pencil sharpener)+sharpener+Eraser+pencil case for storing pens+Children's storybooks+Coloring book suitable+Foam balls+Cubes+A wooden brain teaser game+Wooden puzzle suitable for ages 5 to 15 /PR#24-SYR-AZA-470/INV#00409 /6,062.00 USD *1%/ 60.62 USD</t>
  </si>
  <si>
    <t>150 PSS kits For Adult / shoulder bag for men and women +Large drawing notebook+Box of wooden colored pencils+Large Arabic language notebook +Box wooden pencils HB +Box of blue pens+Box of red pens+sharpener+Eraser+Plastic ruler +pencil case for storing pens and educational tools+Calligraphy pen+notebook+Therapeutic Mandala Coloring Set for Adults+Foam balls(Set of stress relief foam ball+A professional chess set with an elegant cylindrical case / PR#24-SYR-AZA-470/INV#00409 /4837.50 USD</t>
  </si>
  <si>
    <t>Commission Fees / 1 % PTT / 150 PSS kits For Adult / shoulder bag for men and women +Large drawing notebook+Box of wooden colored pencils+Large Arabic language notebook +Box wooden pencils HB +Box of blue pens+Box of red pens+sharpener+Eraser+Plastic ruler +pencil case for storing pens and educational tools+Calligraphy pen+notebook+Therapeutic Mandala Coloring Set for Adults+Foam balls(Set of stress relief foam ball+A professional chess set with an elegant cylindrical case / PR#24-SYR-AZA-470/INV#00409 /4837.50 USD *1%/ 48.38 USD</t>
  </si>
  <si>
    <t>S2517100004</t>
  </si>
  <si>
    <t>SALEH HASANO -USD</t>
  </si>
  <si>
    <t>6 Water tanks / Monthly water subscription t / 1,000 liters /Jan 2025 / 26.1 $ * 35.2525 = 920.0902 TL / Exchange Rates Central Bank of Turkey / Invoice#4680</t>
  </si>
  <si>
    <t>S2517100005</t>
  </si>
  <si>
    <t>SPEEDNET( OBADA MASTO)-USD</t>
  </si>
  <si>
    <t>Monthly Internet subscription for Azaz office for the month of December / 100 $ * 35.2710 = 3527.10 TL / Central Bank of Turkey /Invoice#00678</t>
  </si>
  <si>
    <t>S2517100006</t>
  </si>
  <si>
    <t>Changing the Internet system from electricity to battery + changing the inverter v 1700 / 50 $ * 35.2710 = 1763.5500 TL/   Exchange rates Central Bank of Turkey / Invoice#00681</t>
  </si>
  <si>
    <t>S2517100007</t>
  </si>
  <si>
    <t>H1 car maintenance / 40 $ * 35.2710 = 1410.84TL/ Exchange Rates   Central Bank of Turkey / Invoice#3187</t>
  </si>
  <si>
    <t>S2517100020</t>
  </si>
  <si>
    <t>AK ENERGY- TRY</t>
  </si>
  <si>
    <t>Electricity subscription for Azaz office for the month of December.Invoice#012168</t>
  </si>
  <si>
    <t>S2517100022</t>
  </si>
  <si>
    <t>#03697</t>
  </si>
  <si>
    <t>OIL COMPANY( ALHAFEZ MINERAL )-USD</t>
  </si>
  <si>
    <t>Oil and filter change for cm + H1 cars.INVOICE#03697
 / 84.00 $ * 35.4197 = 2975.2548 TL/  Indicative Exchange Rates Announced at 15:30 on 13/01/2025 by the Central Bank of Turkey."</t>
  </si>
  <si>
    <t>S2517100027</t>
  </si>
  <si>
    <t>SPEEDNET( OBADA MASTO)-TRY</t>
  </si>
  <si>
    <t>Wireless keyboard + batteries + surveillance camera. INVOICE#00689
 / 97.00$ * 35.5994 = 3453.1418 TL/  Indicative Exchange Rates Announced at 15:30 on 24/01/2025 by the Central Bank of Turkey."#00689</t>
  </si>
  <si>
    <t>S2517100016</t>
  </si>
  <si>
    <t xml:space="preserve">Commission Fees </t>
  </si>
  <si>
    <t>Commission Fees  PTT1% / 1900 Liters Heating Fuel /  high-quality heating fuel for Azaz office, free of impurities, non-cohesive, non-freezing, and without unpleasant odors before or during ignition /PR#25-SYR-AZA-55 / INV#454</t>
  </si>
  <si>
    <t>1900 Liters Heating Fuel /  high-quality heating fuel for Azaz office, free of impurities, non-cohesive, non-freezing, and without unpleasant odors before or during ignition /PR#25-SYR-AZA-55 / INV#454</t>
  </si>
  <si>
    <t>S2517100045</t>
  </si>
  <si>
    <t>HANZEL  TRADING COMPANY -USD</t>
  </si>
  <si>
    <t>Printer maintenance in Azaz office.INVOICE#5946</t>
  </si>
  <si>
    <t>S2517100036</t>
  </si>
  <si>
    <t>ALI AL SED ALI ( TAYBA TRADING) -TRY</t>
  </si>
  <si>
    <t>Buy hospitality for Azaz office.Invoice#1212
 / 99.80 $ * 36.1060 = 3606.3788 TL/  Indicative Exchange Rates Announced at 15:30 on 14/02/2025 by the Central Bank of Turkey. / .Invoice#1212</t>
  </si>
  <si>
    <t>S2517100037</t>
  </si>
  <si>
    <t>Monthly electricity subscription for Azaz office + voltage increase and electrical voltage increase for Azaz office.INVOICE #019537
#012168</t>
  </si>
  <si>
    <t>S2517100038</t>
  </si>
  <si>
    <t>MOHMOUD ALSAYD ALI -USD</t>
  </si>
  <si>
    <t>Recharge the balance of Elox for employees + Elox line. Invoice#0001751</t>
  </si>
  <si>
    <t>S2517100010</t>
  </si>
  <si>
    <t>#0401</t>
  </si>
  <si>
    <t>TAWABEL ALHORAN (MOHAMMAD OSAMA ALHORAN)-TRY</t>
  </si>
  <si>
    <t>Baby Diapers for Project Beneficiaries FDF.INVOIVE#0401
 / 39 $ * 35.2892 = 1376.2788 TL/  Indicative Exchange Rates Announced at 15:30 on 06/01/2025 by the Central Bank of Turkey."</t>
  </si>
  <si>
    <t>S2517100011</t>
  </si>
  <si>
    <t>#003173</t>
  </si>
  <si>
    <t>OBADA HAJ BAKOUR-(GlASSES AL-AMEEN)USD</t>
  </si>
  <si>
    <t>Medical supplies to serve cases for the project FDF.INVOICE#003173
 / 78.00$ * 35.3179 = 2754.7962 TL/  Indicative Exchange Rates Announced at 15:30 on 08/01/2025 by the Central Bank of Turkey."</t>
  </si>
  <si>
    <t>S2517100040</t>
  </si>
  <si>
    <t>88 Multi-kinds backed Food basket  / Distributed to Beneficiaries / 2 KG Large grain lentils + 2KG Local red crushed lentil+ 10KG White sugar-Pure-refined-snow white+ 2 KG Rice Short grain- high qualit + 2 Liters Virgin olive oil-good quality-special olive oil color-specia + 2Liters sun flower oil-100% pure + 2KG Burgul + 1 Pieces Tomato paste type I + 0.45 KG Dried and grinded tea leaves harsh size + 1 PiecesCarton for packaging the contents of the basket/PR #25-SYR-AZA-29/INV#1211</t>
  </si>
  <si>
    <t>S2517100017</t>
  </si>
  <si>
    <t>MOHAMMAD OSAMA AL HORAN (TEFEKKUL SAM DERNEGI SUPERMAR) -USD</t>
  </si>
  <si>
    <t>60  Food basket  / containing food items / Distributed to Beneficiaries / 2 KG Large grain lentils + 2 KG  Local red crushed lentils +5 KGWhite sugar-Pure-refined + 1 Piece Rice Short grain + 1 Piece  + 1 Liter Virgin olive oil-good quality-special olive + 1 Liter sun flower oil + 1 KG Burgul + 2 Pieces Tomato paste  + 1 KG Noodle Curved or straight rod + 1KGMoroccan chick peas +1 Pices Carton for packaging / PR#25-SYR-AZA-004/INV#0402</t>
  </si>
  <si>
    <t>S2517100039</t>
  </si>
  <si>
    <t>AHMAD ALHOSSAIN ( AL JABAL COMPANY)- USD</t>
  </si>
  <si>
    <t>167 Children s clothing basket  / containing a variety of clothing 
children s clothing is chosen by the caregiver according to the color, model, and size that suits the child in the clothing hall  / Ligra jeans in different sizes + Winter sweater, different sizes + winter outdoor full pajamas + Shoes /PR#25-SYR-AZA-27 / INV#01507</t>
  </si>
  <si>
    <t>S2517100013</t>
  </si>
  <si>
    <t>39 A hygiene kits / Distributed to Beneficiaries/ 2 Dishwashing liquid + 3 Baby wet wipes the box + 2 Anti-dandruff shampoo +  1 Laundry powder + 3 Tissue paper + 1 Carton for packaging + 2 Good quality laurel soap / PR#25-SYR-AZA-005 / INV#01508</t>
  </si>
  <si>
    <t>S2517100014</t>
  </si>
  <si>
    <t>MUHAMMED ELOSMEN ( ALOSMAN COPMANY)-USD</t>
  </si>
  <si>
    <t>40 A hygiene kits /  Distributed to Beneficiaries / 2  Dishwashing liquid+ 3 Baby wet wipes the box + 2 Anti-dandruff shampoo + 1 Laundry powder  + 3 Tissue paper + 1 Carton for packaging  / PR#25-SYR-AZA-30 / INV#4156</t>
  </si>
  <si>
    <t>S2517100018</t>
  </si>
  <si>
    <t>#002185</t>
  </si>
  <si>
    <t>Case Managements Matierials  / Distributed to Beneficiaries  / 2 A package of high-quality baby diapers size3 KG + 2 A package of high-quality baby diapers, package weight 5  + 4 A package of high-quality diapers for the elderly  +14 herapeutic glasses according to what is mentioned in the report+ 11 Highly efficient nebulizer device + 1 Wheeled chair for PWDs for a child of 17 years old + 12Bottle milk formula designed for newborns under the age of one + 3Itemes blanket made of two layers /PR#25-SYR-AZA-28 /</t>
  </si>
  <si>
    <t>PTT Fees as 1%  / 151 Children's clothing kits  / Distributed to Beneficiaries / 2 Jeans of different sies, good quality + 2 Sweaters of different sizes  + 1 Full inner pajamas +1 Shoes / for the ECF service / PR#25-SYR-AZA-003 /INV#00010</t>
  </si>
  <si>
    <t>S2517100015</t>
  </si>
  <si>
    <t>MAHMOUD ALABDULLAH ( SALWAN FOR  TRADE )-USD</t>
  </si>
  <si>
    <t>151 Children's clothing kits  / Distributed to Beneficiaries / 2 Jeans of different sies, good quality + 2 Sweaters of different sizes  + 1 Full inner pajamas +1 Shoes / for the ECF service / PR#25-SYR-AZA-003 /INV#00010</t>
  </si>
  <si>
    <t>S2517100046</t>
  </si>
  <si>
    <t>#1563</t>
  </si>
  <si>
    <t>141 Kits  / Multi-kinds backed Food basket  / Distributed to Beneficiaries / 282  KG Large grain lentils + 282 KG Local red crushed lentil + 1410  KG White sugar-Pure-refined-snow white + 282  KG Rice Short grain- high qualit + 282 Liters Virgin olive oil-good quality-special olive oil color-specia + 282 Liters sun flower oil-100% pure + 282  KG Burgul + 141  Pieces Tomato paste type I + 63.45  KG Dried and grinded tea leaves harsh size + 141 PiecesCarton for packaging the contents of the basket/PR #25-SYR-AZA-29 / INV#1563</t>
  </si>
  <si>
    <t>S2517100047</t>
  </si>
  <si>
    <t>Commission Fees</t>
  </si>
  <si>
    <t>Commission Fees / PTT 1% / 141 Kits  / Multi-kinds backed Food basket  / Distributed to Beneficiaries / 282  KG Large grain lentils + 282 KG Local red crushed lentil + 1410  KG White sugar-Pure-refined-snow white + 282  KG Rice Short grain- high qualit + 282 Liters Virgin olive oil-good quality-special olive oil color-specia + 282 Liters sun flower oil-100% pure + 282  KG Burgul + 141  Pieces Tomato paste type I + 63.45  KG Dried and grinded tea leaves harsh size + 141 PiecesCarton for packaging the contents of the basket/PR #25-SYR-AZA-29 / INV#1563</t>
  </si>
  <si>
    <t>S2511000051</t>
  </si>
  <si>
    <t>PTT Fees as 1% of /  40 A hygiene kits /  Distributed to Beneficiaries / 2  Dishwashing liquid+ 3 Baby wet wipes the box + 2 Anti-dandruff shampoo + 1 Laundry powder  + 3 Tissue paper + 1 Carton for packaging  / PR#25-SYR-AZA-30 / INV#4156</t>
  </si>
  <si>
    <t>Commission fees / 1% PTT  / 88 Multi-kinds backed Food basket  / Distributed to Beneficiaries / 2 KG Large grain lentils + 2KG Local red crushed lentil+ 10KG White sugar-Pure-refined-snow white+ 2 KG Rice Short grain- high qualit + 2 Liters Virgin olive oil-good quality-special olive oil color-specia + 2Liters sun flower oil-100% pure + 2KG Burgul + 1 Pieces Tomato paste type I + 0.45 KG Dried and grinded tea leaves harsh size + 1 PiecesCarton for packaging the contents of the basket/PR #25-SYR-AZA-29/INV#1211</t>
  </si>
  <si>
    <t>PTT Fees as 1% of /  39 A hygiene kits / Distributed to Beneficiaries/ 2 Dishwashing liquid + 3 Baby wet wipes the box + 2 Anti-dandruff shampoo +  1 Laundry powder + 3 Tissue paper + 1 Carton for packaging + 2 Good quality laurel soap / PR#25-SYR-AZA-005 / INV#01508</t>
  </si>
  <si>
    <t>Commission fees / 1% PTT  / 167 Children s clothing basket  / containing a variety of clothing 
children s clothing is chosen by the caregiver according to the color, model, and size that suits the child in the clothing hall  / Ligra jeans in different sizes + Winter sweater, different sizes + winter outdoor full pajamas + Shoes /PR#25-SYR-AZA-27 / INV#01507</t>
  </si>
  <si>
    <t>Commission fees / 1% PTT  / 60  Food basket  / containing food items / Distributed to Beneficiaries / 2 KG Large grain lentils + 2 KG  Local red crushed lentils +5 KGWhite sugar-Pure-refined + 1 Piece Rice Short grain + 1 Piece  + 1 Liter Virgin olive oil-good quality-special olive + 1 Liter sun flower oil + 1 KG Burgul + 2 Pieces Tomato paste  + 1 KG Noodle Curved or straight rod + 1KGMoroccan chick peas +1 Pices Carton for packaging / PR#25-SYR-AZA-004/INV#0402</t>
  </si>
  <si>
    <t>!!Please insert lines under the sub-headings if necessary!!
!! Pay attention not to erase formulas in the blue cells !!</t>
  </si>
  <si>
    <t>Please check the totals in each column per year and the total in column G 
(Difference = 0)</t>
  </si>
  <si>
    <t>Name of the person in charge of the budget:</t>
  </si>
  <si>
    <t>Name of the applicant organisation:</t>
  </si>
  <si>
    <t>Project title:</t>
  </si>
  <si>
    <t>Instructions for filling in the 
Expenses column</t>
  </si>
  <si>
    <t>Expenditure related to the project</t>
  </si>
  <si>
    <t>Unit cost
 (in €)</t>
  </si>
  <si>
    <t>Total cost 
(in €)</t>
  </si>
  <si>
    <t>Total (I to K)
for control purposes</t>
  </si>
  <si>
    <t>Discrepancy (with G column)</t>
  </si>
  <si>
    <t>1.1.1</t>
  </si>
  <si>
    <t>Indicate the staff position concerned</t>
  </si>
  <si>
    <t>1.1.2</t>
  </si>
  <si>
    <t>Expert's fees</t>
  </si>
  <si>
    <t>Function of the expert</t>
  </si>
  <si>
    <t>1.2.2</t>
  </si>
  <si>
    <t xml:space="preserve">Per diem food and accommodation costs </t>
  </si>
  <si>
    <t xml:space="preserve">Purpose of the per diem expenditure </t>
  </si>
  <si>
    <t>1.3.2</t>
  </si>
  <si>
    <t>Sub-total 1 Human resources for the project</t>
  </si>
  <si>
    <t>Travel</t>
  </si>
  <si>
    <t xml:space="preserve">Purpose of the journey </t>
  </si>
  <si>
    <t>per trip</t>
  </si>
  <si>
    <t xml:space="preserve">Purpose of the journey  </t>
  </si>
  <si>
    <t>Sub-total 2 Travel required for the project</t>
  </si>
  <si>
    <t>Equipment and supplies</t>
  </si>
  <si>
    <t>Expenditure on equipment for the project</t>
  </si>
  <si>
    <t>3.2.1</t>
  </si>
  <si>
    <t>3.2.2</t>
  </si>
  <si>
    <t>Sub-total 3 Equipment and supplies</t>
  </si>
  <si>
    <t>Other expenses</t>
  </si>
  <si>
    <t>Type of expense (e.g. printing costs)</t>
  </si>
  <si>
    <t>per document</t>
  </si>
  <si>
    <t>Type of expense (e.g. rental of premises)</t>
  </si>
  <si>
    <t>4.4</t>
  </si>
  <si>
    <t>Sub-total  4 Other expenses</t>
  </si>
  <si>
    <t xml:space="preserve">Sub-total  5 Administrative costs </t>
  </si>
  <si>
    <t>TOTAL DIRECT COST OF THE PROJECT (1 to 5)</t>
  </si>
  <si>
    <t>FINANCING PLAN</t>
  </si>
  <si>
    <t>Requested</t>
  </si>
  <si>
    <t>Raised</t>
  </si>
  <si>
    <t>in €</t>
  </si>
  <si>
    <t>Grant requested (maximum 80% of the project)</t>
  </si>
  <si>
    <t>Other donors (name)</t>
  </si>
  <si>
    <t>Partners'contribution to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</si>
</sst>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-* #,##0.00\ &quot;€&quot;_-;\-* #,##0.00\ &quot;€&quot;_-;_-* &quot;-&quot;??\ &quot;€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\ &quot;€&quot;_-;\-* #,##0\ &quot;€&quot;_-;_-* &quot;-&quot;??\ &quot;€&quot;_-;_-@_-"/>
    <numFmt numFmtId="167" formatCode="_-[$€-2]\ * #,##0.00_-;\-[$€-2]\ * #,##0.00_-;_-[$€-2]\ * &quot;-&quot;??_-;_-@_-"/>
    <numFmt numFmtId="168" formatCode="[$-409]d\-mmm\-yyyy;@"/>
    <numFmt numFmtId="169" formatCode="0.000"/>
    <numFmt numFmtId="170" formatCode="0.00000"/>
    <numFmt numFmtId="171" formatCode="_([$EUR]\ * #,##0.00_);_([$EUR]\ * \(#,##0.00\);_([$EUR]\ * &quot;-&quot;??_);_(@_)"/>
    <numFmt numFmtId="172" formatCode="#,##0\ [$USD]"/>
    <numFmt numFmtId="173" formatCode="#,##0\ &quot;€&quot;"/>
    <numFmt numFmtId="174" formatCode="_-* #,##0.00\ [$NPR]_-;\-* #,##0.00\ [$NPR]_-;_-* &quot;-&quot;??\ [$NPR]_-;_-@_-"/>
    <numFmt numFmtId="175" formatCode="_-* #,##0.00\ _€_-;\-* #,##0.00\ _€_-;_-* &quot;-&quot;??\ _€_-;_-@_-"/>
    <numFmt numFmtId="176" formatCode="_-* #,##0.00000\ [$LBP]_-;\-* #,##0.00000\ [$LBP]_-;_-* &quot;-&quot;?????\ [$LBP]_-;_-@_-"/>
    <numFmt numFmtId="177" formatCode="_([$€-2]\ * #,##0.00_);_([$€-2]\ * \(#,##0.00\);_([$€-2]\ * &quot;-&quot;??_);_(@_)"/>
    <numFmt numFmtId="178" formatCode="_-* #,##0.00\ [$TRY]_-;\-* #,##0.00\ [$TRY]_-;_-* &quot;-&quot;??\ [$TRY]_-;_-@_-"/>
    <numFmt numFmtId="179" formatCode="_-* #,##0.00\ [$UAH]_-;\-* #,##0.00\ [$UAH]_-;_-* &quot;-&quot;??\ [$UAH]_-;_-@_-"/>
    <numFmt numFmtId="180" formatCode="#,##0.00\ &quot;€&quot;"/>
    <numFmt numFmtId="181" formatCode="#,##0\ _€"/>
  </numFmts>
  <fonts count="44">
    <font>
      <sz val="9"/>
      <name val="Verdana"/>
    </font>
    <font>
      <sz val="9"/>
      <name val="Verdana"/>
      <family val="2"/>
    </font>
    <font>
      <sz val="9"/>
      <name val="Arial"/>
      <family val="2"/>
    </font>
    <font>
      <b/>
      <sz val="9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b/>
      <i/>
      <sz val="9.5"/>
      <name val="Arial"/>
      <family val="2"/>
    </font>
    <font>
      <b/>
      <sz val="9"/>
      <color indexed="10"/>
      <name val="Arial"/>
      <family val="2"/>
    </font>
    <font>
      <b/>
      <sz val="9"/>
      <color indexed="12"/>
      <name val="Arial"/>
      <family val="2"/>
    </font>
    <font>
      <b/>
      <sz val="11"/>
      <name val="Arial"/>
      <family val="2"/>
    </font>
    <font>
      <sz val="9"/>
      <color indexed="12"/>
      <name val="Arial"/>
      <family val="2"/>
    </font>
    <font>
      <b/>
      <sz val="9.5"/>
      <color indexed="12"/>
      <name val="Arial"/>
      <family val="2"/>
    </font>
    <font>
      <sz val="9.5"/>
      <color indexed="12"/>
      <name val="Arial"/>
      <family val="2"/>
    </font>
    <font>
      <b/>
      <i/>
      <sz val="9.5"/>
      <color indexed="12"/>
      <name val="Arial"/>
      <family val="2"/>
    </font>
    <font>
      <sz val="9"/>
      <name val="Verdana"/>
      <family val="2"/>
    </font>
    <font>
      <sz val="12"/>
      <name val="Verdana"/>
      <family val="2"/>
    </font>
    <font>
      <sz val="9"/>
      <color theme="1"/>
      <name val="Verdana"/>
      <family val="2"/>
    </font>
    <font>
      <sz val="9"/>
      <color rgb="FFFF0000"/>
      <name val="Verdana"/>
      <family val="2"/>
    </font>
    <font>
      <sz val="9"/>
      <name val="Verdana"/>
    </font>
    <font>
      <b/>
      <sz val="9"/>
      <name val="Verdana"/>
      <family val="2"/>
    </font>
    <font>
      <sz val="9"/>
      <color indexed="10"/>
      <name val="Arial"/>
      <family val="2"/>
    </font>
    <font>
      <sz val="9"/>
      <color indexed="16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b/>
      <sz val="11"/>
      <color indexed="16"/>
      <name val="Arial"/>
      <family val="2"/>
    </font>
    <font>
      <b/>
      <sz val="9.5"/>
      <color indexed="16"/>
      <name val="Arial"/>
      <family val="2"/>
    </font>
    <font>
      <sz val="9.5"/>
      <color indexed="16"/>
      <name val="Arial"/>
      <family val="2"/>
    </font>
    <font>
      <b/>
      <i/>
      <u/>
      <sz val="9.5"/>
      <name val="Arial"/>
      <family val="2"/>
    </font>
    <font>
      <i/>
      <u/>
      <sz val="9.5"/>
      <name val="Arial"/>
      <family val="2"/>
    </font>
    <font>
      <i/>
      <u/>
      <sz val="9.5"/>
      <color indexed="12"/>
      <name val="Arial"/>
      <family val="2"/>
    </font>
    <font>
      <sz val="9.5"/>
      <color theme="1"/>
      <name val="Arial"/>
      <family val="2"/>
    </font>
    <font>
      <b/>
      <i/>
      <sz val="9.5"/>
      <color indexed="16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6"/>
      <name val="Arial"/>
      <family val="2"/>
    </font>
    <font>
      <sz val="10"/>
      <color indexed="16"/>
      <name val="Arial"/>
      <family val="2"/>
    </font>
    <font>
      <sz val="10"/>
      <name val="Verdana"/>
      <family val="2"/>
    </font>
    <font>
      <sz val="10"/>
      <color indexed="12"/>
      <name val="Arial"/>
      <family val="2"/>
    </font>
    <font>
      <sz val="8"/>
      <name val="Arial"/>
      <family val="2"/>
    </font>
    <font>
      <sz val="8"/>
      <color indexed="16"/>
      <name val="Arial"/>
      <family val="2"/>
    </font>
    <font>
      <b/>
      <sz val="12"/>
      <color theme="1"/>
      <name val="Calibri"/>
      <family val="2"/>
      <charset val="162"/>
      <scheme val="minor"/>
    </font>
    <font>
      <b/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lightUp">
        <bgColor indexed="22"/>
      </patternFill>
    </fill>
    <fill>
      <patternFill patternType="solid">
        <fgColor rgb="FFD6E3BC"/>
        <bgColor rgb="FFD6E3B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theme="9" tint="0.5999938962981048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44" fontId="14" fillId="0" borderId="0"/>
    <xf numFmtId="9" fontId="14" fillId="0" borderId="0"/>
    <xf numFmtId="165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2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5" fillId="2" borderId="4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3" fontId="5" fillId="2" borderId="5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/>
    </xf>
    <xf numFmtId="3" fontId="5" fillId="2" borderId="7" xfId="0" applyNumberFormat="1" applyFont="1" applyFill="1" applyBorder="1" applyAlignment="1">
      <alignment horizontal="right" vertical="center"/>
    </xf>
    <xf numFmtId="3" fontId="5" fillId="2" borderId="7" xfId="0" quotePrefix="1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righ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1" fontId="2" fillId="2" borderId="0" xfId="1" applyNumberFormat="1" applyFont="1" applyFill="1" applyAlignment="1">
      <alignment horizontal="right" vertical="center"/>
    </xf>
    <xf numFmtId="9" fontId="10" fillId="2" borderId="7" xfId="2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horizontal="left" vertical="center"/>
    </xf>
    <xf numFmtId="3" fontId="5" fillId="4" borderId="2" xfId="0" applyNumberFormat="1" applyFont="1" applyFill="1" applyBorder="1" applyAlignment="1">
      <alignment horizontal="right" vertical="center" wrapText="1"/>
    </xf>
    <xf numFmtId="0" fontId="7" fillId="2" borderId="0" xfId="0" applyFont="1" applyFill="1" applyAlignment="1">
      <alignment vertical="center" wrapText="1"/>
    </xf>
    <xf numFmtId="0" fontId="8" fillId="2" borderId="28" xfId="1" applyNumberFormat="1" applyFont="1" applyFill="1" applyBorder="1" applyAlignment="1">
      <alignment horizontal="center" vertical="center" wrapText="1"/>
    </xf>
    <xf numFmtId="0" fontId="8" fillId="2" borderId="3" xfId="1" applyNumberFormat="1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/>
    </xf>
    <xf numFmtId="3" fontId="5" fillId="2" borderId="26" xfId="0" applyNumberFormat="1" applyFont="1" applyFill="1" applyBorder="1" applyAlignment="1">
      <alignment horizontal="right" vertical="center"/>
    </xf>
    <xf numFmtId="0" fontId="5" fillId="2" borderId="48" xfId="0" applyFont="1" applyFill="1" applyBorder="1" applyAlignment="1">
      <alignment vertical="center" wrapText="1"/>
    </xf>
    <xf numFmtId="0" fontId="5" fillId="2" borderId="49" xfId="0" applyFont="1" applyFill="1" applyBorder="1" applyAlignment="1">
      <alignment vertical="center" wrapText="1"/>
    </xf>
    <xf numFmtId="0" fontId="5" fillId="2" borderId="26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5" fillId="2" borderId="2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3" fontId="5" fillId="3" borderId="7" xfId="0" applyNumberFormat="1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center" vertical="center"/>
    </xf>
    <xf numFmtId="3" fontId="5" fillId="3" borderId="5" xfId="0" applyNumberFormat="1" applyFont="1" applyFill="1" applyBorder="1" applyAlignment="1">
      <alignment horizontal="right" vertical="center"/>
    </xf>
    <xf numFmtId="0" fontId="5" fillId="3" borderId="15" xfId="0" applyFont="1" applyFill="1" applyBorder="1" applyAlignment="1">
      <alignment horizontal="center" vertical="center"/>
    </xf>
    <xf numFmtId="3" fontId="5" fillId="3" borderId="15" xfId="0" applyNumberFormat="1" applyFont="1" applyFill="1" applyBorder="1" applyAlignment="1">
      <alignment horizontal="right" vertical="center"/>
    </xf>
    <xf numFmtId="0" fontId="2" fillId="2" borderId="26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3" fontId="5" fillId="4" borderId="53" xfId="0" applyNumberFormat="1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8" fillId="2" borderId="46" xfId="1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" fontId="0" fillId="0" borderId="7" xfId="0" applyNumberForma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8" fontId="0" fillId="0" borderId="0" xfId="0" applyNumberFormat="1"/>
    <xf numFmtId="168" fontId="1" fillId="0" borderId="5" xfId="0" applyNumberFormat="1" applyFon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168" fontId="16" fillId="0" borderId="7" xfId="0" applyNumberFormat="1" applyFont="1" applyBorder="1" applyAlignment="1">
      <alignment horizontal="center" vertical="center"/>
    </xf>
    <xf numFmtId="167" fontId="16" fillId="0" borderId="5" xfId="0" applyNumberFormat="1" applyFont="1" applyBorder="1" applyAlignment="1">
      <alignment horizontal="center" vertical="center"/>
    </xf>
    <xf numFmtId="166" fontId="2" fillId="2" borderId="0" xfId="1" applyNumberFormat="1" applyFont="1" applyFill="1" applyAlignment="1">
      <alignment horizontal="right" vertical="center"/>
    </xf>
    <xf numFmtId="166" fontId="0" fillId="2" borderId="0" xfId="1" applyNumberFormat="1" applyFont="1" applyFill="1" applyAlignment="1">
      <alignment vertical="center"/>
    </xf>
    <xf numFmtId="166" fontId="4" fillId="2" borderId="2" xfId="1" applyNumberFormat="1" applyFont="1" applyFill="1" applyBorder="1" applyAlignment="1">
      <alignment horizontal="center" vertical="center" wrapText="1"/>
    </xf>
    <xf numFmtId="166" fontId="4" fillId="2" borderId="1" xfId="1" applyNumberFormat="1" applyFont="1" applyFill="1" applyBorder="1" applyAlignment="1">
      <alignment horizontal="center" vertical="center" wrapText="1"/>
    </xf>
    <xf numFmtId="166" fontId="4" fillId="2" borderId="3" xfId="1" applyNumberFormat="1" applyFont="1" applyFill="1" applyBorder="1" applyAlignment="1">
      <alignment horizontal="center" vertical="center" wrapText="1"/>
    </xf>
    <xf numFmtId="166" fontId="5" fillId="3" borderId="5" xfId="1" applyNumberFormat="1" applyFont="1" applyFill="1" applyBorder="1" applyAlignment="1">
      <alignment horizontal="right" vertical="center"/>
    </xf>
    <xf numFmtId="166" fontId="5" fillId="3" borderId="32" xfId="1" applyNumberFormat="1" applyFont="1" applyFill="1" applyBorder="1" applyAlignment="1">
      <alignment horizontal="right" vertical="center"/>
    </xf>
    <xf numFmtId="166" fontId="5" fillId="3" borderId="50" xfId="1" applyNumberFormat="1" applyFont="1" applyFill="1" applyBorder="1" applyAlignment="1">
      <alignment horizontal="right" vertical="center"/>
    </xf>
    <xf numFmtId="166" fontId="5" fillId="3" borderId="51" xfId="1" applyNumberFormat="1" applyFont="1" applyFill="1" applyBorder="1" applyAlignment="1">
      <alignment horizontal="right" vertical="center"/>
    </xf>
    <xf numFmtId="166" fontId="5" fillId="3" borderId="52" xfId="1" applyNumberFormat="1" applyFont="1" applyFill="1" applyBorder="1" applyAlignment="1">
      <alignment horizontal="right" vertical="center"/>
    </xf>
    <xf numFmtId="166" fontId="5" fillId="3" borderId="30" xfId="1" applyNumberFormat="1" applyFont="1" applyFill="1" applyBorder="1" applyAlignment="1">
      <alignment horizontal="right" vertical="center"/>
    </xf>
    <xf numFmtId="166" fontId="5" fillId="3" borderId="7" xfId="1" applyNumberFormat="1" applyFont="1" applyFill="1" applyBorder="1" applyAlignment="1">
      <alignment horizontal="right" vertical="center"/>
    </xf>
    <xf numFmtId="166" fontId="5" fillId="3" borderId="19" xfId="1" applyNumberFormat="1" applyFont="1" applyFill="1" applyBorder="1" applyAlignment="1">
      <alignment horizontal="right" vertical="center"/>
    </xf>
    <xf numFmtId="166" fontId="5" fillId="3" borderId="8" xfId="1" applyNumberFormat="1" applyFont="1" applyFill="1" applyBorder="1" applyAlignment="1">
      <alignment horizontal="right" vertical="center"/>
    </xf>
    <xf numFmtId="166" fontId="5" fillId="3" borderId="9" xfId="1" applyNumberFormat="1" applyFont="1" applyFill="1" applyBorder="1" applyAlignment="1">
      <alignment horizontal="right" vertical="center"/>
    </xf>
    <xf numFmtId="166" fontId="5" fillId="3" borderId="40" xfId="1" applyNumberFormat="1" applyFont="1" applyFill="1" applyBorder="1" applyAlignment="1">
      <alignment horizontal="right" vertical="center"/>
    </xf>
    <xf numFmtId="166" fontId="5" fillId="3" borderId="33" xfId="1" applyNumberFormat="1" applyFont="1" applyFill="1" applyBorder="1" applyAlignment="1">
      <alignment horizontal="right" vertical="center"/>
    </xf>
    <xf numFmtId="166" fontId="5" fillId="2" borderId="7" xfId="1" applyNumberFormat="1" applyFont="1" applyFill="1" applyBorder="1" applyAlignment="1">
      <alignment horizontal="right" vertical="center"/>
    </xf>
    <xf numFmtId="166" fontId="12" fillId="2" borderId="19" xfId="1" applyNumberFormat="1" applyFont="1" applyFill="1" applyBorder="1" applyAlignment="1">
      <alignment horizontal="right" vertical="center"/>
    </xf>
    <xf numFmtId="166" fontId="5" fillId="2" borderId="8" xfId="1" applyNumberFormat="1" applyFont="1" applyFill="1" applyBorder="1" applyAlignment="1">
      <alignment horizontal="right" vertical="center"/>
    </xf>
    <xf numFmtId="166" fontId="5" fillId="2" borderId="9" xfId="1" applyNumberFormat="1" applyFont="1" applyFill="1" applyBorder="1" applyAlignment="1">
      <alignment horizontal="right" vertical="center"/>
    </xf>
    <xf numFmtId="166" fontId="5" fillId="2" borderId="40" xfId="1" applyNumberFormat="1" applyFont="1" applyFill="1" applyBorder="1" applyAlignment="1">
      <alignment horizontal="right" vertical="center"/>
    </xf>
    <xf numFmtId="166" fontId="12" fillId="2" borderId="33" xfId="1" applyNumberFormat="1" applyFont="1" applyFill="1" applyBorder="1" applyAlignment="1">
      <alignment horizontal="right" vertical="center"/>
    </xf>
    <xf numFmtId="166" fontId="12" fillId="3" borderId="33" xfId="1" applyNumberFormat="1" applyFont="1" applyFill="1" applyBorder="1" applyAlignment="1">
      <alignment horizontal="right" vertical="center"/>
    </xf>
    <xf numFmtId="166" fontId="5" fillId="2" borderId="26" xfId="1" applyNumberFormat="1" applyFont="1" applyFill="1" applyBorder="1" applyAlignment="1">
      <alignment horizontal="right" vertical="center"/>
    </xf>
    <xf numFmtId="166" fontId="12" fillId="2" borderId="39" xfId="1" applyNumberFormat="1" applyFont="1" applyFill="1" applyBorder="1" applyAlignment="1">
      <alignment horizontal="right" vertical="center"/>
    </xf>
    <xf numFmtId="166" fontId="5" fillId="2" borderId="10" xfId="1" applyNumberFormat="1" applyFont="1" applyFill="1" applyBorder="1" applyAlignment="1">
      <alignment horizontal="right" vertical="center"/>
    </xf>
    <xf numFmtId="166" fontId="5" fillId="2" borderId="11" xfId="1" applyNumberFormat="1" applyFont="1" applyFill="1" applyBorder="1" applyAlignment="1">
      <alignment horizontal="right" vertical="center"/>
    </xf>
    <xf numFmtId="166" fontId="5" fillId="2" borderId="41" xfId="1" applyNumberFormat="1" applyFont="1" applyFill="1" applyBorder="1" applyAlignment="1">
      <alignment horizontal="right" vertical="center"/>
    </xf>
    <xf numFmtId="166" fontId="12" fillId="2" borderId="34" xfId="1" applyNumberFormat="1" applyFont="1" applyFill="1" applyBorder="1" applyAlignment="1">
      <alignment horizontal="right" vertical="center"/>
    </xf>
    <xf numFmtId="166" fontId="13" fillId="2" borderId="37" xfId="1" applyNumberFormat="1" applyFont="1" applyFill="1" applyBorder="1" applyAlignment="1">
      <alignment horizontal="right" vertical="center"/>
    </xf>
    <xf numFmtId="166" fontId="11" fillId="2" borderId="1" xfId="1" applyNumberFormat="1" applyFont="1" applyFill="1" applyBorder="1" applyAlignment="1">
      <alignment horizontal="right" vertical="center"/>
    </xf>
    <xf numFmtId="166" fontId="11" fillId="2" borderId="2" xfId="1" applyNumberFormat="1" applyFont="1" applyFill="1" applyBorder="1" applyAlignment="1">
      <alignment horizontal="right" vertical="center"/>
    </xf>
    <xf numFmtId="166" fontId="11" fillId="2" borderId="27" xfId="1" applyNumberFormat="1" applyFont="1" applyFill="1" applyBorder="1" applyAlignment="1">
      <alignment horizontal="right" vertical="center"/>
    </xf>
    <xf numFmtId="166" fontId="11" fillId="2" borderId="28" xfId="1" applyNumberFormat="1" applyFont="1" applyFill="1" applyBorder="1" applyAlignment="1">
      <alignment horizontal="right" vertical="center"/>
    </xf>
    <xf numFmtId="166" fontId="5" fillId="3" borderId="15" xfId="1" applyNumberFormat="1" applyFont="1" applyFill="1" applyBorder="1" applyAlignment="1">
      <alignment horizontal="right" vertical="center"/>
    </xf>
    <xf numFmtId="166" fontId="5" fillId="3" borderId="16" xfId="1" applyNumberFormat="1" applyFont="1" applyFill="1" applyBorder="1" applyAlignment="1">
      <alignment horizontal="right" vertical="center"/>
    </xf>
    <xf numFmtId="166" fontId="5" fillId="2" borderId="29" xfId="1" applyNumberFormat="1" applyFont="1" applyFill="1" applyBorder="1" applyAlignment="1">
      <alignment horizontal="right" vertical="center"/>
    </xf>
    <xf numFmtId="166" fontId="12" fillId="2" borderId="32" xfId="1" applyNumberFormat="1" applyFont="1" applyFill="1" applyBorder="1" applyAlignment="1">
      <alignment horizontal="right" vertical="center"/>
    </xf>
    <xf numFmtId="166" fontId="5" fillId="2" borderId="47" xfId="1" applyNumberFormat="1" applyFont="1" applyFill="1" applyBorder="1" applyAlignment="1">
      <alignment horizontal="right" vertical="center"/>
    </xf>
    <xf numFmtId="166" fontId="13" fillId="2" borderId="3" xfId="1" applyNumberFormat="1" applyFont="1" applyFill="1" applyBorder="1" applyAlignment="1">
      <alignment horizontal="right" vertical="center"/>
    </xf>
    <xf numFmtId="166" fontId="5" fillId="2" borderId="25" xfId="1" applyNumberFormat="1" applyFont="1" applyFill="1" applyBorder="1" applyAlignment="1">
      <alignment horizontal="right" vertical="center"/>
    </xf>
    <xf numFmtId="166" fontId="13" fillId="2" borderId="1" xfId="1" applyNumberFormat="1" applyFont="1" applyFill="1" applyBorder="1" applyAlignment="1">
      <alignment horizontal="right" vertical="center"/>
    </xf>
    <xf numFmtId="166" fontId="13" fillId="2" borderId="2" xfId="1" applyNumberFormat="1" applyFont="1" applyFill="1" applyBorder="1" applyAlignment="1">
      <alignment horizontal="right" vertical="center"/>
    </xf>
    <xf numFmtId="166" fontId="13" fillId="2" borderId="27" xfId="1" applyNumberFormat="1" applyFont="1" applyFill="1" applyBorder="1" applyAlignment="1">
      <alignment horizontal="right" vertical="center"/>
    </xf>
    <xf numFmtId="166" fontId="13" fillId="2" borderId="28" xfId="1" applyNumberFormat="1" applyFont="1" applyFill="1" applyBorder="1" applyAlignment="1">
      <alignment horizontal="right" vertical="center"/>
    </xf>
    <xf numFmtId="166" fontId="11" fillId="2" borderId="3" xfId="1" applyNumberFormat="1" applyFont="1" applyFill="1" applyBorder="1" applyAlignment="1">
      <alignment horizontal="right" vertical="center"/>
    </xf>
    <xf numFmtId="166" fontId="5" fillId="2" borderId="0" xfId="1" applyNumberFormat="1" applyFont="1" applyFill="1" applyAlignment="1">
      <alignment horizontal="right" vertical="center"/>
    </xf>
    <xf numFmtId="166" fontId="4" fillId="2" borderId="0" xfId="1" applyNumberFormat="1" applyFont="1" applyFill="1" applyAlignment="1">
      <alignment horizontal="right" vertical="center"/>
    </xf>
    <xf numFmtId="166" fontId="4" fillId="2" borderId="12" xfId="1" applyNumberFormat="1" applyFont="1" applyFill="1" applyBorder="1" applyAlignment="1">
      <alignment horizontal="right" vertical="center"/>
    </xf>
    <xf numFmtId="166" fontId="4" fillId="2" borderId="13" xfId="1" applyNumberFormat="1" applyFont="1" applyFill="1" applyBorder="1" applyAlignment="1">
      <alignment horizontal="right" vertical="center"/>
    </xf>
    <xf numFmtId="166" fontId="4" fillId="2" borderId="42" xfId="1" applyNumberFormat="1" applyFont="1" applyFill="1" applyBorder="1" applyAlignment="1">
      <alignment horizontal="right" vertical="center"/>
    </xf>
    <xf numFmtId="166" fontId="4" fillId="2" borderId="14" xfId="1" applyNumberFormat="1" applyFont="1" applyFill="1" applyBorder="1" applyAlignment="1">
      <alignment horizontal="right" vertical="center"/>
    </xf>
    <xf numFmtId="166" fontId="10" fillId="2" borderId="15" xfId="1" applyNumberFormat="1" applyFont="1" applyFill="1" applyBorder="1" applyAlignment="1">
      <alignment horizontal="center" vertical="center"/>
    </xf>
    <xf numFmtId="166" fontId="2" fillId="2" borderId="16" xfId="1" applyNumberFormat="1" applyFont="1" applyFill="1" applyBorder="1" applyAlignment="1">
      <alignment horizontal="center" vertical="center"/>
    </xf>
    <xf numFmtId="166" fontId="2" fillId="2" borderId="17" xfId="1" applyNumberFormat="1" applyFont="1" applyFill="1" applyBorder="1" applyAlignment="1">
      <alignment horizontal="center" vertical="center"/>
    </xf>
    <xf numFmtId="166" fontId="2" fillId="2" borderId="18" xfId="1" applyNumberFormat="1" applyFont="1" applyFill="1" applyBorder="1" applyAlignment="1">
      <alignment horizontal="center" vertical="center"/>
    </xf>
    <xf numFmtId="166" fontId="2" fillId="2" borderId="43" xfId="1" applyNumberFormat="1" applyFont="1" applyFill="1" applyBorder="1" applyAlignment="1">
      <alignment horizontal="center" vertical="center"/>
    </xf>
    <xf numFmtId="166" fontId="12" fillId="2" borderId="31" xfId="1" applyNumberFormat="1" applyFont="1" applyFill="1" applyBorder="1" applyAlignment="1">
      <alignment horizontal="center" vertical="center"/>
    </xf>
    <xf numFmtId="166" fontId="2" fillId="2" borderId="19" xfId="1" applyNumberFormat="1" applyFont="1" applyFill="1" applyBorder="1" applyAlignment="1">
      <alignment horizontal="right" vertical="center"/>
    </xf>
    <xf numFmtId="166" fontId="2" fillId="2" borderId="8" xfId="1" applyNumberFormat="1" applyFont="1" applyFill="1" applyBorder="1" applyAlignment="1">
      <alignment horizontal="right" vertical="center"/>
    </xf>
    <xf numFmtId="166" fontId="2" fillId="2" borderId="9" xfId="1" applyNumberFormat="1" applyFont="1" applyFill="1" applyBorder="1" applyAlignment="1">
      <alignment horizontal="right" vertical="center"/>
    </xf>
    <xf numFmtId="166" fontId="2" fillId="2" borderId="40" xfId="1" applyNumberFormat="1" applyFont="1" applyFill="1" applyBorder="1" applyAlignment="1">
      <alignment horizontal="right" vertical="center"/>
    </xf>
    <xf numFmtId="166" fontId="12" fillId="2" borderId="44" xfId="1" applyNumberFormat="1" applyFont="1" applyFill="1" applyBorder="1" applyAlignment="1">
      <alignment horizontal="right" vertical="center"/>
    </xf>
    <xf numFmtId="166" fontId="3" fillId="2" borderId="26" xfId="1" applyNumberFormat="1" applyFont="1" applyFill="1" applyBorder="1" applyAlignment="1">
      <alignment vertical="center"/>
    </xf>
    <xf numFmtId="166" fontId="11" fillId="2" borderId="39" xfId="1" applyNumberFormat="1" applyFont="1" applyFill="1" applyBorder="1" applyAlignment="1">
      <alignment horizontal="right" vertical="center"/>
    </xf>
    <xf numFmtId="166" fontId="2" fillId="2" borderId="20" xfId="1" applyNumberFormat="1" applyFont="1" applyFill="1" applyBorder="1" applyAlignment="1">
      <alignment horizontal="right" vertical="center"/>
    </xf>
    <xf numFmtId="166" fontId="2" fillId="2" borderId="21" xfId="1" applyNumberFormat="1" applyFont="1" applyFill="1" applyBorder="1" applyAlignment="1">
      <alignment horizontal="right" vertical="center"/>
    </xf>
    <xf numFmtId="166" fontId="2" fillId="2" borderId="45" xfId="1" applyNumberFormat="1" applyFont="1" applyFill="1" applyBorder="1" applyAlignment="1">
      <alignment horizontal="right" vertical="center"/>
    </xf>
    <xf numFmtId="166" fontId="2" fillId="2" borderId="28" xfId="1" applyNumberFormat="1" applyFont="1" applyFill="1" applyBorder="1" applyAlignment="1">
      <alignment horizontal="right" vertical="center"/>
    </xf>
    <xf numFmtId="166" fontId="2" fillId="2" borderId="14" xfId="1" applyNumberFormat="1" applyFont="1" applyFill="1" applyBorder="1" applyAlignment="1">
      <alignment horizontal="right" vertical="center"/>
    </xf>
    <xf numFmtId="166" fontId="11" fillId="0" borderId="46" xfId="1" applyNumberFormat="1" applyFont="1" applyBorder="1" applyAlignment="1">
      <alignment horizontal="right" vertical="center"/>
    </xf>
    <xf numFmtId="0" fontId="7" fillId="2" borderId="59" xfId="0" applyFont="1" applyFill="1" applyBorder="1" applyAlignment="1">
      <alignment vertical="center" wrapText="1"/>
    </xf>
    <xf numFmtId="0" fontId="7" fillId="2" borderId="62" xfId="0" applyFont="1" applyFill="1" applyBorder="1" applyAlignment="1">
      <alignment vertical="center" wrapText="1"/>
    </xf>
    <xf numFmtId="172" fontId="2" fillId="0" borderId="0" xfId="0" applyNumberFormat="1" applyFont="1" applyAlignment="1">
      <alignment vertical="center" wrapText="1"/>
    </xf>
    <xf numFmtId="173" fontId="2" fillId="0" borderId="0" xfId="0" applyNumberFormat="1" applyFont="1" applyAlignment="1">
      <alignment vertical="center" wrapText="1"/>
    </xf>
    <xf numFmtId="0" fontId="2" fillId="2" borderId="63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174" fontId="2" fillId="0" borderId="0" xfId="4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1" fillId="0" borderId="63" xfId="0" applyFont="1" applyBorder="1" applyAlignment="1">
      <alignment horizontal="right" vertical="center"/>
    </xf>
    <xf numFmtId="173" fontId="21" fillId="0" borderId="0" xfId="0" applyNumberFormat="1" applyFont="1" applyAlignment="1">
      <alignment vertical="center" wrapText="1"/>
    </xf>
    <xf numFmtId="173" fontId="21" fillId="0" borderId="0" xfId="4" applyNumberFormat="1" applyFont="1" applyFill="1" applyBorder="1" applyAlignment="1">
      <alignment horizontal="right" vertical="center" wrapText="1"/>
    </xf>
    <xf numFmtId="0" fontId="3" fillId="2" borderId="25" xfId="0" applyFont="1" applyFill="1" applyBorder="1" applyAlignment="1">
      <alignment vertical="center"/>
    </xf>
    <xf numFmtId="176" fontId="23" fillId="0" borderId="3" xfId="5" applyNumberFormat="1" applyFont="1" applyFill="1" applyBorder="1" applyAlignment="1">
      <alignment horizontal="right" vertical="center" wrapText="1"/>
    </xf>
    <xf numFmtId="0" fontId="24" fillId="0" borderId="25" xfId="0" applyFont="1" applyBorder="1" applyAlignment="1">
      <alignment horizontal="right" vertical="center"/>
    </xf>
    <xf numFmtId="173" fontId="21" fillId="0" borderId="0" xfId="4" applyNumberFormat="1" applyFont="1" applyFill="1" applyBorder="1" applyAlignment="1">
      <alignment vertical="center" wrapText="1"/>
    </xf>
    <xf numFmtId="2" fontId="0" fillId="0" borderId="36" xfId="0" applyNumberFormat="1" applyBorder="1"/>
    <xf numFmtId="0" fontId="3" fillId="2" borderId="36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 wrapText="1"/>
    </xf>
    <xf numFmtId="0" fontId="21" fillId="0" borderId="36" xfId="0" applyFont="1" applyBorder="1" applyAlignment="1">
      <alignment horizontal="right" vertical="center"/>
    </xf>
    <xf numFmtId="0" fontId="9" fillId="2" borderId="2" xfId="0" applyFont="1" applyFill="1" applyBorder="1" applyAlignment="1">
      <alignment horizontal="center" vertical="center" wrapText="1"/>
    </xf>
    <xf numFmtId="167" fontId="4" fillId="2" borderId="2" xfId="0" applyNumberFormat="1" applyFont="1" applyFill="1" applyBorder="1" applyAlignment="1">
      <alignment horizontal="center" vertical="center" wrapText="1"/>
    </xf>
    <xf numFmtId="174" fontId="11" fillId="2" borderId="3" xfId="4" applyNumberFormat="1" applyFont="1" applyFill="1" applyBorder="1" applyAlignment="1">
      <alignment horizontal="center" vertical="center" wrapText="1"/>
    </xf>
    <xf numFmtId="172" fontId="3" fillId="0" borderId="0" xfId="0" applyNumberFormat="1" applyFont="1" applyAlignment="1">
      <alignment vertical="center" wrapText="1"/>
    </xf>
    <xf numFmtId="174" fontId="4" fillId="0" borderId="12" xfId="4" applyNumberFormat="1" applyFont="1" applyFill="1" applyBorder="1" applyAlignment="1">
      <alignment horizontal="center" vertical="center" wrapText="1"/>
    </xf>
    <xf numFmtId="174" fontId="4" fillId="0" borderId="2" xfId="4" applyNumberFormat="1" applyFont="1" applyFill="1" applyBorder="1" applyAlignment="1">
      <alignment horizontal="center" vertical="center" wrapText="1"/>
    </xf>
    <xf numFmtId="174" fontId="4" fillId="0" borderId="27" xfId="4" applyNumberFormat="1" applyFont="1" applyFill="1" applyBorder="1" applyAlignment="1">
      <alignment horizontal="center" vertical="center" wrapText="1"/>
    </xf>
    <xf numFmtId="174" fontId="11" fillId="0" borderId="28" xfId="4" applyNumberFormat="1" applyFont="1" applyFill="1" applyBorder="1" applyAlignment="1">
      <alignment horizontal="center" vertical="center" wrapText="1"/>
    </xf>
    <xf numFmtId="174" fontId="11" fillId="0" borderId="3" xfId="4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3" fontId="24" fillId="0" borderId="2" xfId="0" applyNumberFormat="1" applyFont="1" applyBorder="1" applyAlignment="1">
      <alignment horizontal="center" vertical="center" wrapText="1"/>
    </xf>
    <xf numFmtId="173" fontId="26" fillId="0" borderId="27" xfId="0" applyNumberFormat="1" applyFont="1" applyBorder="1" applyAlignment="1">
      <alignment horizontal="center" vertical="center" wrapText="1"/>
    </xf>
    <xf numFmtId="173" fontId="26" fillId="0" borderId="28" xfId="4" applyNumberFormat="1" applyFont="1" applyFill="1" applyBorder="1" applyAlignment="1">
      <alignment horizontal="center" vertical="center" wrapText="1"/>
    </xf>
    <xf numFmtId="173" fontId="24" fillId="0" borderId="0" xfId="0" applyNumberFormat="1" applyFont="1" applyAlignment="1">
      <alignment vertical="center" wrapText="1"/>
    </xf>
    <xf numFmtId="173" fontId="26" fillId="0" borderId="1" xfId="4" applyNumberFormat="1" applyFont="1" applyFill="1" applyBorder="1" applyAlignment="1">
      <alignment horizontal="center" vertical="center" wrapText="1"/>
    </xf>
    <xf numFmtId="173" fontId="26" fillId="0" borderId="27" xfId="4" applyNumberFormat="1" applyFont="1" applyFill="1" applyBorder="1" applyAlignment="1">
      <alignment horizontal="center" vertical="center" wrapText="1"/>
    </xf>
    <xf numFmtId="173" fontId="26" fillId="0" borderId="3" xfId="4" applyNumberFormat="1" applyFont="1" applyFill="1" applyBorder="1" applyAlignment="1">
      <alignment horizontal="center" vertical="center" wrapText="1"/>
    </xf>
    <xf numFmtId="174" fontId="11" fillId="2" borderId="2" xfId="4" applyNumberFormat="1" applyFont="1" applyFill="1" applyBorder="1" applyAlignment="1">
      <alignment horizontal="center" vertical="center" wrapText="1"/>
    </xf>
    <xf numFmtId="17" fontId="15" fillId="8" borderId="7" xfId="0" applyNumberFormat="1" applyFont="1" applyFill="1" applyBorder="1" applyAlignment="1">
      <alignment horizontal="center" vertical="center" wrapText="1"/>
    </xf>
    <xf numFmtId="17" fontId="15" fillId="8" borderId="7" xfId="0" applyNumberFormat="1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right" vertical="center" wrapText="1"/>
    </xf>
    <xf numFmtId="167" fontId="5" fillId="3" borderId="5" xfId="0" applyNumberFormat="1" applyFont="1" applyFill="1" applyBorder="1" applyAlignment="1">
      <alignment horizontal="right" vertical="center" wrapText="1"/>
    </xf>
    <xf numFmtId="174" fontId="12" fillId="3" borderId="32" xfId="4" applyNumberFormat="1" applyFont="1" applyFill="1" applyBorder="1" applyAlignment="1">
      <alignment horizontal="right" vertical="center" wrapText="1"/>
    </xf>
    <xf numFmtId="174" fontId="5" fillId="0" borderId="50" xfId="4" applyNumberFormat="1" applyFont="1" applyFill="1" applyBorder="1" applyAlignment="1">
      <alignment horizontal="right" vertical="center" wrapText="1"/>
    </xf>
    <xf numFmtId="174" fontId="5" fillId="0" borderId="5" xfId="4" applyNumberFormat="1" applyFont="1" applyFill="1" applyBorder="1" applyAlignment="1">
      <alignment horizontal="right" vertical="center" wrapText="1"/>
    </xf>
    <xf numFmtId="174" fontId="5" fillId="0" borderId="29" xfId="4" applyNumberFormat="1" applyFont="1" applyFill="1" applyBorder="1" applyAlignment="1">
      <alignment horizontal="right" vertical="center" wrapText="1"/>
    </xf>
    <xf numFmtId="174" fontId="12" fillId="0" borderId="30" xfId="4" applyNumberFormat="1" applyFont="1" applyFill="1" applyBorder="1" applyAlignment="1">
      <alignment horizontal="right" vertical="center" wrapText="1"/>
    </xf>
    <xf numFmtId="174" fontId="12" fillId="0" borderId="32" xfId="4" applyNumberFormat="1" applyFont="1" applyFill="1" applyBorder="1" applyAlignment="1">
      <alignment horizontal="right" vertical="center" wrapText="1"/>
    </xf>
    <xf numFmtId="0" fontId="26" fillId="0" borderId="4" xfId="0" applyFont="1" applyBorder="1" applyAlignment="1">
      <alignment vertical="center" wrapText="1"/>
    </xf>
    <xf numFmtId="0" fontId="26" fillId="0" borderId="5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center" vertical="center" wrapText="1"/>
    </xf>
    <xf numFmtId="3" fontId="27" fillId="0" borderId="5" xfId="0" applyNumberFormat="1" applyFont="1" applyBorder="1" applyAlignment="1">
      <alignment horizontal="right" vertical="center" wrapText="1"/>
    </xf>
    <xf numFmtId="173" fontId="27" fillId="0" borderId="29" xfId="0" applyNumberFormat="1" applyFont="1" applyBorder="1" applyAlignment="1">
      <alignment horizontal="right" vertical="center" wrapText="1"/>
    </xf>
    <xf numFmtId="173" fontId="27" fillId="0" borderId="30" xfId="4" applyNumberFormat="1" applyFont="1" applyFill="1" applyBorder="1" applyAlignment="1">
      <alignment horizontal="right" vertical="center" wrapText="1"/>
    </xf>
    <xf numFmtId="173" fontId="27" fillId="0" borderId="4" xfId="4" applyNumberFormat="1" applyFont="1" applyFill="1" applyBorder="1" applyAlignment="1">
      <alignment horizontal="right" vertical="center" wrapText="1"/>
    </xf>
    <xf numFmtId="173" fontId="27" fillId="0" borderId="29" xfId="4" applyNumberFormat="1" applyFont="1" applyFill="1" applyBorder="1" applyAlignment="1">
      <alignment horizontal="right" vertical="center" wrapText="1"/>
    </xf>
    <xf numFmtId="173" fontId="27" fillId="0" borderId="31" xfId="4" applyNumberFormat="1" applyFont="1" applyFill="1" applyBorder="1" applyAlignment="1">
      <alignment horizontal="right" vertical="center" wrapText="1"/>
    </xf>
    <xf numFmtId="173" fontId="27" fillId="0" borderId="32" xfId="4" applyNumberFormat="1" applyFont="1" applyFill="1" applyBorder="1" applyAlignment="1">
      <alignment horizontal="right" vertical="center" wrapText="1"/>
    </xf>
    <xf numFmtId="174" fontId="12" fillId="3" borderId="5" xfId="4" applyNumberFormat="1" applyFont="1" applyFill="1" applyBorder="1" applyAlignment="1">
      <alignment horizontal="right" vertical="center" wrapText="1"/>
    </xf>
    <xf numFmtId="167" fontId="5" fillId="4" borderId="2" xfId="0" applyNumberFormat="1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3" fontId="5" fillId="3" borderId="7" xfId="0" applyNumberFormat="1" applyFont="1" applyFill="1" applyBorder="1" applyAlignment="1">
      <alignment horizontal="right" vertical="center" wrapText="1"/>
    </xf>
    <xf numFmtId="167" fontId="5" fillId="3" borderId="7" xfId="0" applyNumberFormat="1" applyFont="1" applyFill="1" applyBorder="1" applyAlignment="1">
      <alignment horizontal="right" vertical="center" wrapText="1"/>
    </xf>
    <xf numFmtId="174" fontId="12" fillId="3" borderId="19" xfId="4" applyNumberFormat="1" applyFont="1" applyFill="1" applyBorder="1" applyAlignment="1">
      <alignment horizontal="right" vertical="center" wrapText="1"/>
    </xf>
    <xf numFmtId="174" fontId="5" fillId="0" borderId="8" xfId="4" applyNumberFormat="1" applyFont="1" applyFill="1" applyBorder="1" applyAlignment="1">
      <alignment horizontal="right" vertical="center" wrapText="1"/>
    </xf>
    <xf numFmtId="174" fontId="5" fillId="0" borderId="7" xfId="4" applyNumberFormat="1" applyFont="1" applyFill="1" applyBorder="1" applyAlignment="1">
      <alignment horizontal="right" vertical="center" wrapText="1"/>
    </xf>
    <xf numFmtId="174" fontId="5" fillId="0" borderId="25" xfId="4" applyNumberFormat="1" applyFont="1" applyFill="1" applyBorder="1" applyAlignment="1">
      <alignment horizontal="right" vertical="center" wrapText="1"/>
    </xf>
    <xf numFmtId="174" fontId="12" fillId="0" borderId="33" xfId="4" applyNumberFormat="1" applyFont="1" applyFill="1" applyBorder="1" applyAlignment="1">
      <alignment horizontal="right" vertical="center" wrapText="1"/>
    </xf>
    <xf numFmtId="174" fontId="12" fillId="0" borderId="19" xfId="4" applyNumberFormat="1" applyFont="1" applyFill="1" applyBorder="1" applyAlignment="1">
      <alignment horizontal="right" vertical="center" wrapText="1"/>
    </xf>
    <xf numFmtId="0" fontId="27" fillId="0" borderId="6" xfId="0" applyFont="1" applyBorder="1" applyAlignment="1">
      <alignment vertical="center" wrapText="1"/>
    </xf>
    <xf numFmtId="0" fontId="26" fillId="0" borderId="7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center" vertical="center" wrapText="1"/>
    </xf>
    <xf numFmtId="3" fontId="27" fillId="0" borderId="7" xfId="0" applyNumberFormat="1" applyFont="1" applyBorder="1" applyAlignment="1">
      <alignment horizontal="right" vertical="center" wrapText="1"/>
    </xf>
    <xf numFmtId="173" fontId="27" fillId="0" borderId="25" xfId="0" applyNumberFormat="1" applyFont="1" applyBorder="1" applyAlignment="1">
      <alignment horizontal="right" vertical="center" wrapText="1"/>
    </xf>
    <xf numFmtId="173" fontId="27" fillId="0" borderId="33" xfId="4" applyNumberFormat="1" applyFont="1" applyFill="1" applyBorder="1" applyAlignment="1">
      <alignment horizontal="right" vertical="center" wrapText="1"/>
    </xf>
    <xf numFmtId="173" fontId="27" fillId="0" borderId="6" xfId="4" applyNumberFormat="1" applyFont="1" applyFill="1" applyBorder="1" applyAlignment="1">
      <alignment horizontal="right" vertical="center" wrapText="1"/>
    </xf>
    <xf numFmtId="173" fontId="27" fillId="0" borderId="25" xfId="4" applyNumberFormat="1" applyFont="1" applyFill="1" applyBorder="1" applyAlignment="1">
      <alignment horizontal="right" vertical="center" wrapText="1"/>
    </xf>
    <xf numFmtId="173" fontId="27" fillId="0" borderId="19" xfId="4" applyNumberFormat="1" applyFont="1" applyFill="1" applyBorder="1" applyAlignment="1">
      <alignment horizontal="right" vertical="center" wrapText="1"/>
    </xf>
    <xf numFmtId="174" fontId="12" fillId="3" borderId="7" xfId="4" applyNumberFormat="1" applyFont="1" applyFill="1" applyBorder="1" applyAlignment="1">
      <alignment horizontal="right" vertical="center" wrapText="1"/>
    </xf>
    <xf numFmtId="0" fontId="28" fillId="0" borderId="7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center" vertical="center" wrapText="1"/>
    </xf>
    <xf numFmtId="3" fontId="29" fillId="0" borderId="7" xfId="0" applyNumberFormat="1" applyFont="1" applyBorder="1" applyAlignment="1">
      <alignment horizontal="right" vertical="center" wrapText="1"/>
    </xf>
    <xf numFmtId="167" fontId="29" fillId="0" borderId="7" xfId="0" applyNumberFormat="1" applyFont="1" applyBorder="1" applyAlignment="1">
      <alignment horizontal="right" vertical="center" wrapText="1"/>
    </xf>
    <xf numFmtId="174" fontId="30" fillId="0" borderId="19" xfId="4" applyNumberFormat="1" applyFont="1" applyFill="1" applyBorder="1" applyAlignment="1">
      <alignment horizontal="right" vertical="center" wrapText="1"/>
    </xf>
    <xf numFmtId="174" fontId="5" fillId="0" borderId="54" xfId="4" applyNumberFormat="1" applyFont="1" applyFill="1" applyBorder="1" applyAlignment="1">
      <alignment horizontal="right" vertical="center" wrapText="1"/>
    </xf>
    <xf numFmtId="174" fontId="30" fillId="0" borderId="7" xfId="4" applyNumberFormat="1" applyFont="1" applyFill="1" applyBorder="1" applyAlignment="1">
      <alignment horizontal="right" vertical="center" wrapText="1"/>
    </xf>
    <xf numFmtId="0" fontId="5" fillId="2" borderId="7" xfId="0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right" vertical="center" wrapText="1"/>
    </xf>
    <xf numFmtId="167" fontId="5" fillId="2" borderId="7" xfId="6" applyNumberFormat="1" applyFont="1" applyFill="1" applyBorder="1" applyAlignment="1">
      <alignment horizontal="right" vertical="center" wrapText="1"/>
    </xf>
    <xf numFmtId="177" fontId="12" fillId="2" borderId="19" xfId="4" applyNumberFormat="1" applyFont="1" applyFill="1" applyBorder="1" applyAlignment="1">
      <alignment horizontal="right" vertical="center" wrapText="1"/>
    </xf>
    <xf numFmtId="178" fontId="5" fillId="0" borderId="7" xfId="4" applyNumberFormat="1" applyFont="1" applyFill="1" applyBorder="1" applyAlignment="1">
      <alignment horizontal="right" vertical="center" wrapText="1"/>
    </xf>
    <xf numFmtId="179" fontId="5" fillId="0" borderId="7" xfId="4" applyNumberFormat="1" applyFont="1" applyFill="1" applyBorder="1" applyAlignment="1">
      <alignment horizontal="right" vertical="center" wrapText="1"/>
    </xf>
    <xf numFmtId="179" fontId="5" fillId="0" borderId="25" xfId="4" applyNumberFormat="1" applyFont="1" applyFill="1" applyBorder="1" applyAlignment="1">
      <alignment horizontal="right" vertical="center" wrapText="1"/>
    </xf>
    <xf numFmtId="178" fontId="12" fillId="0" borderId="33" xfId="4" applyNumberFormat="1" applyFont="1" applyFill="1" applyBorder="1" applyAlignment="1">
      <alignment horizontal="right" vertical="center" wrapText="1"/>
    </xf>
    <xf numFmtId="178" fontId="12" fillId="0" borderId="19" xfId="4" applyNumberFormat="1" applyFont="1" applyFill="1" applyBorder="1" applyAlignment="1">
      <alignment horizontal="right" vertical="center" wrapText="1"/>
    </xf>
    <xf numFmtId="0" fontId="27" fillId="0" borderId="7" xfId="0" applyFont="1" applyBorder="1" applyAlignment="1">
      <alignment horizontal="left" vertical="center" wrapText="1"/>
    </xf>
    <xf numFmtId="3" fontId="5" fillId="0" borderId="7" xfId="0" applyNumberFormat="1" applyFont="1" applyBorder="1" applyAlignment="1">
      <alignment horizontal="right" vertical="center" wrapText="1"/>
    </xf>
    <xf numFmtId="173" fontId="27" fillId="0" borderId="6" xfId="0" applyNumberFormat="1" applyFont="1" applyBorder="1" applyAlignment="1">
      <alignment horizontal="right" vertical="center" wrapText="1"/>
    </xf>
    <xf numFmtId="173" fontId="27" fillId="0" borderId="7" xfId="0" applyNumberFormat="1" applyFont="1" applyBorder="1" applyAlignment="1">
      <alignment horizontal="right" vertical="center" wrapText="1"/>
    </xf>
    <xf numFmtId="177" fontId="12" fillId="2" borderId="7" xfId="4" applyNumberFormat="1" applyFont="1" applyFill="1" applyBorder="1" applyAlignment="1">
      <alignment horizontal="right" vertical="center" wrapText="1"/>
    </xf>
    <xf numFmtId="3" fontId="5" fillId="2" borderId="25" xfId="0" applyNumberFormat="1" applyFont="1" applyFill="1" applyBorder="1" applyAlignment="1">
      <alignment horizontal="right" vertical="center" wrapText="1"/>
    </xf>
    <xf numFmtId="3" fontId="5" fillId="0" borderId="25" xfId="0" applyNumberFormat="1" applyFont="1" applyBorder="1" applyAlignment="1">
      <alignment horizontal="right" vertical="center" wrapText="1"/>
    </xf>
    <xf numFmtId="0" fontId="28" fillId="2" borderId="7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horizontal="center" vertical="center" wrapText="1"/>
    </xf>
    <xf numFmtId="3" fontId="29" fillId="2" borderId="7" xfId="0" applyNumberFormat="1" applyFont="1" applyFill="1" applyBorder="1" applyAlignment="1">
      <alignment horizontal="right" vertical="center" wrapText="1"/>
    </xf>
    <xf numFmtId="167" fontId="29" fillId="2" borderId="7" xfId="6" applyNumberFormat="1" applyFont="1" applyFill="1" applyBorder="1" applyAlignment="1">
      <alignment horizontal="right" vertical="center" wrapText="1"/>
    </xf>
    <xf numFmtId="177" fontId="30" fillId="2" borderId="19" xfId="4" applyNumberFormat="1" applyFont="1" applyFill="1" applyBorder="1" applyAlignment="1">
      <alignment horizontal="right" vertical="center" wrapText="1"/>
    </xf>
    <xf numFmtId="177" fontId="30" fillId="2" borderId="7" xfId="4" applyNumberFormat="1" applyFont="1" applyFill="1" applyBorder="1" applyAlignment="1">
      <alignment horizontal="right" vertical="center" wrapText="1"/>
    </xf>
    <xf numFmtId="0" fontId="5" fillId="2" borderId="35" xfId="0" applyFont="1" applyFill="1" applyBorder="1" applyAlignment="1">
      <alignment horizontal="left" vertical="center" wrapText="1"/>
    </xf>
    <xf numFmtId="2" fontId="0" fillId="0" borderId="7" xfId="0" applyNumberFormat="1" applyBorder="1"/>
    <xf numFmtId="177" fontId="31" fillId="9" borderId="19" xfId="4" applyNumberFormat="1" applyFont="1" applyFill="1" applyBorder="1" applyAlignment="1">
      <alignment horizontal="right" vertical="center" wrapText="1"/>
    </xf>
    <xf numFmtId="9" fontId="0" fillId="0" borderId="7" xfId="7" applyFont="1" applyBorder="1"/>
    <xf numFmtId="177" fontId="0" fillId="0" borderId="7" xfId="0" applyNumberFormat="1" applyBorder="1"/>
    <xf numFmtId="0" fontId="5" fillId="0" borderId="7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0" fillId="0" borderId="64" xfId="0" applyBorder="1" applyAlignment="1" applyProtection="1">
      <alignment vertical="center"/>
      <protection locked="0"/>
    </xf>
    <xf numFmtId="177" fontId="12" fillId="3" borderId="19" xfId="4" applyNumberFormat="1" applyFont="1" applyFill="1" applyBorder="1" applyAlignment="1">
      <alignment horizontal="right" vertical="center" wrapText="1"/>
    </xf>
    <xf numFmtId="179" fontId="5" fillId="0" borderId="8" xfId="4" applyNumberFormat="1" applyFont="1" applyFill="1" applyBorder="1" applyAlignment="1">
      <alignment horizontal="right" vertical="center" wrapText="1"/>
    </xf>
    <xf numFmtId="177" fontId="12" fillId="3" borderId="7" xfId="4" applyNumberFormat="1" applyFont="1" applyFill="1" applyBorder="1" applyAlignment="1">
      <alignment horizontal="right" vertical="center" wrapText="1"/>
    </xf>
    <xf numFmtId="3" fontId="5" fillId="10" borderId="2" xfId="0" applyNumberFormat="1" applyFont="1" applyFill="1" applyBorder="1" applyAlignment="1">
      <alignment horizontal="right" vertical="center" wrapText="1"/>
    </xf>
    <xf numFmtId="0" fontId="5" fillId="8" borderId="6" xfId="0" applyFont="1" applyFill="1" applyBorder="1" applyAlignment="1">
      <alignment vertical="center" wrapText="1"/>
    </xf>
    <xf numFmtId="0" fontId="5" fillId="8" borderId="7" xfId="0" applyFont="1" applyFill="1" applyBorder="1" applyAlignment="1">
      <alignment horizontal="left" vertical="center" wrapText="1"/>
    </xf>
    <xf numFmtId="0" fontId="5" fillId="8" borderId="7" xfId="0" applyFont="1" applyFill="1" applyBorder="1" applyAlignment="1">
      <alignment horizontal="center" vertical="center" wrapText="1"/>
    </xf>
    <xf numFmtId="3" fontId="5" fillId="8" borderId="7" xfId="0" applyNumberFormat="1" applyFont="1" applyFill="1" applyBorder="1" applyAlignment="1">
      <alignment horizontal="right" vertical="center" wrapText="1"/>
    </xf>
    <xf numFmtId="167" fontId="5" fillId="8" borderId="7" xfId="4" applyNumberFormat="1" applyFont="1" applyFill="1" applyBorder="1" applyAlignment="1">
      <alignment horizontal="right" vertical="center" wrapText="1"/>
    </xf>
    <xf numFmtId="177" fontId="12" fillId="8" borderId="19" xfId="6" applyNumberFormat="1" applyFont="1" applyFill="1" applyBorder="1" applyAlignment="1">
      <alignment horizontal="right" vertical="center" wrapText="1"/>
    </xf>
    <xf numFmtId="164" fontId="5" fillId="0" borderId="7" xfId="6" applyFont="1" applyFill="1" applyBorder="1" applyAlignment="1">
      <alignment horizontal="right" vertical="center" wrapText="1"/>
    </xf>
    <xf numFmtId="164" fontId="12" fillId="0" borderId="33" xfId="6" applyFont="1" applyFill="1" applyBorder="1" applyAlignment="1">
      <alignment horizontal="right" vertical="center" wrapText="1"/>
    </xf>
    <xf numFmtId="164" fontId="12" fillId="0" borderId="19" xfId="6" applyFont="1" applyFill="1" applyBorder="1" applyAlignment="1">
      <alignment horizontal="right" vertical="center" wrapText="1"/>
    </xf>
    <xf numFmtId="177" fontId="12" fillId="8" borderId="7" xfId="6" applyNumberFormat="1" applyFont="1" applyFill="1" applyBorder="1" applyAlignment="1">
      <alignment horizontal="right" vertical="center" wrapText="1"/>
    </xf>
    <xf numFmtId="167" fontId="5" fillId="2" borderId="7" xfId="0" applyNumberFormat="1" applyFont="1" applyFill="1" applyBorder="1" applyAlignment="1">
      <alignment horizontal="right" vertical="center" wrapText="1"/>
    </xf>
    <xf numFmtId="177" fontId="12" fillId="2" borderId="19" xfId="6" applyNumberFormat="1" applyFont="1" applyFill="1" applyBorder="1" applyAlignment="1">
      <alignment horizontal="right" vertical="center" wrapText="1"/>
    </xf>
    <xf numFmtId="177" fontId="12" fillId="2" borderId="7" xfId="6" applyNumberFormat="1" applyFont="1" applyFill="1" applyBorder="1" applyAlignment="1">
      <alignment horizontal="right" vertical="center" wrapText="1"/>
    </xf>
    <xf numFmtId="167" fontId="5" fillId="0" borderId="7" xfId="4" applyNumberFormat="1" applyFont="1" applyFill="1" applyBorder="1" applyAlignment="1">
      <alignment horizontal="right" vertical="center" wrapText="1"/>
    </xf>
    <xf numFmtId="0" fontId="5" fillId="2" borderId="65" xfId="0" applyFont="1" applyFill="1" applyBorder="1" applyAlignment="1">
      <alignment vertical="center" wrapText="1"/>
    </xf>
    <xf numFmtId="164" fontId="5" fillId="0" borderId="8" xfId="6" applyFont="1" applyFill="1" applyBorder="1" applyAlignment="1">
      <alignment horizontal="right" vertical="center" wrapText="1"/>
    </xf>
    <xf numFmtId="164" fontId="5" fillId="0" borderId="25" xfId="6" applyFont="1" applyFill="1" applyBorder="1" applyAlignment="1">
      <alignment horizontal="right" vertical="center" wrapText="1"/>
    </xf>
    <xf numFmtId="164" fontId="12" fillId="0" borderId="34" xfId="6" applyFont="1" applyFill="1" applyBorder="1" applyAlignment="1">
      <alignment horizontal="right" vertical="center" wrapText="1"/>
    </xf>
    <xf numFmtId="164" fontId="12" fillId="0" borderId="66" xfId="6" applyFont="1" applyFill="1" applyBorder="1" applyAlignment="1">
      <alignment horizontal="right" vertical="center" wrapText="1"/>
    </xf>
    <xf numFmtId="0" fontId="27" fillId="0" borderId="65" xfId="0" applyFont="1" applyBorder="1" applyAlignment="1">
      <alignment vertical="center" wrapText="1"/>
    </xf>
    <xf numFmtId="173" fontId="27" fillId="0" borderId="34" xfId="4" applyNumberFormat="1" applyFont="1" applyFill="1" applyBorder="1" applyAlignment="1">
      <alignment horizontal="right" vertical="center" wrapText="1"/>
    </xf>
    <xf numFmtId="173" fontId="27" fillId="0" borderId="66" xfId="4" applyNumberFormat="1" applyFont="1" applyFill="1" applyBorder="1" applyAlignment="1">
      <alignment horizontal="right" vertical="center" wrapText="1"/>
    </xf>
    <xf numFmtId="0" fontId="13" fillId="0" borderId="1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164" fontId="13" fillId="0" borderId="12" xfId="6" applyFont="1" applyFill="1" applyBorder="1" applyAlignment="1">
      <alignment horizontal="right" vertical="center" wrapText="1"/>
    </xf>
    <xf numFmtId="164" fontId="13" fillId="0" borderId="2" xfId="6" applyFont="1" applyFill="1" applyBorder="1" applyAlignment="1">
      <alignment horizontal="right" vertical="center" wrapText="1"/>
    </xf>
    <xf numFmtId="164" fontId="13" fillId="0" borderId="27" xfId="6" applyFont="1" applyFill="1" applyBorder="1" applyAlignment="1">
      <alignment horizontal="right" vertical="center" wrapText="1"/>
    </xf>
    <xf numFmtId="164" fontId="13" fillId="0" borderId="28" xfId="6" applyFont="1" applyFill="1" applyBorder="1" applyAlignment="1">
      <alignment horizontal="right" vertical="center" wrapText="1"/>
    </xf>
    <xf numFmtId="164" fontId="13" fillId="0" borderId="3" xfId="6" applyFont="1" applyFill="1" applyBorder="1" applyAlignment="1">
      <alignment horizontal="right" vertical="center" wrapText="1"/>
    </xf>
    <xf numFmtId="3" fontId="27" fillId="0" borderId="2" xfId="0" applyNumberFormat="1" applyFont="1" applyBorder="1" applyAlignment="1">
      <alignment horizontal="right" vertical="center" wrapText="1"/>
    </xf>
    <xf numFmtId="173" fontId="27" fillId="0" borderId="27" xfId="0" applyNumberFormat="1" applyFont="1" applyBorder="1" applyAlignment="1">
      <alignment horizontal="right" vertical="center" wrapText="1"/>
    </xf>
    <xf numFmtId="173" fontId="32" fillId="0" borderId="28" xfId="4" applyNumberFormat="1" applyFont="1" applyFill="1" applyBorder="1" applyAlignment="1">
      <alignment horizontal="right" vertical="center" wrapText="1"/>
    </xf>
    <xf numFmtId="173" fontId="32" fillId="0" borderId="1" xfId="4" applyNumberFormat="1" applyFont="1" applyFill="1" applyBorder="1" applyAlignment="1">
      <alignment horizontal="right" vertical="center" wrapText="1"/>
    </xf>
    <xf numFmtId="173" fontId="32" fillId="0" borderId="27" xfId="4" applyNumberFormat="1" applyFont="1" applyFill="1" applyBorder="1" applyAlignment="1">
      <alignment horizontal="right" vertical="center" wrapText="1"/>
    </xf>
    <xf numFmtId="173" fontId="32" fillId="0" borderId="3" xfId="4" applyNumberFormat="1" applyFont="1" applyFill="1" applyBorder="1" applyAlignment="1">
      <alignment horizontal="righ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177" fontId="12" fillId="3" borderId="32" xfId="4" applyNumberFormat="1" applyFont="1" applyFill="1" applyBorder="1" applyAlignment="1">
      <alignment horizontal="right" vertical="center" wrapText="1"/>
    </xf>
    <xf numFmtId="178" fontId="5" fillId="0" borderId="50" xfId="4" applyNumberFormat="1" applyFont="1" applyFill="1" applyBorder="1" applyAlignment="1">
      <alignment horizontal="right" vertical="center" wrapText="1"/>
    </xf>
    <xf numFmtId="178" fontId="5" fillId="0" borderId="5" xfId="4" applyNumberFormat="1" applyFont="1" applyFill="1" applyBorder="1" applyAlignment="1">
      <alignment horizontal="right" vertical="center" wrapText="1"/>
    </xf>
    <xf numFmtId="178" fontId="5" fillId="0" borderId="29" xfId="4" applyNumberFormat="1" applyFont="1" applyFill="1" applyBorder="1" applyAlignment="1">
      <alignment horizontal="right" vertical="center" wrapText="1"/>
    </xf>
    <xf numFmtId="178" fontId="12" fillId="0" borderId="30" xfId="4" applyNumberFormat="1" applyFont="1" applyFill="1" applyBorder="1" applyAlignment="1">
      <alignment horizontal="right" vertical="center" wrapText="1"/>
    </xf>
    <xf numFmtId="178" fontId="12" fillId="0" borderId="32" xfId="4" applyNumberFormat="1" applyFont="1" applyFill="1" applyBorder="1" applyAlignment="1">
      <alignment horizontal="right" vertical="center" wrapText="1"/>
    </xf>
    <xf numFmtId="177" fontId="12" fillId="3" borderId="5" xfId="4" applyNumberFormat="1" applyFont="1" applyFill="1" applyBorder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0" fillId="0" borderId="7" xfId="0" applyBorder="1"/>
    <xf numFmtId="177" fontId="12" fillId="0" borderId="32" xfId="4" applyNumberFormat="1" applyFont="1" applyFill="1" applyBorder="1" applyAlignment="1">
      <alignment horizontal="right" vertical="center" wrapText="1"/>
    </xf>
    <xf numFmtId="0" fontId="5" fillId="0" borderId="65" xfId="0" applyFont="1" applyBorder="1" applyAlignment="1">
      <alignment horizontal="left" vertical="center" wrapText="1"/>
    </xf>
    <xf numFmtId="173" fontId="26" fillId="0" borderId="28" xfId="4" applyNumberFormat="1" applyFont="1" applyFill="1" applyBorder="1" applyAlignment="1">
      <alignment horizontal="right" vertical="center" wrapText="1"/>
    </xf>
    <xf numFmtId="0" fontId="4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178" fontId="5" fillId="0" borderId="8" xfId="4" applyNumberFormat="1" applyFont="1" applyFill="1" applyBorder="1" applyAlignment="1">
      <alignment horizontal="right" vertical="center" wrapText="1"/>
    </xf>
    <xf numFmtId="178" fontId="5" fillId="0" borderId="25" xfId="4" applyNumberFormat="1" applyFont="1" applyFill="1" applyBorder="1" applyAlignment="1">
      <alignment horizontal="right" vertical="center" wrapText="1"/>
    </xf>
    <xf numFmtId="0" fontId="27" fillId="0" borderId="35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left" vertical="center" wrapText="1"/>
    </xf>
    <xf numFmtId="3" fontId="5" fillId="0" borderId="5" xfId="0" applyNumberFormat="1" applyFont="1" applyBorder="1" applyAlignment="1">
      <alignment horizontal="right" vertical="center" wrapText="1"/>
    </xf>
    <xf numFmtId="0" fontId="0" fillId="11" borderId="7" xfId="0" applyFill="1" applyBorder="1"/>
    <xf numFmtId="2" fontId="0" fillId="0" borderId="7" xfId="0" applyNumberFormat="1" applyBorder="1" applyAlignment="1">
      <alignment vertical="center"/>
    </xf>
    <xf numFmtId="9" fontId="0" fillId="0" borderId="7" xfId="7" applyFon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13" fillId="0" borderId="67" xfId="0" applyFont="1" applyBorder="1" applyAlignment="1">
      <alignment horizontal="left" vertical="center" wrapText="1"/>
    </xf>
    <xf numFmtId="177" fontId="13" fillId="0" borderId="3" xfId="6" applyNumberFormat="1" applyFont="1" applyBorder="1" applyAlignment="1">
      <alignment horizontal="right" vertical="center" wrapText="1"/>
    </xf>
    <xf numFmtId="177" fontId="13" fillId="0" borderId="2" xfId="6" applyNumberFormat="1" applyFont="1" applyBorder="1" applyAlignment="1">
      <alignment horizontal="right" vertical="center" wrapText="1"/>
    </xf>
    <xf numFmtId="2" fontId="0" fillId="0" borderId="25" xfId="0" applyNumberFormat="1" applyBorder="1" applyAlignment="1">
      <alignment vertical="center"/>
    </xf>
    <xf numFmtId="2" fontId="17" fillId="0" borderId="25" xfId="0" applyNumberFormat="1" applyFont="1" applyBorder="1" applyAlignment="1">
      <alignment vertical="center"/>
    </xf>
    <xf numFmtId="0" fontId="13" fillId="0" borderId="7" xfId="0" applyFont="1" applyBorder="1" applyAlignment="1">
      <alignment horizontal="left" vertical="center" wrapText="1"/>
    </xf>
    <xf numFmtId="0" fontId="10" fillId="0" borderId="68" xfId="0" applyFont="1" applyBorder="1" applyAlignment="1">
      <alignment horizontal="left" vertical="center" wrapText="1"/>
    </xf>
    <xf numFmtId="0" fontId="33" fillId="0" borderId="70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34" fillId="4" borderId="71" xfId="0" applyFont="1" applyFill="1" applyBorder="1" applyAlignment="1">
      <alignment horizontal="center" vertical="center" wrapText="1"/>
    </xf>
    <xf numFmtId="3" fontId="35" fillId="4" borderId="2" xfId="0" applyNumberFormat="1" applyFont="1" applyFill="1" applyBorder="1" applyAlignment="1">
      <alignment horizontal="right" vertical="center" wrapText="1"/>
    </xf>
    <xf numFmtId="167" fontId="35" fillId="4" borderId="2" xfId="0" applyNumberFormat="1" applyFont="1" applyFill="1" applyBorder="1" applyAlignment="1">
      <alignment horizontal="right" vertical="center" wrapText="1"/>
    </xf>
    <xf numFmtId="177" fontId="33" fillId="0" borderId="3" xfId="6" applyNumberFormat="1" applyFont="1" applyBorder="1" applyAlignment="1">
      <alignment horizontal="right" vertical="center" wrapText="1"/>
    </xf>
    <xf numFmtId="172" fontId="35" fillId="0" borderId="0" xfId="0" applyNumberFormat="1" applyFont="1" applyAlignment="1">
      <alignment vertical="center" wrapText="1"/>
    </xf>
    <xf numFmtId="164" fontId="33" fillId="0" borderId="12" xfId="6" applyFont="1" applyFill="1" applyBorder="1" applyAlignment="1">
      <alignment horizontal="right" vertical="center" wrapText="1"/>
    </xf>
    <xf numFmtId="164" fontId="33" fillId="0" borderId="2" xfId="6" applyFont="1" applyFill="1" applyBorder="1" applyAlignment="1">
      <alignment horizontal="right" vertical="center" wrapText="1"/>
    </xf>
    <xf numFmtId="164" fontId="33" fillId="0" borderId="27" xfId="6" applyFont="1" applyFill="1" applyBorder="1" applyAlignment="1">
      <alignment horizontal="right" vertical="center" wrapText="1"/>
    </xf>
    <xf numFmtId="164" fontId="33" fillId="0" borderId="28" xfId="6" applyFont="1" applyFill="1" applyBorder="1" applyAlignment="1">
      <alignment horizontal="right" vertical="center" wrapText="1"/>
    </xf>
    <xf numFmtId="164" fontId="33" fillId="0" borderId="3" xfId="6" applyFont="1" applyFill="1" applyBorder="1" applyAlignment="1">
      <alignment horizontal="right" vertical="center" wrapText="1"/>
    </xf>
    <xf numFmtId="0" fontId="35" fillId="0" borderId="0" xfId="0" applyFont="1" applyAlignment="1">
      <alignment vertical="center" wrapText="1"/>
    </xf>
    <xf numFmtId="0" fontId="36" fillId="0" borderId="2" xfId="0" applyFont="1" applyBorder="1" applyAlignment="1">
      <alignment horizontal="center" vertical="center" wrapText="1"/>
    </xf>
    <xf numFmtId="3" fontId="37" fillId="0" borderId="2" xfId="0" applyNumberFormat="1" applyFont="1" applyBorder="1" applyAlignment="1">
      <alignment horizontal="right" vertical="center" wrapText="1"/>
    </xf>
    <xf numFmtId="173" fontId="37" fillId="0" borderId="27" xfId="0" applyNumberFormat="1" applyFont="1" applyBorder="1" applyAlignment="1">
      <alignment horizontal="right" vertical="center" wrapText="1"/>
    </xf>
    <xf numFmtId="173" fontId="36" fillId="0" borderId="28" xfId="4" applyNumberFormat="1" applyFont="1" applyFill="1" applyBorder="1" applyAlignment="1">
      <alignment horizontal="right" vertical="center" wrapText="1"/>
    </xf>
    <xf numFmtId="173" fontId="37" fillId="0" borderId="0" xfId="0" applyNumberFormat="1" applyFont="1" applyAlignment="1">
      <alignment vertical="center" wrapText="1"/>
    </xf>
    <xf numFmtId="173" fontId="36" fillId="0" borderId="1" xfId="4" applyNumberFormat="1" applyFont="1" applyFill="1" applyBorder="1" applyAlignment="1">
      <alignment horizontal="right" vertical="center" wrapText="1"/>
    </xf>
    <xf numFmtId="173" fontId="36" fillId="0" borderId="27" xfId="4" applyNumberFormat="1" applyFont="1" applyFill="1" applyBorder="1" applyAlignment="1">
      <alignment horizontal="right" vertical="center" wrapText="1"/>
    </xf>
    <xf numFmtId="173" fontId="36" fillId="0" borderId="3" xfId="4" applyNumberFormat="1" applyFont="1" applyFill="1" applyBorder="1" applyAlignment="1">
      <alignment horizontal="right" vertical="center" wrapText="1"/>
    </xf>
    <xf numFmtId="0" fontId="38" fillId="0" borderId="0" xfId="0" applyFont="1"/>
    <xf numFmtId="177" fontId="33" fillId="0" borderId="2" xfId="6" applyNumberFormat="1" applyFont="1" applyBorder="1" applyAlignment="1">
      <alignment horizontal="right" vertical="center" wrapText="1"/>
    </xf>
    <xf numFmtId="180" fontId="32" fillId="8" borderId="7" xfId="4" applyNumberFormat="1" applyFont="1" applyFill="1" applyBorder="1" applyAlignment="1">
      <alignment horizontal="right" vertical="center" wrapText="1"/>
    </xf>
    <xf numFmtId="180" fontId="32" fillId="9" borderId="7" xfId="4" applyNumberFormat="1" applyFont="1" applyFill="1" applyBorder="1" applyAlignment="1">
      <alignment horizontal="right" vertical="center" wrapText="1"/>
    </xf>
    <xf numFmtId="9" fontId="38" fillId="0" borderId="7" xfId="7" applyFont="1" applyBorder="1"/>
    <xf numFmtId="0" fontId="5" fillId="0" borderId="0" xfId="0" applyFont="1" applyAlignment="1">
      <alignment vertical="center" wrapText="1"/>
    </xf>
    <xf numFmtId="0" fontId="39" fillId="0" borderId="7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right" vertical="center" wrapText="1"/>
    </xf>
    <xf numFmtId="167" fontId="5" fillId="0" borderId="0" xfId="0" applyNumberFormat="1" applyFont="1" applyAlignment="1">
      <alignment horizontal="right" vertical="center" wrapText="1"/>
    </xf>
    <xf numFmtId="178" fontId="4" fillId="0" borderId="0" xfId="4" applyNumberFormat="1" applyFont="1" applyBorder="1" applyAlignment="1">
      <alignment horizontal="right" vertical="center" wrapText="1"/>
    </xf>
    <xf numFmtId="178" fontId="4" fillId="0" borderId="20" xfId="4" applyNumberFormat="1" applyFont="1" applyFill="1" applyBorder="1" applyAlignment="1">
      <alignment horizontal="right" vertical="center" wrapText="1"/>
    </xf>
    <xf numFmtId="178" fontId="4" fillId="0" borderId="73" xfId="4" applyNumberFormat="1" applyFont="1" applyFill="1" applyBorder="1" applyAlignment="1">
      <alignment horizontal="right" vertical="center" wrapText="1"/>
    </xf>
    <xf numFmtId="178" fontId="4" fillId="0" borderId="36" xfId="4" applyNumberFormat="1" applyFont="1" applyFill="1" applyBorder="1" applyAlignment="1">
      <alignment horizontal="right" vertical="center" wrapText="1"/>
    </xf>
    <xf numFmtId="178" fontId="11" fillId="0" borderId="74" xfId="4" applyNumberFormat="1" applyFont="1" applyFill="1" applyBorder="1" applyAlignment="1">
      <alignment horizontal="right" vertical="center" wrapText="1"/>
    </xf>
    <xf numFmtId="178" fontId="11" fillId="0" borderId="37" xfId="4" applyNumberFormat="1" applyFont="1" applyFill="1" applyBorder="1" applyAlignment="1">
      <alignment horizontal="right" vertical="center" wrapText="1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3" fontId="27" fillId="0" borderId="0" xfId="0" applyNumberFormat="1" applyFont="1" applyAlignment="1">
      <alignment horizontal="right" vertical="center" wrapText="1"/>
    </xf>
    <xf numFmtId="173" fontId="27" fillId="0" borderId="0" xfId="0" applyNumberFormat="1" applyFont="1" applyAlignment="1">
      <alignment horizontal="right" vertical="center" wrapText="1"/>
    </xf>
    <xf numFmtId="173" fontId="26" fillId="0" borderId="74" xfId="4" applyNumberFormat="1" applyFont="1" applyFill="1" applyBorder="1" applyAlignment="1">
      <alignment horizontal="right" vertical="center" wrapText="1"/>
    </xf>
    <xf numFmtId="173" fontId="26" fillId="0" borderId="20" xfId="4" applyNumberFormat="1" applyFont="1" applyFill="1" applyBorder="1" applyAlignment="1">
      <alignment horizontal="right" vertical="center" wrapText="1"/>
    </xf>
    <xf numFmtId="173" fontId="26" fillId="0" borderId="0" xfId="4" applyNumberFormat="1" applyFont="1" applyFill="1" applyBorder="1" applyAlignment="1">
      <alignment horizontal="right" vertical="center" wrapText="1"/>
    </xf>
    <xf numFmtId="173" fontId="26" fillId="0" borderId="36" xfId="4" applyNumberFormat="1" applyFont="1" applyFill="1" applyBorder="1" applyAlignment="1">
      <alignment horizontal="right" vertical="center" wrapText="1"/>
    </xf>
    <xf numFmtId="173" fontId="26" fillId="0" borderId="37" xfId="4" applyNumberFormat="1" applyFont="1" applyFill="1" applyBorder="1" applyAlignment="1">
      <alignment horizontal="right" vertical="center" wrapText="1"/>
    </xf>
    <xf numFmtId="0" fontId="9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167" fontId="10" fillId="0" borderId="15" xfId="0" applyNumberFormat="1" applyFont="1" applyBorder="1" applyAlignment="1">
      <alignment horizontal="center" vertical="center" wrapText="1"/>
    </xf>
    <xf numFmtId="178" fontId="2" fillId="0" borderId="16" xfId="4" applyNumberFormat="1" applyFont="1" applyBorder="1" applyAlignment="1">
      <alignment horizontal="center" vertical="center" wrapText="1"/>
    </xf>
    <xf numFmtId="172" fontId="2" fillId="0" borderId="0" xfId="0" applyNumberFormat="1" applyFont="1" applyAlignment="1">
      <alignment horizontal="center" vertical="center" wrapText="1"/>
    </xf>
    <xf numFmtId="178" fontId="2" fillId="0" borderId="17" xfId="4" applyNumberFormat="1" applyFont="1" applyFill="1" applyBorder="1" applyAlignment="1">
      <alignment horizontal="center" vertical="center" wrapText="1"/>
    </xf>
    <xf numFmtId="178" fontId="2" fillId="0" borderId="15" xfId="4" applyNumberFormat="1" applyFont="1" applyFill="1" applyBorder="1" applyAlignment="1">
      <alignment horizontal="center" vertical="center" wrapText="1"/>
    </xf>
    <xf numFmtId="178" fontId="2" fillId="0" borderId="75" xfId="4" applyNumberFormat="1" applyFont="1" applyFill="1" applyBorder="1" applyAlignment="1">
      <alignment horizontal="center" vertical="center" wrapText="1"/>
    </xf>
    <xf numFmtId="178" fontId="10" fillId="0" borderId="31" xfId="4" applyNumberFormat="1" applyFont="1" applyFill="1" applyBorder="1" applyAlignment="1">
      <alignment horizontal="center" vertical="center" wrapText="1"/>
    </xf>
    <xf numFmtId="178" fontId="10" fillId="0" borderId="16" xfId="4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173" fontId="21" fillId="0" borderId="75" xfId="0" applyNumberFormat="1" applyFont="1" applyBorder="1" applyAlignment="1">
      <alignment horizontal="center" vertical="center" wrapText="1"/>
    </xf>
    <xf numFmtId="173" fontId="21" fillId="0" borderId="31" xfId="4" applyNumberFormat="1" applyFont="1" applyFill="1" applyBorder="1" applyAlignment="1">
      <alignment horizontal="center" vertical="center" wrapText="1"/>
    </xf>
    <xf numFmtId="173" fontId="21" fillId="0" borderId="0" xfId="0" applyNumberFormat="1" applyFont="1" applyAlignment="1">
      <alignment horizontal="center" vertical="center" wrapText="1"/>
    </xf>
    <xf numFmtId="173" fontId="27" fillId="0" borderId="1" xfId="4" applyNumberFormat="1" applyFont="1" applyFill="1" applyBorder="1" applyAlignment="1">
      <alignment horizontal="center" vertical="center" wrapText="1"/>
    </xf>
    <xf numFmtId="173" fontId="27" fillId="0" borderId="27" xfId="4" applyNumberFormat="1" applyFont="1" applyFill="1" applyBorder="1" applyAlignment="1">
      <alignment horizontal="center" vertical="center" wrapText="1"/>
    </xf>
    <xf numFmtId="173" fontId="27" fillId="0" borderId="3" xfId="4" applyNumberFormat="1" applyFont="1" applyFill="1" applyBorder="1" applyAlignment="1">
      <alignment horizontal="center" vertical="center" wrapText="1"/>
    </xf>
    <xf numFmtId="173" fontId="21" fillId="0" borderId="16" xfId="4" applyNumberFormat="1" applyFont="1" applyFill="1" applyBorder="1" applyAlignment="1">
      <alignment horizontal="center" vertical="center" wrapText="1"/>
    </xf>
    <xf numFmtId="0" fontId="38" fillId="0" borderId="7" xfId="0" applyFont="1" applyBorder="1"/>
    <xf numFmtId="0" fontId="2" fillId="0" borderId="8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167" fontId="10" fillId="0" borderId="7" xfId="7" applyNumberFormat="1" applyFont="1" applyBorder="1" applyAlignment="1">
      <alignment horizontal="center" vertical="center" wrapText="1"/>
    </xf>
    <xf numFmtId="164" fontId="2" fillId="0" borderId="19" xfId="6" applyFont="1" applyBorder="1" applyAlignment="1">
      <alignment horizontal="right" vertical="center" wrapText="1"/>
    </xf>
    <xf numFmtId="164" fontId="2" fillId="0" borderId="25" xfId="6" applyFont="1" applyFill="1" applyBorder="1" applyAlignment="1">
      <alignment horizontal="right" vertical="center" wrapText="1"/>
    </xf>
    <xf numFmtId="164" fontId="2" fillId="0" borderId="7" xfId="6" applyFont="1" applyFill="1" applyBorder="1" applyAlignment="1">
      <alignment horizontal="right" vertical="center" wrapText="1"/>
    </xf>
    <xf numFmtId="164" fontId="10" fillId="0" borderId="33" xfId="6" applyFont="1" applyFill="1" applyBorder="1" applyAlignment="1">
      <alignment horizontal="right" vertical="center" wrapText="1"/>
    </xf>
    <xf numFmtId="164" fontId="10" fillId="0" borderId="19" xfId="6" applyFont="1" applyFill="1" applyBorder="1" applyAlignment="1">
      <alignment horizontal="right" vertical="center" wrapText="1"/>
    </xf>
    <xf numFmtId="9" fontId="21" fillId="0" borderId="25" xfId="7" applyFont="1" applyFill="1" applyBorder="1" applyAlignment="1">
      <alignment horizontal="center" vertical="center" wrapText="1"/>
    </xf>
    <xf numFmtId="173" fontId="27" fillId="0" borderId="33" xfId="0" applyNumberFormat="1" applyFont="1" applyBorder="1" applyAlignment="1">
      <alignment horizontal="right" vertical="center" wrapText="1"/>
    </xf>
    <xf numFmtId="173" fontId="21" fillId="0" borderId="33" xfId="4" applyNumberFormat="1" applyFont="1" applyFill="1" applyBorder="1" applyAlignment="1">
      <alignment horizontal="right" vertical="center" wrapText="1"/>
    </xf>
    <xf numFmtId="173" fontId="21" fillId="0" borderId="19" xfId="4" applyNumberFormat="1" applyFont="1" applyFill="1" applyBorder="1" applyAlignment="1">
      <alignment horizontal="right" vertical="center" wrapText="1"/>
    </xf>
    <xf numFmtId="181" fontId="2" fillId="0" borderId="19" xfId="4" applyNumberFormat="1" applyFont="1" applyBorder="1" applyAlignment="1">
      <alignment horizontal="center" vertical="center" wrapText="1"/>
    </xf>
    <xf numFmtId="181" fontId="2" fillId="0" borderId="19" xfId="4" applyNumberFormat="1" applyFont="1" applyBorder="1" applyAlignment="1">
      <alignment horizontal="right" vertical="center" wrapText="1"/>
    </xf>
    <xf numFmtId="164" fontId="2" fillId="0" borderId="19" xfId="6" applyFont="1" applyFill="1" applyBorder="1" applyAlignment="1">
      <alignment horizontal="right" vertical="center" wrapText="1"/>
    </xf>
    <xf numFmtId="181" fontId="21" fillId="0" borderId="19" xfId="4" applyNumberFormat="1" applyFont="1" applyFill="1" applyBorder="1" applyAlignment="1">
      <alignment horizontal="center" vertical="center" wrapText="1"/>
    </xf>
    <xf numFmtId="181" fontId="21" fillId="0" borderId="19" xfId="4" applyNumberFormat="1" applyFont="1" applyFill="1" applyBorder="1" applyAlignment="1">
      <alignment horizontal="right" vertical="center" wrapText="1"/>
    </xf>
    <xf numFmtId="0" fontId="33" fillId="0" borderId="1" xfId="0" applyFont="1" applyBorder="1" applyAlignment="1">
      <alignment vertical="center" wrapText="1"/>
    </xf>
    <xf numFmtId="0" fontId="33" fillId="0" borderId="2" xfId="0" applyFont="1" applyBorder="1" applyAlignment="1">
      <alignment vertical="center" wrapText="1"/>
    </xf>
    <xf numFmtId="167" fontId="33" fillId="0" borderId="2" xfId="0" applyNumberFormat="1" applyFont="1" applyBorder="1" applyAlignment="1">
      <alignment horizontal="center" vertical="center" wrapText="1"/>
    </xf>
    <xf numFmtId="164" fontId="33" fillId="0" borderId="3" xfId="6" applyFont="1" applyBorder="1" applyAlignment="1">
      <alignment horizontal="right" vertical="center" wrapText="1"/>
    </xf>
    <xf numFmtId="179" fontId="35" fillId="0" borderId="0" xfId="0" applyNumberFormat="1" applyFont="1" applyAlignment="1">
      <alignment vertical="center" wrapText="1"/>
    </xf>
    <xf numFmtId="9" fontId="36" fillId="0" borderId="27" xfId="7" applyFont="1" applyFill="1" applyBorder="1" applyAlignment="1">
      <alignment horizontal="center" vertical="center" wrapText="1"/>
    </xf>
    <xf numFmtId="173" fontId="36" fillId="0" borderId="38" xfId="4" applyNumberFormat="1" applyFont="1" applyFill="1" applyBorder="1" applyAlignment="1">
      <alignment horizontal="right" vertical="center" wrapText="1"/>
    </xf>
    <xf numFmtId="0" fontId="40" fillId="0" borderId="27" xfId="0" applyFont="1" applyBorder="1"/>
    <xf numFmtId="3" fontId="40" fillId="0" borderId="69" xfId="0" applyNumberFormat="1" applyFont="1" applyBorder="1" applyAlignment="1">
      <alignment horizontal="right" vertical="center" wrapText="1"/>
    </xf>
    <xf numFmtId="167" fontId="2" fillId="0" borderId="0" xfId="0" applyNumberFormat="1" applyFont="1" applyAlignment="1">
      <alignment horizontal="right" vertical="center" wrapText="1"/>
    </xf>
    <xf numFmtId="164" fontId="2" fillId="0" borderId="0" xfId="6" applyFont="1" applyBorder="1" applyAlignment="1">
      <alignment horizontal="right" vertical="center" wrapText="1"/>
    </xf>
    <xf numFmtId="179" fontId="2" fillId="0" borderId="0" xfId="0" applyNumberFormat="1" applyFont="1" applyAlignment="1">
      <alignment vertical="center" wrapText="1"/>
    </xf>
    <xf numFmtId="164" fontId="10" fillId="0" borderId="20" xfId="6" applyFont="1" applyFill="1" applyBorder="1" applyAlignment="1">
      <alignment horizontal="right" vertical="center" wrapText="1"/>
    </xf>
    <xf numFmtId="164" fontId="10" fillId="0" borderId="73" xfId="6" applyFont="1" applyFill="1" applyBorder="1" applyAlignment="1">
      <alignment horizontal="right" vertical="center" wrapText="1"/>
    </xf>
    <xf numFmtId="164" fontId="10" fillId="0" borderId="36" xfId="6" applyFont="1" applyFill="1" applyBorder="1" applyAlignment="1">
      <alignment horizontal="right" vertical="center" wrapText="1"/>
    </xf>
    <xf numFmtId="164" fontId="10" fillId="0" borderId="74" xfId="6" applyFont="1" applyFill="1" applyBorder="1" applyAlignment="1">
      <alignment horizontal="right" vertical="center" wrapText="1"/>
    </xf>
    <xf numFmtId="164" fontId="10" fillId="0" borderId="37" xfId="6" applyFont="1" applyFill="1" applyBorder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 wrapText="1"/>
    </xf>
    <xf numFmtId="0" fontId="41" fillId="0" borderId="27" xfId="0" applyFont="1" applyBorder="1"/>
    <xf numFmtId="3" fontId="21" fillId="0" borderId="69" xfId="0" applyNumberFormat="1" applyFont="1" applyBorder="1" applyAlignment="1">
      <alignment horizontal="right" vertical="center" wrapText="1"/>
    </xf>
    <xf numFmtId="173" fontId="21" fillId="0" borderId="0" xfId="0" applyNumberFormat="1" applyFont="1" applyAlignment="1">
      <alignment horizontal="right" vertical="center" wrapText="1"/>
    </xf>
    <xf numFmtId="173" fontId="21" fillId="0" borderId="74" xfId="4" applyNumberFormat="1" applyFont="1" applyFill="1" applyBorder="1" applyAlignment="1">
      <alignment horizontal="right" vertical="center" wrapText="1"/>
    </xf>
    <xf numFmtId="173" fontId="21" fillId="0" borderId="76" xfId="4" applyNumberFormat="1" applyFont="1" applyFill="1" applyBorder="1" applyAlignment="1">
      <alignment horizontal="right" vertical="center" wrapText="1"/>
    </xf>
    <xf numFmtId="173" fontId="21" fillId="0" borderId="36" xfId="4" applyNumberFormat="1" applyFont="1" applyFill="1" applyBorder="1" applyAlignment="1">
      <alignment horizontal="right" vertical="center" wrapText="1"/>
    </xf>
    <xf numFmtId="173" fontId="21" fillId="0" borderId="37" xfId="4" applyNumberFormat="1" applyFont="1" applyFill="1" applyBorder="1" applyAlignment="1">
      <alignment horizontal="right" vertical="center" wrapText="1"/>
    </xf>
    <xf numFmtId="0" fontId="10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0" fillId="0" borderId="38" xfId="0" applyFont="1" applyBorder="1" applyAlignment="1">
      <alignment horizontal="center" vertical="center" wrapText="1"/>
    </xf>
    <xf numFmtId="164" fontId="10" fillId="0" borderId="3" xfId="6" applyFont="1" applyBorder="1" applyAlignment="1">
      <alignment horizontal="right" vertical="center" wrapText="1"/>
    </xf>
    <xf numFmtId="164" fontId="10" fillId="0" borderId="12" xfId="6" applyFont="1" applyFill="1" applyBorder="1" applyAlignment="1">
      <alignment horizontal="right" vertical="center" wrapText="1"/>
    </xf>
    <xf numFmtId="164" fontId="10" fillId="0" borderId="2" xfId="6" applyFont="1" applyFill="1" applyBorder="1" applyAlignment="1">
      <alignment horizontal="right" vertical="center" wrapText="1"/>
    </xf>
    <xf numFmtId="164" fontId="10" fillId="0" borderId="27" xfId="6" applyFont="1" applyFill="1" applyBorder="1" applyAlignment="1">
      <alignment horizontal="right" vertical="center" wrapText="1"/>
    </xf>
    <xf numFmtId="164" fontId="10" fillId="0" borderId="28" xfId="6" applyFont="1" applyFill="1" applyBorder="1" applyAlignment="1">
      <alignment horizontal="right" vertical="center" wrapText="1"/>
    </xf>
    <xf numFmtId="164" fontId="10" fillId="0" borderId="3" xfId="6" applyFont="1" applyFill="1" applyBorder="1" applyAlignment="1">
      <alignment horizontal="right" vertical="center" wrapText="1"/>
    </xf>
    <xf numFmtId="173" fontId="21" fillId="0" borderId="28" xfId="4" applyNumberFormat="1" applyFont="1" applyFill="1" applyBorder="1" applyAlignment="1">
      <alignment horizontal="right" vertical="center" wrapText="1"/>
    </xf>
    <xf numFmtId="173" fontId="21" fillId="0" borderId="1" xfId="4" applyNumberFormat="1" applyFont="1" applyFill="1" applyBorder="1" applyAlignment="1">
      <alignment horizontal="right" vertical="center" wrapText="1"/>
    </xf>
    <xf numFmtId="173" fontId="21" fillId="0" borderId="38" xfId="4" applyNumberFormat="1" applyFont="1" applyFill="1" applyBorder="1" applyAlignment="1">
      <alignment horizontal="right" vertical="center" wrapText="1"/>
    </xf>
    <xf numFmtId="173" fontId="21" fillId="0" borderId="27" xfId="4" applyNumberFormat="1" applyFont="1" applyFill="1" applyBorder="1" applyAlignment="1">
      <alignment horizontal="right" vertical="center" wrapText="1"/>
    </xf>
    <xf numFmtId="173" fontId="21" fillId="0" borderId="3" xfId="4" applyNumberFormat="1" applyFont="1" applyFill="1" applyBorder="1" applyAlignment="1">
      <alignment horizontal="right" vertical="center" wrapText="1"/>
    </xf>
    <xf numFmtId="0" fontId="0" fillId="2" borderId="0" xfId="0" applyFill="1"/>
    <xf numFmtId="167" fontId="0" fillId="2" borderId="0" xfId="0" applyNumberFormat="1" applyFill="1"/>
    <xf numFmtId="174" fontId="0" fillId="2" borderId="0" xfId="0" applyNumberFormat="1" applyFill="1"/>
    <xf numFmtId="172" fontId="0" fillId="0" borderId="0" xfId="0" applyNumberFormat="1"/>
    <xf numFmtId="174" fontId="0" fillId="0" borderId="0" xfId="0" applyNumberFormat="1"/>
    <xf numFmtId="3" fontId="0" fillId="0" borderId="0" xfId="0" applyNumberFormat="1"/>
    <xf numFmtId="167" fontId="0" fillId="0" borderId="0" xfId="0" applyNumberFormat="1"/>
    <xf numFmtId="0" fontId="0" fillId="11" borderId="0" xfId="0" applyFill="1"/>
    <xf numFmtId="0" fontId="42" fillId="5" borderId="60" xfId="0" applyFont="1" applyFill="1" applyBorder="1" applyAlignment="1">
      <alignment horizontal="center" vertical="center" wrapText="1"/>
    </xf>
    <xf numFmtId="0" fontId="43" fillId="6" borderId="60" xfId="0" applyFont="1" applyFill="1" applyBorder="1" applyAlignment="1">
      <alignment horizontal="center" vertical="center" wrapText="1"/>
    </xf>
    <xf numFmtId="168" fontId="43" fillId="6" borderId="60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0" fillId="0" borderId="0" xfId="0" applyAlignment="1">
      <alignment horizontal="right"/>
    </xf>
    <xf numFmtId="0" fontId="0" fillId="0" borderId="7" xfId="0" applyBorder="1" applyAlignment="1">
      <alignment horizontal="right" vertical="center"/>
    </xf>
    <xf numFmtId="169" fontId="0" fillId="0" borderId="7" xfId="0" applyNumberFormat="1" applyBorder="1" applyAlignment="1">
      <alignment horizontal="right" vertical="center"/>
    </xf>
    <xf numFmtId="170" fontId="0" fillId="0" borderId="5" xfId="0" applyNumberFormat="1" applyBorder="1" applyAlignment="1">
      <alignment horizontal="right" vertical="center"/>
    </xf>
    <xf numFmtId="170" fontId="0" fillId="0" borderId="7" xfId="0" applyNumberFormat="1" applyBorder="1" applyAlignment="1">
      <alignment horizontal="right" vertical="center"/>
    </xf>
    <xf numFmtId="170" fontId="1" fillId="0" borderId="7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170" fontId="16" fillId="0" borderId="7" xfId="0" applyNumberFormat="1" applyFont="1" applyBorder="1" applyAlignment="1">
      <alignment horizontal="right" vertical="center"/>
    </xf>
    <xf numFmtId="170" fontId="0" fillId="0" borderId="35" xfId="0" applyNumberFormat="1" applyBorder="1" applyAlignment="1">
      <alignment horizontal="right" vertical="center"/>
    </xf>
    <xf numFmtId="0" fontId="0" fillId="12" borderId="36" xfId="0" applyFill="1" applyBorder="1" applyAlignment="1">
      <alignment horizontal="center" vertical="center"/>
    </xf>
    <xf numFmtId="171" fontId="1" fillId="0" borderId="61" xfId="0" applyNumberFormat="1" applyFont="1" applyBorder="1" applyAlignment="1">
      <alignment horizontal="center"/>
    </xf>
    <xf numFmtId="165" fontId="0" fillId="0" borderId="0" xfId="3" applyFont="1" applyAlignment="1">
      <alignment horizontal="right"/>
    </xf>
    <xf numFmtId="165" fontId="43" fillId="6" borderId="60" xfId="3" applyFont="1" applyFill="1" applyBorder="1" applyAlignment="1">
      <alignment horizontal="center" vertical="center" wrapText="1"/>
    </xf>
    <xf numFmtId="165" fontId="0" fillId="0" borderId="5" xfId="3" applyFont="1" applyBorder="1" applyAlignment="1">
      <alignment horizontal="right" vertical="center"/>
    </xf>
    <xf numFmtId="165" fontId="0" fillId="0" borderId="7" xfId="3" applyFont="1" applyBorder="1" applyAlignment="1">
      <alignment horizontal="right" vertical="center"/>
    </xf>
    <xf numFmtId="165" fontId="16" fillId="0" borderId="7" xfId="3" applyFont="1" applyBorder="1" applyAlignment="1">
      <alignment horizontal="right" vertical="center"/>
    </xf>
    <xf numFmtId="165" fontId="0" fillId="7" borderId="7" xfId="3" applyFont="1" applyFill="1" applyBorder="1" applyAlignment="1">
      <alignment horizontal="right" vertical="center"/>
    </xf>
    <xf numFmtId="0" fontId="36" fillId="0" borderId="1" xfId="0" applyFont="1" applyBorder="1" applyAlignment="1">
      <alignment vertical="center" wrapText="1"/>
    </xf>
    <xf numFmtId="0" fontId="36" fillId="0" borderId="2" xfId="0" applyFont="1" applyBorder="1" applyAlignment="1">
      <alignment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left" vertical="center" wrapText="1"/>
    </xf>
    <xf numFmtId="0" fontId="21" fillId="0" borderId="38" xfId="0" applyFont="1" applyBorder="1" applyAlignment="1">
      <alignment horizontal="left" vertical="center" wrapText="1"/>
    </xf>
    <xf numFmtId="0" fontId="21" fillId="0" borderId="69" xfId="0" applyFont="1" applyBorder="1" applyAlignment="1">
      <alignment vertical="center" wrapText="1"/>
    </xf>
    <xf numFmtId="0" fontId="36" fillId="0" borderId="12" xfId="0" applyFont="1" applyBorder="1" applyAlignment="1">
      <alignment horizontal="left" vertical="center" wrapText="1"/>
    </xf>
    <xf numFmtId="0" fontId="37" fillId="0" borderId="38" xfId="0" applyFont="1" applyBorder="1" applyAlignment="1">
      <alignment horizontal="left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54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172" fontId="21" fillId="0" borderId="25" xfId="0" applyNumberFormat="1" applyFont="1" applyBorder="1" applyAlignment="1">
      <alignment horizontal="center" vertical="center" wrapText="1"/>
    </xf>
    <xf numFmtId="172" fontId="21" fillId="0" borderId="24" xfId="0" applyNumberFormat="1" applyFont="1" applyBorder="1" applyAlignment="1">
      <alignment horizontal="center" vertical="center" wrapText="1"/>
    </xf>
    <xf numFmtId="9" fontId="0" fillId="0" borderId="20" xfId="7" applyFont="1" applyFill="1" applyBorder="1" applyAlignment="1">
      <alignment horizontal="center" vertical="center"/>
    </xf>
    <xf numFmtId="0" fontId="32" fillId="0" borderId="1" xfId="0" applyFont="1" applyBorder="1" applyAlignment="1">
      <alignment horizontal="left" vertical="center" wrapText="1"/>
    </xf>
    <xf numFmtId="0" fontId="21" fillId="0" borderId="2" xfId="0" applyFont="1" applyBorder="1" applyAlignment="1">
      <alignment vertical="center" wrapText="1"/>
    </xf>
    <xf numFmtId="0" fontId="21" fillId="0" borderId="2" xfId="0" applyFont="1" applyBorder="1" applyAlignment="1">
      <alignment horizontal="left" vertical="center" wrapText="1"/>
    </xf>
    <xf numFmtId="0" fontId="9" fillId="2" borderId="25" xfId="0" applyFont="1" applyFill="1" applyBorder="1" applyAlignment="1">
      <alignment horizontal="left" vertical="center" wrapText="1"/>
    </xf>
    <xf numFmtId="0" fontId="9" fillId="2" borderId="54" xfId="0" applyFont="1" applyFill="1" applyBorder="1" applyAlignment="1">
      <alignment horizontal="left" vertical="center" wrapText="1"/>
    </xf>
    <xf numFmtId="0" fontId="9" fillId="2" borderId="24" xfId="0" applyFont="1" applyFill="1" applyBorder="1" applyAlignment="1">
      <alignment horizontal="left" vertical="center" wrapText="1"/>
    </xf>
    <xf numFmtId="172" fontId="22" fillId="0" borderId="12" xfId="4" applyNumberFormat="1" applyFont="1" applyFill="1" applyBorder="1" applyAlignment="1">
      <alignment horizontal="center" vertical="center" wrapText="1"/>
    </xf>
    <xf numFmtId="172" fontId="22" fillId="0" borderId="38" xfId="4" applyNumberFormat="1" applyFont="1" applyFill="1" applyBorder="1" applyAlignment="1">
      <alignment horizontal="center" vertical="center" wrapText="1"/>
    </xf>
    <xf numFmtId="172" fontId="22" fillId="0" borderId="54" xfId="4" quotePrefix="1" applyNumberFormat="1" applyFont="1" applyFill="1" applyBorder="1" applyAlignment="1">
      <alignment horizontal="left" vertical="center" wrapText="1"/>
    </xf>
    <xf numFmtId="172" fontId="22" fillId="0" borderId="24" xfId="4" applyNumberFormat="1" applyFont="1" applyFill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25" fillId="0" borderId="24" xfId="0" applyFont="1" applyBorder="1" applyAlignment="1">
      <alignment horizontal="left" vertical="center" wrapText="1"/>
    </xf>
    <xf numFmtId="0" fontId="3" fillId="2" borderId="47" xfId="0" applyFont="1" applyFill="1" applyBorder="1" applyAlignment="1">
      <alignment horizontal="left" vertical="center" wrapText="1"/>
    </xf>
    <xf numFmtId="0" fontId="3" fillId="2" borderId="57" xfId="0" applyFont="1" applyFill="1" applyBorder="1" applyAlignment="1">
      <alignment horizontal="left" vertical="center" wrapText="1"/>
    </xf>
    <xf numFmtId="0" fontId="3" fillId="2" borderId="58" xfId="0" applyFont="1" applyFill="1" applyBorder="1" applyAlignment="1">
      <alignment horizontal="left" vertical="center" wrapText="1"/>
    </xf>
    <xf numFmtId="172" fontId="10" fillId="0" borderId="25" xfId="0" applyNumberFormat="1" applyFont="1" applyBorder="1" applyAlignment="1">
      <alignment horizontal="center" vertical="center" wrapText="1"/>
    </xf>
    <xf numFmtId="172" fontId="10" fillId="0" borderId="24" xfId="0" applyNumberFormat="1" applyFont="1" applyBorder="1" applyAlignment="1">
      <alignment horizontal="center" vertical="center" wrapText="1"/>
    </xf>
    <xf numFmtId="0" fontId="21" fillId="0" borderId="54" xfId="0" applyFont="1" applyBorder="1" applyAlignment="1">
      <alignment horizontal="left" vertical="center" wrapText="1"/>
    </xf>
    <xf numFmtId="0" fontId="21" fillId="0" borderId="24" xfId="0" applyFont="1" applyBorder="1" applyAlignment="1">
      <alignment horizontal="left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54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172" fontId="3" fillId="0" borderId="25" xfId="4" applyNumberFormat="1" applyFont="1" applyFill="1" applyBorder="1" applyAlignment="1">
      <alignment horizontal="center" vertical="center" wrapText="1"/>
    </xf>
    <xf numFmtId="172" fontId="2" fillId="0" borderId="25" xfId="4" applyNumberFormat="1" applyFont="1" applyFill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173" fontId="7" fillId="0" borderId="25" xfId="0" applyNumberFormat="1" applyFont="1" applyBorder="1" applyAlignment="1">
      <alignment horizontal="center" vertical="center" wrapText="1"/>
    </xf>
    <xf numFmtId="173" fontId="20" fillId="0" borderId="54" xfId="0" applyNumberFormat="1" applyFont="1" applyBorder="1" applyAlignment="1">
      <alignment horizontal="center" vertical="center" wrapText="1"/>
    </xf>
    <xf numFmtId="173" fontId="20" fillId="0" borderId="24" xfId="0" applyNumberFormat="1" applyFont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left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166" fontId="11" fillId="0" borderId="38" xfId="1" applyNumberFormat="1" applyFont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166" fontId="11" fillId="2" borderId="49" xfId="1" applyNumberFormat="1" applyFont="1" applyFill="1" applyBorder="1" applyAlignment="1">
      <alignment horizontal="left" vertical="center"/>
    </xf>
    <xf numFmtId="0" fontId="7" fillId="2" borderId="59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 wrapText="1"/>
    </xf>
    <xf numFmtId="166" fontId="13" fillId="2" borderId="3" xfId="1" applyNumberFormat="1" applyFont="1" applyFill="1" applyBorder="1" applyAlignment="1">
      <alignment horizontal="left" vertical="center"/>
    </xf>
    <xf numFmtId="166" fontId="2" fillId="2" borderId="0" xfId="1" applyNumberFormat="1" applyFont="1" applyFill="1" applyAlignment="1">
      <alignment horizontal="center" vertical="center" wrapText="1"/>
    </xf>
    <xf numFmtId="166" fontId="2" fillId="2" borderId="0" xfId="1" applyNumberFormat="1" applyFont="1" applyFill="1" applyAlignment="1">
      <alignment horizontal="right" vertical="center"/>
    </xf>
    <xf numFmtId="0" fontId="2" fillId="2" borderId="7" xfId="0" applyFont="1" applyFill="1" applyBorder="1" applyAlignment="1">
      <alignment horizontal="center" vertical="center" wrapText="1"/>
    </xf>
    <xf numFmtId="166" fontId="11" fillId="2" borderId="3" xfId="1" applyNumberFormat="1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19" fillId="0" borderId="54" xfId="0" applyFont="1" applyBorder="1" applyAlignment="1"/>
    <xf numFmtId="0" fontId="19" fillId="0" borderId="24" xfId="0" applyFont="1" applyBorder="1" applyAlignment="1"/>
    <xf numFmtId="0" fontId="0" fillId="0" borderId="54" xfId="0" applyBorder="1" applyAlignment="1"/>
    <xf numFmtId="0" fontId="0" fillId="0" borderId="24" xfId="0" applyBorder="1" applyAlignment="1"/>
    <xf numFmtId="0" fontId="0" fillId="0" borderId="59" xfId="0" applyBorder="1" applyAlignment="1"/>
    <xf numFmtId="0" fontId="0" fillId="0" borderId="22" xfId="0" applyBorder="1" applyAlignment="1"/>
    <xf numFmtId="0" fontId="0" fillId="0" borderId="38" xfId="0" applyBorder="1" applyAlignment="1"/>
    <xf numFmtId="0" fontId="0" fillId="0" borderId="46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57" xfId="0" applyBorder="1" applyAlignment="1"/>
    <xf numFmtId="0" fontId="0" fillId="0" borderId="58" xfId="0" applyBorder="1" applyAlignment="1"/>
  </cellXfs>
  <cellStyles count="8">
    <cellStyle name="Comma 2" xfId="5" xr:uid="{AC5F9714-7287-48AB-A27F-E1798ECB9ADD}"/>
    <cellStyle name="Currency 2" xfId="6" xr:uid="{B7F09FAF-76FA-439C-B2C5-7EA005C5A41B}"/>
    <cellStyle name="Euro" xfId="1" xr:uid="{00000000-0005-0000-0000-000001000000}"/>
    <cellStyle name="Euro 2" xfId="4" xr:uid="{14FBFA40-7AE9-4519-BFE3-E8A6F276A9BE}"/>
    <cellStyle name="Milliers" xfId="3" builtinId="3"/>
    <cellStyle name="Normal" xfId="0" builtinId="0"/>
    <cellStyle name="Percent 2" xfId="7" xr:uid="{8FD0E72C-28D9-4BB3-BD56-6572A875CDA2}"/>
    <cellStyle name="Pourcentage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MZ\Work\ZACA%20international\P060%20FDF\Audit\AUDIT%20Turquie%20Syrie\Syria\Sened\SENED_Budget_Solidarity_Syria-Turkey_2023_05_17_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of the organization"/>
      <sheetName val="Project Budget in EUR"/>
      <sheetName val="Amendment EUR (2)"/>
      <sheetName val="Transactions List"/>
      <sheetName val="EX InforEuro"/>
      <sheetName val="Project Budget in euros"/>
    </sheetNames>
    <sheetDataSet>
      <sheetData sheetId="0" refreshError="1"/>
      <sheetData sheetId="1" refreshError="1"/>
      <sheetData sheetId="2" refreshError="1"/>
      <sheetData sheetId="3">
        <row r="4">
          <cell r="B4" t="str">
            <v>Budget</v>
          </cell>
          <cell r="L4" t="str">
            <v>Expenditure in the currency of Grant Agreement
€</v>
          </cell>
          <cell r="N4" t="str">
            <v>Year</v>
          </cell>
          <cell r="O4" t="str">
            <v>Period</v>
          </cell>
        </row>
        <row r="5">
          <cell r="B5" t="str">
            <v>1.1.08</v>
          </cell>
          <cell r="L5">
            <v>373.11841279999999</v>
          </cell>
          <cell r="N5">
            <v>2024</v>
          </cell>
          <cell r="O5">
            <v>8</v>
          </cell>
        </row>
        <row r="6">
          <cell r="B6" t="str">
            <v>1.1.08</v>
          </cell>
          <cell r="L6">
            <v>115.85487759999999</v>
          </cell>
          <cell r="N6">
            <v>2024</v>
          </cell>
          <cell r="O6">
            <v>8</v>
          </cell>
        </row>
        <row r="7">
          <cell r="B7" t="str">
            <v>1.1.08</v>
          </cell>
          <cell r="L7">
            <v>952.4497576</v>
          </cell>
          <cell r="N7">
            <v>2024</v>
          </cell>
          <cell r="O7">
            <v>8</v>
          </cell>
        </row>
        <row r="8">
          <cell r="B8" t="str">
            <v>1.1.08</v>
          </cell>
          <cell r="L8">
            <v>356.32729439999997</v>
          </cell>
          <cell r="N8">
            <v>2024</v>
          </cell>
          <cell r="O8">
            <v>9</v>
          </cell>
        </row>
        <row r="9">
          <cell r="B9" t="str">
            <v>1.1.08</v>
          </cell>
          <cell r="L9">
            <v>865.30312260000005</v>
          </cell>
          <cell r="N9">
            <v>2024</v>
          </cell>
          <cell r="O9">
            <v>9</v>
          </cell>
        </row>
        <row r="10">
          <cell r="B10" t="str">
            <v>1.1.08</v>
          </cell>
          <cell r="L10">
            <v>147.13770960000002</v>
          </cell>
          <cell r="N10">
            <v>2024</v>
          </cell>
          <cell r="O10">
            <v>9</v>
          </cell>
        </row>
        <row r="11">
          <cell r="B11" t="str">
            <v>1.1.08</v>
          </cell>
          <cell r="L11">
            <v>-1.4609783999999999</v>
          </cell>
          <cell r="N11">
            <v>2024</v>
          </cell>
          <cell r="O11">
            <v>10</v>
          </cell>
        </row>
        <row r="12">
          <cell r="B12" t="str">
            <v>1.1.08</v>
          </cell>
          <cell r="L12">
            <v>351.74130000000002</v>
          </cell>
          <cell r="N12">
            <v>2024</v>
          </cell>
          <cell r="O12">
            <v>10</v>
          </cell>
        </row>
        <row r="13">
          <cell r="B13" t="str">
            <v>1.1.08</v>
          </cell>
          <cell r="L13">
            <v>161.49946799999998</v>
          </cell>
          <cell r="N13">
            <v>2024</v>
          </cell>
          <cell r="O13">
            <v>10</v>
          </cell>
        </row>
        <row r="14">
          <cell r="B14" t="str">
            <v>1.1.08</v>
          </cell>
          <cell r="L14">
            <v>842.37859260000005</v>
          </cell>
          <cell r="N14">
            <v>2024</v>
          </cell>
          <cell r="O14">
            <v>10</v>
          </cell>
        </row>
        <row r="15">
          <cell r="B15" t="str">
            <v>1.1.08</v>
          </cell>
          <cell r="L15">
            <v>-1.6337760000000001</v>
          </cell>
          <cell r="N15">
            <v>2024</v>
          </cell>
          <cell r="O15">
            <v>11</v>
          </cell>
        </row>
        <row r="16">
          <cell r="B16" t="str">
            <v>1.1.08</v>
          </cell>
          <cell r="L16">
            <v>167.06545840000001</v>
          </cell>
          <cell r="N16">
            <v>2024</v>
          </cell>
          <cell r="O16">
            <v>11</v>
          </cell>
        </row>
        <row r="17">
          <cell r="B17" t="str">
            <v>1.1.08</v>
          </cell>
          <cell r="L17">
            <v>363.06061440000002</v>
          </cell>
          <cell r="N17">
            <v>2024</v>
          </cell>
          <cell r="O17">
            <v>11</v>
          </cell>
        </row>
        <row r="18">
          <cell r="B18" t="str">
            <v>1.1.08</v>
          </cell>
          <cell r="L18">
            <v>864.50690880000002</v>
          </cell>
          <cell r="N18">
            <v>2024</v>
          </cell>
          <cell r="O18">
            <v>11</v>
          </cell>
        </row>
        <row r="19">
          <cell r="B19" t="str">
            <v>1.1.08</v>
          </cell>
          <cell r="L19">
            <v>-1.6182863999999999</v>
          </cell>
          <cell r="N19">
            <v>2024</v>
          </cell>
          <cell r="O19">
            <v>12</v>
          </cell>
        </row>
        <row r="20">
          <cell r="B20" t="str">
            <v>1.1.08</v>
          </cell>
          <cell r="L20">
            <v>880.61011530000007</v>
          </cell>
          <cell r="N20">
            <v>2024</v>
          </cell>
          <cell r="O20">
            <v>12</v>
          </cell>
        </row>
        <row r="21">
          <cell r="B21" t="str">
            <v>1.1.08</v>
          </cell>
          <cell r="L21">
            <v>367.70515</v>
          </cell>
          <cell r="N21">
            <v>2024</v>
          </cell>
          <cell r="O21">
            <v>12</v>
          </cell>
        </row>
        <row r="22">
          <cell r="B22" t="str">
            <v>1.1.08</v>
          </cell>
          <cell r="L22">
            <v>168.82915399999999</v>
          </cell>
          <cell r="N22">
            <v>2024</v>
          </cell>
          <cell r="O22">
            <v>12</v>
          </cell>
        </row>
        <row r="23">
          <cell r="B23" t="str">
            <v>1.1.09</v>
          </cell>
          <cell r="L23">
            <v>691.96598940000001</v>
          </cell>
          <cell r="N23">
            <v>2024</v>
          </cell>
          <cell r="O23">
            <v>10</v>
          </cell>
        </row>
        <row r="24">
          <cell r="B24" t="str">
            <v>1.1.09</v>
          </cell>
          <cell r="L24">
            <v>84.488711999999992</v>
          </cell>
          <cell r="N24">
            <v>2024</v>
          </cell>
          <cell r="O24">
            <v>8</v>
          </cell>
        </row>
        <row r="25">
          <cell r="B25" t="str">
            <v>1.1.09</v>
          </cell>
          <cell r="L25">
            <v>16.587830400000001</v>
          </cell>
          <cell r="N25">
            <v>2024</v>
          </cell>
          <cell r="O25">
            <v>8</v>
          </cell>
        </row>
        <row r="26">
          <cell r="B26" t="str">
            <v>1.1.09</v>
          </cell>
          <cell r="L26">
            <v>270.53735940000001</v>
          </cell>
          <cell r="N26">
            <v>2024</v>
          </cell>
          <cell r="O26">
            <v>9</v>
          </cell>
        </row>
        <row r="27">
          <cell r="B27" t="str">
            <v>1.1.09</v>
          </cell>
          <cell r="L27">
            <v>737.07055379999997</v>
          </cell>
          <cell r="N27">
            <v>2024</v>
          </cell>
          <cell r="O27">
            <v>9</v>
          </cell>
        </row>
        <row r="28">
          <cell r="B28" t="str">
            <v>1.1.09</v>
          </cell>
          <cell r="L28">
            <v>52.709113800000004</v>
          </cell>
          <cell r="N28">
            <v>2024</v>
          </cell>
          <cell r="O28">
            <v>9</v>
          </cell>
        </row>
        <row r="29">
          <cell r="B29" t="str">
            <v>1.1.09</v>
          </cell>
          <cell r="L29">
            <v>-1.1093682</v>
          </cell>
          <cell r="N29">
            <v>2024</v>
          </cell>
          <cell r="O29">
            <v>10</v>
          </cell>
        </row>
        <row r="30">
          <cell r="B30" t="str">
            <v>1.1.09</v>
          </cell>
          <cell r="L30">
            <v>266.72950500000002</v>
          </cell>
          <cell r="N30">
            <v>2024</v>
          </cell>
          <cell r="O30">
            <v>10</v>
          </cell>
        </row>
        <row r="31">
          <cell r="B31" t="str">
            <v>1.1.09</v>
          </cell>
          <cell r="L31">
            <v>91.270771199999999</v>
          </cell>
          <cell r="N31">
            <v>2024</v>
          </cell>
          <cell r="O31">
            <v>10</v>
          </cell>
        </row>
        <row r="32">
          <cell r="B32" t="str">
            <v>1.1.09</v>
          </cell>
          <cell r="L32">
            <v>231.95768480000001</v>
          </cell>
          <cell r="N32">
            <v>2024</v>
          </cell>
          <cell r="O32">
            <v>8</v>
          </cell>
        </row>
        <row r="33">
          <cell r="B33" t="str">
            <v>1.1.09</v>
          </cell>
          <cell r="L33">
            <v>-1.2388120000000002</v>
          </cell>
          <cell r="N33">
            <v>2024</v>
          </cell>
          <cell r="O33">
            <v>11</v>
          </cell>
        </row>
        <row r="34">
          <cell r="B34" t="str">
            <v>1.1.10</v>
          </cell>
          <cell r="L34">
            <v>163.9670634</v>
          </cell>
          <cell r="N34">
            <v>2024</v>
          </cell>
          <cell r="O34">
            <v>9</v>
          </cell>
        </row>
        <row r="35">
          <cell r="B35" t="str">
            <v>1.1.10</v>
          </cell>
          <cell r="L35">
            <v>848.47376880000002</v>
          </cell>
          <cell r="N35">
            <v>2024</v>
          </cell>
          <cell r="O35">
            <v>9</v>
          </cell>
        </row>
        <row r="36">
          <cell r="B36" t="str">
            <v>1.1.10</v>
          </cell>
          <cell r="L36">
            <v>356.32729439999997</v>
          </cell>
          <cell r="N36">
            <v>2024</v>
          </cell>
          <cell r="O36">
            <v>9</v>
          </cell>
        </row>
        <row r="37">
          <cell r="B37" t="str">
            <v>1.1.10</v>
          </cell>
          <cell r="L37">
            <v>-1.4609783999999999</v>
          </cell>
          <cell r="N37">
            <v>2024</v>
          </cell>
          <cell r="O37">
            <v>10</v>
          </cell>
        </row>
        <row r="38">
          <cell r="B38" t="str">
            <v>1.1.10</v>
          </cell>
          <cell r="L38">
            <v>351.74130000000002</v>
          </cell>
          <cell r="N38">
            <v>2024</v>
          </cell>
          <cell r="O38">
            <v>10</v>
          </cell>
        </row>
        <row r="39">
          <cell r="B39" t="str">
            <v>1.1.10</v>
          </cell>
          <cell r="L39">
            <v>842.37859260000005</v>
          </cell>
          <cell r="N39">
            <v>2024</v>
          </cell>
          <cell r="O39">
            <v>10</v>
          </cell>
        </row>
        <row r="40">
          <cell r="B40" t="str">
            <v>1.1.10</v>
          </cell>
          <cell r="L40">
            <v>161.49946799999998</v>
          </cell>
          <cell r="N40">
            <v>2024</v>
          </cell>
          <cell r="O40">
            <v>10</v>
          </cell>
        </row>
        <row r="41">
          <cell r="B41" t="str">
            <v>1.1.10</v>
          </cell>
          <cell r="L41">
            <v>-0.98026560000000007</v>
          </cell>
          <cell r="N41">
            <v>2024</v>
          </cell>
          <cell r="O41">
            <v>11</v>
          </cell>
        </row>
        <row r="42">
          <cell r="B42" t="str">
            <v>1.1.11</v>
          </cell>
          <cell r="L42">
            <v>198.26848440000001</v>
          </cell>
          <cell r="N42">
            <v>2024</v>
          </cell>
          <cell r="O42">
            <v>9</v>
          </cell>
        </row>
        <row r="43">
          <cell r="B43" t="str">
            <v>1.1.11</v>
          </cell>
          <cell r="L43">
            <v>18.156587400000003</v>
          </cell>
          <cell r="N43">
            <v>2024</v>
          </cell>
          <cell r="O43">
            <v>9</v>
          </cell>
        </row>
        <row r="44">
          <cell r="B44" t="str">
            <v>1.1.11</v>
          </cell>
          <cell r="L44">
            <v>110.7115506</v>
          </cell>
          <cell r="N44">
            <v>2024</v>
          </cell>
          <cell r="O44">
            <v>9</v>
          </cell>
        </row>
        <row r="45">
          <cell r="B45" t="str">
            <v>1.1.11</v>
          </cell>
          <cell r="L45">
            <v>416.32005240000001</v>
          </cell>
          <cell r="N45">
            <v>2024</v>
          </cell>
          <cell r="O45">
            <v>9</v>
          </cell>
        </row>
        <row r="46">
          <cell r="B46" t="str">
            <v>1.1.11</v>
          </cell>
          <cell r="L46">
            <v>-0.81308220000000009</v>
          </cell>
          <cell r="N46">
            <v>2024</v>
          </cell>
          <cell r="O46">
            <v>10</v>
          </cell>
        </row>
        <row r="47">
          <cell r="B47" t="str">
            <v>1.1.11</v>
          </cell>
          <cell r="L47">
            <v>151.06364580000002</v>
          </cell>
          <cell r="N47">
            <v>2024</v>
          </cell>
          <cell r="O47">
            <v>10</v>
          </cell>
        </row>
        <row r="48">
          <cell r="B48" t="str">
            <v>1.1.11</v>
          </cell>
          <cell r="L48">
            <v>82.453771799999998</v>
          </cell>
          <cell r="N48">
            <v>2024</v>
          </cell>
          <cell r="O48">
            <v>10</v>
          </cell>
        </row>
        <row r="49">
          <cell r="B49" t="str">
            <v>1.1.11</v>
          </cell>
          <cell r="L49">
            <v>332.3143776</v>
          </cell>
          <cell r="N49">
            <v>2024</v>
          </cell>
          <cell r="O49">
            <v>10</v>
          </cell>
        </row>
        <row r="50">
          <cell r="B50" t="str">
            <v>1.1.11</v>
          </cell>
          <cell r="L50">
            <v>-0.70149919999999999</v>
          </cell>
          <cell r="N50">
            <v>2024</v>
          </cell>
          <cell r="O50">
            <v>11</v>
          </cell>
        </row>
        <row r="51">
          <cell r="B51" t="str">
            <v>1.1.11</v>
          </cell>
          <cell r="L51">
            <v>205.49828640000001</v>
          </cell>
          <cell r="N51">
            <v>2024</v>
          </cell>
          <cell r="O51">
            <v>11</v>
          </cell>
        </row>
        <row r="52">
          <cell r="B52" t="str">
            <v>1.1.11</v>
          </cell>
          <cell r="L52">
            <v>87.967244800000003</v>
          </cell>
          <cell r="N52">
            <v>2024</v>
          </cell>
          <cell r="O52">
            <v>11</v>
          </cell>
        </row>
        <row r="53">
          <cell r="B53" t="str">
            <v>1.1.11</v>
          </cell>
          <cell r="L53">
            <v>37.017967200000001</v>
          </cell>
          <cell r="N53">
            <v>2024</v>
          </cell>
          <cell r="O53">
            <v>11</v>
          </cell>
        </row>
        <row r="54">
          <cell r="B54" t="str">
            <v>1.1.11</v>
          </cell>
          <cell r="L54">
            <v>-0.39223710000000001</v>
          </cell>
          <cell r="N54">
            <v>2024</v>
          </cell>
          <cell r="O54">
            <v>12</v>
          </cell>
        </row>
        <row r="55">
          <cell r="B55" t="str">
            <v>1.1.11</v>
          </cell>
          <cell r="L55">
            <v>32.003915999999997</v>
          </cell>
          <cell r="N55">
            <v>2024</v>
          </cell>
          <cell r="O55">
            <v>12</v>
          </cell>
        </row>
        <row r="56">
          <cell r="B56" t="str">
            <v>1.1.11</v>
          </cell>
          <cell r="L56">
            <v>74.818061900000004</v>
          </cell>
          <cell r="N56">
            <v>2024</v>
          </cell>
          <cell r="O56">
            <v>12</v>
          </cell>
        </row>
        <row r="57">
          <cell r="B57" t="str">
            <v>1.1.11</v>
          </cell>
          <cell r="L57">
            <v>13.432270500000001</v>
          </cell>
          <cell r="N57">
            <v>2024</v>
          </cell>
          <cell r="O57">
            <v>12</v>
          </cell>
        </row>
        <row r="58">
          <cell r="B58" t="str">
            <v>1.1.12</v>
          </cell>
          <cell r="L58">
            <v>5.6638064000000004</v>
          </cell>
          <cell r="N58">
            <v>2024</v>
          </cell>
          <cell r="O58">
            <v>9</v>
          </cell>
        </row>
        <row r="59">
          <cell r="B59" t="str">
            <v>1.1.12</v>
          </cell>
          <cell r="L59">
            <v>566.6782604</v>
          </cell>
          <cell r="N59">
            <v>2024</v>
          </cell>
          <cell r="O59">
            <v>9</v>
          </cell>
        </row>
        <row r="60">
          <cell r="B60" t="str">
            <v>1.1.12</v>
          </cell>
          <cell r="L60">
            <v>582.54300000000001</v>
          </cell>
          <cell r="N60">
            <v>2024</v>
          </cell>
          <cell r="O60">
            <v>10</v>
          </cell>
        </row>
        <row r="61">
          <cell r="B61" t="str">
            <v>1.1.12</v>
          </cell>
          <cell r="L61">
            <v>5.8254299999999999</v>
          </cell>
          <cell r="N61">
            <v>2024</v>
          </cell>
          <cell r="O61">
            <v>10</v>
          </cell>
        </row>
        <row r="62">
          <cell r="B62" t="str">
            <v>1.1.12</v>
          </cell>
          <cell r="L62">
            <v>6.0101599999999999</v>
          </cell>
          <cell r="N62">
            <v>2024</v>
          </cell>
          <cell r="O62">
            <v>11</v>
          </cell>
        </row>
        <row r="63">
          <cell r="B63" t="str">
            <v>1.1.12</v>
          </cell>
          <cell r="L63">
            <v>601.01599999999996</v>
          </cell>
          <cell r="N63">
            <v>2024</v>
          </cell>
          <cell r="O63">
            <v>11</v>
          </cell>
        </row>
        <row r="64">
          <cell r="B64" t="str">
            <v>1.1.12</v>
          </cell>
          <cell r="L64">
            <v>6.1658350000000004</v>
          </cell>
          <cell r="N64">
            <v>2024</v>
          </cell>
          <cell r="O64">
            <v>12</v>
          </cell>
        </row>
        <row r="65">
          <cell r="B65" t="str">
            <v>1.1.12</v>
          </cell>
          <cell r="L65">
            <v>616.58350000000007</v>
          </cell>
          <cell r="N65">
            <v>2024</v>
          </cell>
          <cell r="O65">
            <v>12</v>
          </cell>
        </row>
        <row r="66">
          <cell r="B66" t="str">
            <v>1.1.13</v>
          </cell>
          <cell r="L66">
            <v>135.28200000000001</v>
          </cell>
          <cell r="N66">
            <v>2024</v>
          </cell>
          <cell r="O66">
            <v>9</v>
          </cell>
        </row>
        <row r="67">
          <cell r="B67" t="str">
            <v>1.1.13</v>
          </cell>
          <cell r="L67">
            <v>1.3528199999999999</v>
          </cell>
          <cell r="N67">
            <v>2024</v>
          </cell>
          <cell r="O67">
            <v>9</v>
          </cell>
        </row>
        <row r="68">
          <cell r="B68" t="str">
            <v>1.1.13</v>
          </cell>
          <cell r="L68">
            <v>448.11</v>
          </cell>
          <cell r="N68">
            <v>2024</v>
          </cell>
          <cell r="O68">
            <v>10</v>
          </cell>
        </row>
        <row r="69">
          <cell r="B69" t="str">
            <v>1.1.13</v>
          </cell>
          <cell r="L69">
            <v>4.4810999999999996</v>
          </cell>
          <cell r="N69">
            <v>2024</v>
          </cell>
          <cell r="O69">
            <v>10</v>
          </cell>
        </row>
        <row r="70">
          <cell r="B70" t="str">
            <v>1.1.13</v>
          </cell>
          <cell r="L70">
            <v>1.84928</v>
          </cell>
          <cell r="N70">
            <v>2024</v>
          </cell>
          <cell r="O70">
            <v>11</v>
          </cell>
        </row>
        <row r="71">
          <cell r="B71" t="str">
            <v>1.1.13</v>
          </cell>
          <cell r="L71">
            <v>184.928</v>
          </cell>
          <cell r="N71">
            <v>2024</v>
          </cell>
          <cell r="O71">
            <v>11</v>
          </cell>
        </row>
        <row r="72">
          <cell r="B72" t="str">
            <v>1.1.14</v>
          </cell>
          <cell r="L72">
            <v>0.1533196</v>
          </cell>
          <cell r="N72">
            <v>2024</v>
          </cell>
          <cell r="O72">
            <v>9</v>
          </cell>
        </row>
        <row r="73">
          <cell r="B73" t="str">
            <v>1.1.14</v>
          </cell>
          <cell r="L73">
            <v>15.034339600000001</v>
          </cell>
          <cell r="N73">
            <v>2024</v>
          </cell>
          <cell r="O73">
            <v>9</v>
          </cell>
        </row>
        <row r="74">
          <cell r="B74" t="str">
            <v>1.1.15</v>
          </cell>
          <cell r="L74">
            <v>5.8254299999999999</v>
          </cell>
          <cell r="N74">
            <v>2024</v>
          </cell>
          <cell r="O74">
            <v>10</v>
          </cell>
        </row>
        <row r="75">
          <cell r="B75" t="str">
            <v>1.1.15</v>
          </cell>
          <cell r="L75">
            <v>582.54300000000001</v>
          </cell>
          <cell r="N75">
            <v>2024</v>
          </cell>
          <cell r="O75">
            <v>10</v>
          </cell>
        </row>
        <row r="76">
          <cell r="B76" t="str">
            <v>1.1.15</v>
          </cell>
          <cell r="L76">
            <v>6.0101599999999999</v>
          </cell>
          <cell r="N76">
            <v>2024</v>
          </cell>
          <cell r="O76">
            <v>11</v>
          </cell>
        </row>
        <row r="77">
          <cell r="B77" t="str">
            <v>1.1.15</v>
          </cell>
          <cell r="L77">
            <v>601.01599999999996</v>
          </cell>
          <cell r="N77">
            <v>2024</v>
          </cell>
          <cell r="O77">
            <v>11</v>
          </cell>
        </row>
        <row r="78">
          <cell r="B78" t="str">
            <v>1.1.15</v>
          </cell>
          <cell r="L78">
            <v>616.58350000000007</v>
          </cell>
          <cell r="N78">
            <v>2024</v>
          </cell>
          <cell r="O78">
            <v>12</v>
          </cell>
        </row>
        <row r="79">
          <cell r="B79" t="str">
            <v>1.1.15</v>
          </cell>
          <cell r="L79">
            <v>6.1658350000000004</v>
          </cell>
          <cell r="N79">
            <v>2024</v>
          </cell>
          <cell r="O79">
            <v>12</v>
          </cell>
        </row>
        <row r="80">
          <cell r="B80" t="str">
            <v>1.1.16</v>
          </cell>
          <cell r="L80">
            <v>2.1544112000000002</v>
          </cell>
          <cell r="N80">
            <v>2024</v>
          </cell>
          <cell r="O80">
            <v>11</v>
          </cell>
        </row>
        <row r="81">
          <cell r="B81" t="str">
            <v>1.1.16</v>
          </cell>
          <cell r="L81">
            <v>215.74625120000002</v>
          </cell>
          <cell r="N81">
            <v>2024</v>
          </cell>
          <cell r="O81">
            <v>11</v>
          </cell>
        </row>
        <row r="82">
          <cell r="B82" t="str">
            <v>1.1.16</v>
          </cell>
          <cell r="L82">
            <v>474.29500000000002</v>
          </cell>
          <cell r="N82">
            <v>2024</v>
          </cell>
          <cell r="O82">
            <v>12</v>
          </cell>
        </row>
        <row r="83">
          <cell r="B83" t="str">
            <v>1.1.16</v>
          </cell>
          <cell r="L83">
            <v>4.7429500000000004</v>
          </cell>
          <cell r="N83">
            <v>2024</v>
          </cell>
          <cell r="O83">
            <v>12</v>
          </cell>
        </row>
        <row r="84">
          <cell r="B84" t="str">
            <v>1.1.17</v>
          </cell>
          <cell r="L84">
            <v>0.94697400000000009</v>
          </cell>
          <cell r="N84">
            <v>2024</v>
          </cell>
          <cell r="O84">
            <v>9</v>
          </cell>
        </row>
        <row r="85">
          <cell r="B85" t="str">
            <v>1.1.17</v>
          </cell>
          <cell r="L85">
            <v>0.94697400000000009</v>
          </cell>
          <cell r="N85">
            <v>2024</v>
          </cell>
          <cell r="O85">
            <v>9</v>
          </cell>
        </row>
        <row r="86">
          <cell r="B86" t="str">
            <v>1.1.17</v>
          </cell>
          <cell r="L86">
            <v>1.3708576000000001</v>
          </cell>
          <cell r="N86">
            <v>2024</v>
          </cell>
          <cell r="O86">
            <v>9</v>
          </cell>
        </row>
        <row r="87">
          <cell r="B87" t="str">
            <v>1.1.17</v>
          </cell>
          <cell r="L87">
            <v>1.262632</v>
          </cell>
          <cell r="N87">
            <v>2024</v>
          </cell>
          <cell r="O87">
            <v>9</v>
          </cell>
        </row>
        <row r="88">
          <cell r="B88" t="str">
            <v>1.1.17</v>
          </cell>
          <cell r="L88">
            <v>94.697400000000002</v>
          </cell>
          <cell r="N88">
            <v>2024</v>
          </cell>
          <cell r="O88">
            <v>9</v>
          </cell>
        </row>
        <row r="89">
          <cell r="B89" t="str">
            <v>1.1.17</v>
          </cell>
          <cell r="L89">
            <v>94.697400000000002</v>
          </cell>
          <cell r="N89">
            <v>2024</v>
          </cell>
          <cell r="O89">
            <v>9</v>
          </cell>
        </row>
        <row r="90">
          <cell r="B90" t="str">
            <v>1.1.17</v>
          </cell>
          <cell r="L90">
            <v>126.2632</v>
          </cell>
          <cell r="N90">
            <v>2024</v>
          </cell>
          <cell r="O90">
            <v>9</v>
          </cell>
        </row>
        <row r="91">
          <cell r="B91" t="str">
            <v>1.1.17</v>
          </cell>
          <cell r="L91">
            <v>136.78813959999999</v>
          </cell>
          <cell r="N91">
            <v>2024</v>
          </cell>
          <cell r="O91">
            <v>9</v>
          </cell>
        </row>
        <row r="92">
          <cell r="B92" t="str">
            <v>1.1.17</v>
          </cell>
          <cell r="L92">
            <v>3.1367700000000003</v>
          </cell>
          <cell r="N92">
            <v>2024</v>
          </cell>
          <cell r="O92">
            <v>10</v>
          </cell>
        </row>
        <row r="93">
          <cell r="B93" t="str">
            <v>1.1.17</v>
          </cell>
          <cell r="L93">
            <v>3.1367700000000003</v>
          </cell>
          <cell r="N93">
            <v>2024</v>
          </cell>
          <cell r="O93">
            <v>10</v>
          </cell>
        </row>
        <row r="94">
          <cell r="B94" t="str">
            <v>1.1.17</v>
          </cell>
          <cell r="L94">
            <v>0.83348460000000002</v>
          </cell>
          <cell r="N94">
            <v>2024</v>
          </cell>
          <cell r="O94">
            <v>10</v>
          </cell>
        </row>
        <row r="95">
          <cell r="B95" t="str">
            <v>1.1.17</v>
          </cell>
          <cell r="L95">
            <v>313.67700000000002</v>
          </cell>
          <cell r="N95">
            <v>2024</v>
          </cell>
          <cell r="O95">
            <v>10</v>
          </cell>
        </row>
        <row r="96">
          <cell r="B96" t="str">
            <v>1.1.17</v>
          </cell>
          <cell r="L96">
            <v>303.21811259999998</v>
          </cell>
          <cell r="N96">
            <v>2024</v>
          </cell>
          <cell r="O96">
            <v>10</v>
          </cell>
        </row>
        <row r="97">
          <cell r="B97" t="str">
            <v>1.1.17</v>
          </cell>
          <cell r="L97">
            <v>313.67700000000002</v>
          </cell>
          <cell r="N97">
            <v>2024</v>
          </cell>
          <cell r="O97">
            <v>10</v>
          </cell>
        </row>
        <row r="98">
          <cell r="B98" t="str">
            <v>1.1.17</v>
          </cell>
          <cell r="L98">
            <v>3.0292235999999999</v>
          </cell>
          <cell r="N98">
            <v>2024</v>
          </cell>
          <cell r="O98">
            <v>10</v>
          </cell>
        </row>
        <row r="99">
          <cell r="B99" t="str">
            <v>1.1.17</v>
          </cell>
          <cell r="L99">
            <v>83.644212600000003</v>
          </cell>
          <cell r="N99">
            <v>2024</v>
          </cell>
          <cell r="O99">
            <v>10</v>
          </cell>
        </row>
        <row r="100">
          <cell r="B100" t="str">
            <v>1.1.17</v>
          </cell>
          <cell r="L100">
            <v>3.23624</v>
          </cell>
          <cell r="N100">
            <v>2024</v>
          </cell>
          <cell r="O100">
            <v>11</v>
          </cell>
        </row>
        <row r="101">
          <cell r="B101" t="str">
            <v>1.1.17</v>
          </cell>
          <cell r="L101">
            <v>3.23624</v>
          </cell>
          <cell r="N101">
            <v>2024</v>
          </cell>
          <cell r="O101">
            <v>11</v>
          </cell>
        </row>
        <row r="102">
          <cell r="B102" t="str">
            <v>1.1.17</v>
          </cell>
          <cell r="L102">
            <v>3.23624</v>
          </cell>
          <cell r="N102">
            <v>2024</v>
          </cell>
          <cell r="O102">
            <v>11</v>
          </cell>
        </row>
        <row r="103">
          <cell r="B103" t="str">
            <v>1.1.17</v>
          </cell>
          <cell r="L103">
            <v>323.62400000000002</v>
          </cell>
          <cell r="N103">
            <v>2024</v>
          </cell>
          <cell r="O103">
            <v>11</v>
          </cell>
        </row>
        <row r="104">
          <cell r="B104" t="str">
            <v>1.1.17</v>
          </cell>
          <cell r="L104">
            <v>323.62400000000002</v>
          </cell>
          <cell r="N104">
            <v>2024</v>
          </cell>
          <cell r="O104">
            <v>11</v>
          </cell>
        </row>
        <row r="105">
          <cell r="B105" t="str">
            <v>1.1.17</v>
          </cell>
          <cell r="L105">
            <v>323.62400000000002</v>
          </cell>
          <cell r="N105">
            <v>2024</v>
          </cell>
          <cell r="O105">
            <v>11</v>
          </cell>
        </row>
        <row r="106">
          <cell r="B106" t="str">
            <v>1.1.17</v>
          </cell>
          <cell r="L106">
            <v>332.00650000000002</v>
          </cell>
          <cell r="N106">
            <v>2024</v>
          </cell>
          <cell r="O106">
            <v>12</v>
          </cell>
        </row>
        <row r="107">
          <cell r="B107" t="str">
            <v>1.1.17</v>
          </cell>
          <cell r="L107">
            <v>332.00650000000002</v>
          </cell>
          <cell r="N107">
            <v>2024</v>
          </cell>
          <cell r="O107">
            <v>12</v>
          </cell>
        </row>
        <row r="108">
          <cell r="B108" t="str">
            <v>1.1.17</v>
          </cell>
          <cell r="L108">
            <v>332.00650000000002</v>
          </cell>
          <cell r="N108">
            <v>2024</v>
          </cell>
          <cell r="O108">
            <v>12</v>
          </cell>
        </row>
        <row r="109">
          <cell r="B109" t="str">
            <v>1.1.17</v>
          </cell>
          <cell r="L109">
            <v>332.00650000000002</v>
          </cell>
          <cell r="N109">
            <v>2024</v>
          </cell>
          <cell r="O109">
            <v>12</v>
          </cell>
        </row>
        <row r="110">
          <cell r="B110" t="str">
            <v>1.1.17</v>
          </cell>
          <cell r="L110">
            <v>3.320065</v>
          </cell>
          <cell r="N110">
            <v>2024</v>
          </cell>
          <cell r="O110">
            <v>12</v>
          </cell>
        </row>
        <row r="111">
          <cell r="B111" t="str">
            <v>1.1.17</v>
          </cell>
          <cell r="L111">
            <v>3.320065</v>
          </cell>
          <cell r="N111">
            <v>2024</v>
          </cell>
          <cell r="O111">
            <v>12</v>
          </cell>
        </row>
        <row r="112">
          <cell r="B112" t="str">
            <v>1.1.17</v>
          </cell>
          <cell r="L112">
            <v>3.320065</v>
          </cell>
          <cell r="N112">
            <v>2024</v>
          </cell>
          <cell r="O112">
            <v>12</v>
          </cell>
        </row>
        <row r="113">
          <cell r="B113" t="str">
            <v>1.1.17</v>
          </cell>
          <cell r="L113">
            <v>3.320065</v>
          </cell>
          <cell r="N113">
            <v>2024</v>
          </cell>
          <cell r="O113">
            <v>12</v>
          </cell>
        </row>
        <row r="114">
          <cell r="B114" t="str">
            <v>1.1.18</v>
          </cell>
          <cell r="L114">
            <v>167.29738739999999</v>
          </cell>
          <cell r="N114">
            <v>2024</v>
          </cell>
          <cell r="O114">
            <v>10</v>
          </cell>
        </row>
        <row r="115">
          <cell r="B115" t="str">
            <v>1.1.18</v>
          </cell>
          <cell r="L115">
            <v>2.4018696000000004</v>
          </cell>
          <cell r="N115">
            <v>2024</v>
          </cell>
          <cell r="O115">
            <v>10</v>
          </cell>
        </row>
        <row r="116">
          <cell r="B116" t="str">
            <v>1.1.18</v>
          </cell>
          <cell r="L116">
            <v>1.6759314000000001</v>
          </cell>
          <cell r="N116">
            <v>2024</v>
          </cell>
          <cell r="O116">
            <v>10</v>
          </cell>
        </row>
        <row r="117">
          <cell r="B117" t="str">
            <v>1.1.18</v>
          </cell>
          <cell r="L117">
            <v>0.52276512600000002</v>
          </cell>
          <cell r="N117">
            <v>2024</v>
          </cell>
          <cell r="O117">
            <v>10</v>
          </cell>
        </row>
        <row r="118">
          <cell r="B118" t="str">
            <v>1.1.18</v>
          </cell>
          <cell r="L118">
            <v>52.276512599999997</v>
          </cell>
          <cell r="N118">
            <v>2024</v>
          </cell>
          <cell r="O118">
            <v>10</v>
          </cell>
        </row>
        <row r="119">
          <cell r="B119" t="str">
            <v>1.1.18</v>
          </cell>
          <cell r="L119">
            <v>240.48271259999999</v>
          </cell>
          <cell r="N119">
            <v>2024</v>
          </cell>
          <cell r="O119">
            <v>10</v>
          </cell>
        </row>
        <row r="120">
          <cell r="B120" t="str">
            <v>1.1.18</v>
          </cell>
          <cell r="L120">
            <v>3.0235728000000002</v>
          </cell>
          <cell r="N120">
            <v>2024</v>
          </cell>
          <cell r="O120">
            <v>11</v>
          </cell>
        </row>
        <row r="121">
          <cell r="B121" t="str">
            <v>1.1.18</v>
          </cell>
          <cell r="L121">
            <v>3.23624</v>
          </cell>
          <cell r="N121">
            <v>2024</v>
          </cell>
          <cell r="O121">
            <v>11</v>
          </cell>
        </row>
        <row r="122">
          <cell r="B122" t="str">
            <v>1.1.18</v>
          </cell>
          <cell r="L122">
            <v>3.23624</v>
          </cell>
          <cell r="N122">
            <v>2024</v>
          </cell>
          <cell r="O122">
            <v>11</v>
          </cell>
        </row>
        <row r="123">
          <cell r="B123" t="str">
            <v>1.1.18</v>
          </cell>
          <cell r="L123">
            <v>3.0235728000000002</v>
          </cell>
          <cell r="N123">
            <v>2024</v>
          </cell>
          <cell r="O123">
            <v>11</v>
          </cell>
        </row>
        <row r="124">
          <cell r="B124" t="str">
            <v>1.1.18</v>
          </cell>
          <cell r="L124">
            <v>323.62400000000002</v>
          </cell>
          <cell r="N124">
            <v>2024</v>
          </cell>
          <cell r="O124">
            <v>11</v>
          </cell>
        </row>
        <row r="125">
          <cell r="B125" t="str">
            <v>1.1.18</v>
          </cell>
          <cell r="L125">
            <v>302.0521488</v>
          </cell>
          <cell r="N125">
            <v>2024</v>
          </cell>
          <cell r="O125">
            <v>11</v>
          </cell>
        </row>
        <row r="126">
          <cell r="B126" t="str">
            <v>1.1.18</v>
          </cell>
          <cell r="L126">
            <v>323.62400000000002</v>
          </cell>
          <cell r="N126">
            <v>2024</v>
          </cell>
          <cell r="O126">
            <v>11</v>
          </cell>
        </row>
        <row r="127">
          <cell r="B127" t="str">
            <v>1.1.18</v>
          </cell>
          <cell r="L127">
            <v>302.0521488</v>
          </cell>
          <cell r="N127">
            <v>2024</v>
          </cell>
          <cell r="O127">
            <v>11</v>
          </cell>
        </row>
        <row r="128">
          <cell r="B128" t="str">
            <v>1.1.18</v>
          </cell>
          <cell r="L128">
            <v>332.00650000000002</v>
          </cell>
          <cell r="N128">
            <v>2024</v>
          </cell>
          <cell r="O128">
            <v>12</v>
          </cell>
        </row>
        <row r="129">
          <cell r="B129" t="str">
            <v>1.1.18</v>
          </cell>
          <cell r="L129">
            <v>3.320065</v>
          </cell>
          <cell r="N129">
            <v>2024</v>
          </cell>
          <cell r="O129">
            <v>12</v>
          </cell>
        </row>
        <row r="130">
          <cell r="B130" t="str">
            <v>1.1.18</v>
          </cell>
          <cell r="L130">
            <v>3.320065</v>
          </cell>
          <cell r="N130">
            <v>2024</v>
          </cell>
          <cell r="O130">
            <v>12</v>
          </cell>
        </row>
        <row r="131">
          <cell r="B131" t="str">
            <v>1.1.18</v>
          </cell>
          <cell r="L131">
            <v>3.320065</v>
          </cell>
          <cell r="N131">
            <v>2024</v>
          </cell>
          <cell r="O131">
            <v>12</v>
          </cell>
        </row>
        <row r="132">
          <cell r="B132" t="str">
            <v>1.1.18</v>
          </cell>
          <cell r="L132">
            <v>332.00650000000002</v>
          </cell>
          <cell r="N132">
            <v>2024</v>
          </cell>
          <cell r="O132">
            <v>12</v>
          </cell>
        </row>
        <row r="133">
          <cell r="B133" t="str">
            <v>1.1.18</v>
          </cell>
          <cell r="L133">
            <v>332.00650000000002</v>
          </cell>
          <cell r="N133">
            <v>2024</v>
          </cell>
          <cell r="O133">
            <v>12</v>
          </cell>
        </row>
        <row r="134">
          <cell r="B134" t="str">
            <v>1.1.18</v>
          </cell>
          <cell r="L134">
            <v>320.93645470000001</v>
          </cell>
          <cell r="N134">
            <v>2024</v>
          </cell>
          <cell r="O134">
            <v>12</v>
          </cell>
        </row>
        <row r="135">
          <cell r="B135" t="str">
            <v>1.1.18</v>
          </cell>
          <cell r="L135">
            <v>3.2062341999999999</v>
          </cell>
          <cell r="N135">
            <v>2024</v>
          </cell>
          <cell r="O135">
            <v>12</v>
          </cell>
        </row>
        <row r="136">
          <cell r="B136" t="str">
            <v>1.1.19</v>
          </cell>
          <cell r="L136">
            <v>4.3560803999999997</v>
          </cell>
          <cell r="N136">
            <v>2024</v>
          </cell>
          <cell r="O136">
            <v>9</v>
          </cell>
        </row>
        <row r="137">
          <cell r="B137" t="str">
            <v>1.1.19</v>
          </cell>
          <cell r="L137">
            <v>435.90566039999999</v>
          </cell>
          <cell r="N137">
            <v>2024</v>
          </cell>
          <cell r="O137">
            <v>9</v>
          </cell>
        </row>
        <row r="138">
          <cell r="B138" t="str">
            <v>1.1.19</v>
          </cell>
          <cell r="L138">
            <v>4.4810999999999996</v>
          </cell>
          <cell r="N138">
            <v>2024</v>
          </cell>
          <cell r="O138">
            <v>10</v>
          </cell>
        </row>
        <row r="139">
          <cell r="B139" t="str">
            <v>1.1.19</v>
          </cell>
          <cell r="L139">
            <v>448.11</v>
          </cell>
          <cell r="N139">
            <v>2024</v>
          </cell>
          <cell r="O139">
            <v>10</v>
          </cell>
        </row>
        <row r="140">
          <cell r="B140" t="str">
            <v>1.1.19</v>
          </cell>
          <cell r="L140">
            <v>4.6231999999999998</v>
          </cell>
          <cell r="N140">
            <v>2024</v>
          </cell>
          <cell r="O140">
            <v>11</v>
          </cell>
        </row>
        <row r="141">
          <cell r="B141" t="str">
            <v>1.1.19</v>
          </cell>
          <cell r="L141">
            <v>462.32</v>
          </cell>
          <cell r="N141">
            <v>2024</v>
          </cell>
          <cell r="O141">
            <v>11</v>
          </cell>
        </row>
        <row r="142">
          <cell r="B142" t="str">
            <v>1.1.19</v>
          </cell>
          <cell r="L142">
            <v>474.29500000000002</v>
          </cell>
          <cell r="N142">
            <v>2024</v>
          </cell>
          <cell r="O142">
            <v>12</v>
          </cell>
        </row>
        <row r="143">
          <cell r="B143" t="str">
            <v>1.1.19</v>
          </cell>
          <cell r="L143">
            <v>4.7429500000000004</v>
          </cell>
          <cell r="N143">
            <v>2024</v>
          </cell>
          <cell r="O143">
            <v>12</v>
          </cell>
        </row>
        <row r="144">
          <cell r="B144" t="str">
            <v>1.1.21</v>
          </cell>
          <cell r="L144">
            <v>29.896044</v>
          </cell>
          <cell r="N144">
            <v>2024</v>
          </cell>
          <cell r="O144">
            <v>10</v>
          </cell>
        </row>
        <row r="145">
          <cell r="B145" t="str">
            <v>1.1.21</v>
          </cell>
          <cell r="L145">
            <v>0.29871012599999996</v>
          </cell>
          <cell r="N145">
            <v>2024</v>
          </cell>
          <cell r="O145">
            <v>10</v>
          </cell>
        </row>
        <row r="146">
          <cell r="B146" t="str">
            <v>1.1.21</v>
          </cell>
          <cell r="L146">
            <v>27.660960000000003</v>
          </cell>
          <cell r="N146">
            <v>2024</v>
          </cell>
          <cell r="O146">
            <v>11</v>
          </cell>
        </row>
        <row r="147">
          <cell r="B147" t="str">
            <v>1.1.21</v>
          </cell>
          <cell r="L147">
            <v>1.84928</v>
          </cell>
          <cell r="N147">
            <v>2024</v>
          </cell>
          <cell r="O147">
            <v>11</v>
          </cell>
        </row>
        <row r="148">
          <cell r="B148" t="str">
            <v>1.1.21</v>
          </cell>
          <cell r="L148">
            <v>83.532594399999994</v>
          </cell>
          <cell r="N148">
            <v>2024</v>
          </cell>
          <cell r="O148">
            <v>11</v>
          </cell>
        </row>
        <row r="149">
          <cell r="B149" t="str">
            <v>1.1.21</v>
          </cell>
          <cell r="L149">
            <v>184.928</v>
          </cell>
          <cell r="N149">
            <v>2024</v>
          </cell>
          <cell r="O149">
            <v>11</v>
          </cell>
        </row>
        <row r="150">
          <cell r="B150" t="str">
            <v>1.1.21</v>
          </cell>
          <cell r="L150">
            <v>432.25345440000001</v>
          </cell>
          <cell r="N150">
            <v>2024</v>
          </cell>
          <cell r="O150">
            <v>11</v>
          </cell>
        </row>
        <row r="151">
          <cell r="B151" t="str">
            <v>1.1.21</v>
          </cell>
          <cell r="L151">
            <v>181.53030720000001</v>
          </cell>
          <cell r="N151">
            <v>2024</v>
          </cell>
          <cell r="O151">
            <v>11</v>
          </cell>
        </row>
        <row r="152">
          <cell r="B152" t="str">
            <v>1.1.21</v>
          </cell>
          <cell r="L152">
            <v>1.8971800000000001</v>
          </cell>
          <cell r="N152">
            <v>2024</v>
          </cell>
          <cell r="O152">
            <v>12</v>
          </cell>
        </row>
        <row r="153">
          <cell r="B153" t="str">
            <v>1.1.21</v>
          </cell>
          <cell r="L153">
            <v>189.71800000000002</v>
          </cell>
          <cell r="N153">
            <v>2024</v>
          </cell>
          <cell r="O153">
            <v>12</v>
          </cell>
        </row>
        <row r="154">
          <cell r="B154" t="str">
            <v>1.1.22</v>
          </cell>
          <cell r="L154">
            <v>0.99861120000000003</v>
          </cell>
          <cell r="N154">
            <v>2024</v>
          </cell>
          <cell r="O154">
            <v>11</v>
          </cell>
        </row>
        <row r="155">
          <cell r="B155" t="str">
            <v>1.1.22</v>
          </cell>
          <cell r="L155">
            <v>100.1662512</v>
          </cell>
          <cell r="N155">
            <v>2024</v>
          </cell>
          <cell r="O155">
            <v>11</v>
          </cell>
        </row>
        <row r="156">
          <cell r="B156" t="str">
            <v>1.1.22</v>
          </cell>
          <cell r="L156">
            <v>237.14750000000001</v>
          </cell>
          <cell r="N156">
            <v>2024</v>
          </cell>
          <cell r="O156">
            <v>12</v>
          </cell>
        </row>
        <row r="157">
          <cell r="B157" t="str">
            <v>1.1.22</v>
          </cell>
          <cell r="L157">
            <v>2.3714750000000002</v>
          </cell>
          <cell r="N157">
            <v>2024</v>
          </cell>
          <cell r="O157">
            <v>12</v>
          </cell>
        </row>
        <row r="158">
          <cell r="B158">
            <v>2.2000000000000002</v>
          </cell>
          <cell r="L158">
            <v>67.641000000000005</v>
          </cell>
          <cell r="N158">
            <v>2024</v>
          </cell>
          <cell r="O158">
            <v>9</v>
          </cell>
        </row>
        <row r="159">
          <cell r="B159">
            <v>2.2000000000000002</v>
          </cell>
          <cell r="L159">
            <v>64.033479999999997</v>
          </cell>
          <cell r="N159">
            <v>2024</v>
          </cell>
          <cell r="O159">
            <v>9</v>
          </cell>
        </row>
        <row r="160">
          <cell r="B160">
            <v>2.2000000000000002</v>
          </cell>
          <cell r="L160">
            <v>40.240277999999996</v>
          </cell>
          <cell r="N160">
            <v>2024</v>
          </cell>
          <cell r="O160">
            <v>10</v>
          </cell>
        </row>
        <row r="161">
          <cell r="B161">
            <v>2.2000000000000002</v>
          </cell>
          <cell r="L161">
            <v>86.485230000000001</v>
          </cell>
          <cell r="N161">
            <v>2024</v>
          </cell>
          <cell r="O161">
            <v>10</v>
          </cell>
        </row>
        <row r="162">
          <cell r="B162">
            <v>2.2000000000000002</v>
          </cell>
          <cell r="L162">
            <v>74.73312</v>
          </cell>
          <cell r="N162">
            <v>2024</v>
          </cell>
          <cell r="O162">
            <v>11</v>
          </cell>
        </row>
        <row r="163">
          <cell r="B163">
            <v>2.2000000000000002</v>
          </cell>
          <cell r="L163">
            <v>91.987520000000004</v>
          </cell>
          <cell r="N163">
            <v>2024</v>
          </cell>
          <cell r="O163">
            <v>11</v>
          </cell>
        </row>
        <row r="164">
          <cell r="B164">
            <v>2.2000000000000002</v>
          </cell>
          <cell r="L164">
            <v>83.874600000000001</v>
          </cell>
          <cell r="N164">
            <v>2024</v>
          </cell>
          <cell r="O164">
            <v>12</v>
          </cell>
        </row>
        <row r="165">
          <cell r="B165">
            <v>2.2000000000000002</v>
          </cell>
          <cell r="L165">
            <v>85.519199999999998</v>
          </cell>
          <cell r="N165">
            <v>2024</v>
          </cell>
          <cell r="O165">
            <v>12</v>
          </cell>
        </row>
        <row r="166">
          <cell r="B166">
            <v>2.2000000000000002</v>
          </cell>
          <cell r="L166">
            <v>360.85264999999998</v>
          </cell>
          <cell r="N166">
            <v>2024</v>
          </cell>
          <cell r="O166">
            <v>12</v>
          </cell>
        </row>
        <row r="167">
          <cell r="B167" t="str">
            <v>3.1.10</v>
          </cell>
          <cell r="L167">
            <v>258.71427199999999</v>
          </cell>
          <cell r="N167">
            <v>2024</v>
          </cell>
          <cell r="O167">
            <v>11</v>
          </cell>
        </row>
        <row r="168">
          <cell r="B168" t="str">
            <v>3.1.10</v>
          </cell>
          <cell r="L168">
            <v>2.5871427200000001</v>
          </cell>
          <cell r="N168">
            <v>2024</v>
          </cell>
          <cell r="O168">
            <v>11</v>
          </cell>
        </row>
        <row r="169">
          <cell r="B169" t="str">
            <v>3.1.10</v>
          </cell>
          <cell r="L169">
            <v>199.2039</v>
          </cell>
          <cell r="N169">
            <v>2024</v>
          </cell>
          <cell r="O169">
            <v>12</v>
          </cell>
        </row>
        <row r="170">
          <cell r="B170" t="str">
            <v>3.1.11</v>
          </cell>
          <cell r="L170">
            <v>517.47477600000002</v>
          </cell>
          <cell r="N170">
            <v>2024</v>
          </cell>
          <cell r="O170">
            <v>11</v>
          </cell>
        </row>
        <row r="171">
          <cell r="B171" t="str">
            <v>3.1.11</v>
          </cell>
          <cell r="L171">
            <v>5.1747477599999998</v>
          </cell>
          <cell r="N171">
            <v>2024</v>
          </cell>
          <cell r="O171">
            <v>11</v>
          </cell>
        </row>
        <row r="172">
          <cell r="B172">
            <v>4.3</v>
          </cell>
          <cell r="L172">
            <v>532.59263999999996</v>
          </cell>
          <cell r="N172">
            <v>2024</v>
          </cell>
          <cell r="O172">
            <v>11</v>
          </cell>
        </row>
        <row r="173">
          <cell r="B173">
            <v>4.3</v>
          </cell>
          <cell r="L173">
            <v>74.14</v>
          </cell>
          <cell r="N173">
            <v>2024</v>
          </cell>
          <cell r="O173">
            <v>11</v>
          </cell>
        </row>
        <row r="174">
          <cell r="B174">
            <v>4.3</v>
          </cell>
          <cell r="L174">
            <v>5.3259264000000002</v>
          </cell>
          <cell r="N174">
            <v>2024</v>
          </cell>
          <cell r="O174">
            <v>11</v>
          </cell>
        </row>
        <row r="175">
          <cell r="B175">
            <v>4.3</v>
          </cell>
          <cell r="L175">
            <v>1146.5536</v>
          </cell>
          <cell r="N175">
            <v>2024</v>
          </cell>
          <cell r="O175">
            <v>11</v>
          </cell>
        </row>
        <row r="176">
          <cell r="B176">
            <v>4.5</v>
          </cell>
          <cell r="L176">
            <v>89.342894999999999</v>
          </cell>
          <cell r="N176">
            <v>2024</v>
          </cell>
          <cell r="O176">
            <v>12</v>
          </cell>
        </row>
        <row r="177">
          <cell r="B177">
            <v>4.3</v>
          </cell>
          <cell r="L177">
            <v>24.11572</v>
          </cell>
          <cell r="N177">
            <v>2024</v>
          </cell>
          <cell r="O177">
            <v>11</v>
          </cell>
        </row>
        <row r="178">
          <cell r="B178">
            <v>4.3</v>
          </cell>
          <cell r="L178">
            <v>381.18284</v>
          </cell>
          <cell r="N178">
            <v>2024</v>
          </cell>
          <cell r="O178">
            <v>11</v>
          </cell>
        </row>
        <row r="179">
          <cell r="B179" t="str">
            <v>1.1.08</v>
          </cell>
          <cell r="L179">
            <v>478.42833369999994</v>
          </cell>
          <cell r="N179">
            <v>2025</v>
          </cell>
          <cell r="O179">
            <v>1</v>
          </cell>
        </row>
        <row r="180">
          <cell r="B180" t="str">
            <v>1.1.08</v>
          </cell>
          <cell r="L180">
            <v>1233.8498391999999</v>
          </cell>
          <cell r="N180">
            <v>2025</v>
          </cell>
          <cell r="O180">
            <v>1</v>
          </cell>
        </row>
        <row r="181">
          <cell r="B181" t="str">
            <v>1.1.08</v>
          </cell>
          <cell r="L181">
            <v>-2.0977717999999999</v>
          </cell>
          <cell r="N181">
            <v>2025</v>
          </cell>
          <cell r="O181">
            <v>1</v>
          </cell>
        </row>
        <row r="182">
          <cell r="B182" t="str">
            <v>1.1.08</v>
          </cell>
          <cell r="L182">
            <v>102.10656179999999</v>
          </cell>
          <cell r="N182">
            <v>2025</v>
          </cell>
          <cell r="O182">
            <v>1</v>
          </cell>
        </row>
        <row r="183">
          <cell r="B183" t="str">
            <v>1.1.08</v>
          </cell>
          <cell r="L183">
            <v>491.53774660000005</v>
          </cell>
          <cell r="N183">
            <v>2025</v>
          </cell>
          <cell r="O183">
            <v>2</v>
          </cell>
        </row>
        <row r="184">
          <cell r="B184" t="str">
            <v>1.1.08</v>
          </cell>
          <cell r="L184">
            <v>-6.7629103000000006</v>
          </cell>
          <cell r="N184">
            <v>2025</v>
          </cell>
          <cell r="O184">
            <v>2</v>
          </cell>
        </row>
        <row r="185">
          <cell r="B185" t="str">
            <v>1.1.08</v>
          </cell>
          <cell r="L185">
            <v>102.34971090000001</v>
          </cell>
          <cell r="N185">
            <v>2025</v>
          </cell>
          <cell r="O185">
            <v>2</v>
          </cell>
        </row>
        <row r="186">
          <cell r="B186" t="str">
            <v>1.1.08</v>
          </cell>
          <cell r="L186">
            <v>1220.5060681</v>
          </cell>
          <cell r="N186">
            <v>2025</v>
          </cell>
          <cell r="O186">
            <v>2</v>
          </cell>
        </row>
        <row r="187">
          <cell r="B187" t="str">
            <v>1.1.09</v>
          </cell>
          <cell r="L187">
            <v>372.77388619999999</v>
          </cell>
          <cell r="N187">
            <v>2025</v>
          </cell>
          <cell r="O187">
            <v>1</v>
          </cell>
        </row>
        <row r="188">
          <cell r="B188" t="str">
            <v>1.1.09</v>
          </cell>
          <cell r="L188">
            <v>-1.6347329999999998</v>
          </cell>
          <cell r="N188">
            <v>2025</v>
          </cell>
          <cell r="O188">
            <v>1</v>
          </cell>
        </row>
        <row r="189">
          <cell r="B189" t="str">
            <v>1.1.09</v>
          </cell>
          <cell r="L189">
            <v>58.525339099999997</v>
          </cell>
          <cell r="N189">
            <v>2025</v>
          </cell>
          <cell r="O189">
            <v>1</v>
          </cell>
        </row>
        <row r="190">
          <cell r="B190" t="str">
            <v>1.1.09</v>
          </cell>
          <cell r="L190">
            <v>1003.2134119</v>
          </cell>
          <cell r="N190">
            <v>2025</v>
          </cell>
          <cell r="O190">
            <v>1</v>
          </cell>
        </row>
        <row r="191">
          <cell r="B191" t="str">
            <v>1.1.09</v>
          </cell>
          <cell r="L191">
            <v>-5.2780741000000004</v>
          </cell>
          <cell r="N191">
            <v>2025</v>
          </cell>
          <cell r="O191">
            <v>2</v>
          </cell>
        </row>
        <row r="192">
          <cell r="B192" t="str">
            <v>1.1.09</v>
          </cell>
          <cell r="L192">
            <v>383.62110910000001</v>
          </cell>
          <cell r="N192">
            <v>2025</v>
          </cell>
          <cell r="O192">
            <v>2</v>
          </cell>
        </row>
        <row r="193">
          <cell r="B193" t="str">
            <v>1.1.09</v>
          </cell>
          <cell r="L193">
            <v>59.154305000000001</v>
          </cell>
          <cell r="N193">
            <v>2025</v>
          </cell>
          <cell r="O193">
            <v>2</v>
          </cell>
        </row>
        <row r="194">
          <cell r="B194" t="str">
            <v>1.1.09</v>
          </cell>
          <cell r="L194">
            <v>991.91142400000001</v>
          </cell>
          <cell r="N194">
            <v>2025</v>
          </cell>
          <cell r="O194">
            <v>2</v>
          </cell>
        </row>
        <row r="195">
          <cell r="B195" t="str">
            <v>1.1.10</v>
          </cell>
          <cell r="L195">
            <v>94.451511100000005</v>
          </cell>
          <cell r="N195">
            <v>2025</v>
          </cell>
          <cell r="O195">
            <v>1</v>
          </cell>
        </row>
        <row r="196">
          <cell r="B196" t="str">
            <v>1.1.10</v>
          </cell>
          <cell r="L196">
            <v>344.42468809999997</v>
          </cell>
          <cell r="N196">
            <v>2025</v>
          </cell>
          <cell r="O196">
            <v>1</v>
          </cell>
        </row>
        <row r="197">
          <cell r="B197" t="str">
            <v>1.1.10</v>
          </cell>
          <cell r="L197">
            <v>846.5921644</v>
          </cell>
          <cell r="N197">
            <v>2025</v>
          </cell>
          <cell r="O197">
            <v>1</v>
          </cell>
        </row>
        <row r="198">
          <cell r="B198" t="str">
            <v>1.1.10</v>
          </cell>
          <cell r="L198">
            <v>353.23194519999998</v>
          </cell>
          <cell r="N198">
            <v>2025</v>
          </cell>
          <cell r="O198">
            <v>2</v>
          </cell>
        </row>
        <row r="199">
          <cell r="B199" t="str">
            <v>1.1.10</v>
          </cell>
          <cell r="L199">
            <v>-4.8599769000000004</v>
          </cell>
          <cell r="N199">
            <v>2025</v>
          </cell>
          <cell r="O199">
            <v>2</v>
          </cell>
        </row>
        <row r="200">
          <cell r="B200" t="str">
            <v>1.1.10</v>
          </cell>
          <cell r="L200">
            <v>837.8872100000001</v>
          </cell>
          <cell r="N200">
            <v>2025</v>
          </cell>
          <cell r="O200">
            <v>2</v>
          </cell>
        </row>
        <row r="201">
          <cell r="B201" t="str">
            <v>1.1.10</v>
          </cell>
          <cell r="L201">
            <v>94.188754500000002</v>
          </cell>
          <cell r="N201">
            <v>2025</v>
          </cell>
          <cell r="O201">
            <v>2</v>
          </cell>
        </row>
        <row r="202">
          <cell r="B202" t="str">
            <v>1.1.11</v>
          </cell>
          <cell r="L202">
            <v>256.40610889999999</v>
          </cell>
          <cell r="N202">
            <v>2025</v>
          </cell>
          <cell r="O202">
            <v>1</v>
          </cell>
        </row>
        <row r="203">
          <cell r="B203" t="str">
            <v>1.1.11</v>
          </cell>
          <cell r="L203">
            <v>-0.44135079999999999</v>
          </cell>
          <cell r="N203">
            <v>2025</v>
          </cell>
          <cell r="O203">
            <v>1</v>
          </cell>
        </row>
        <row r="204">
          <cell r="B204" t="str">
            <v>1.1.11</v>
          </cell>
          <cell r="L204">
            <v>17.713402899999998</v>
          </cell>
          <cell r="N204">
            <v>2025</v>
          </cell>
          <cell r="O204">
            <v>1</v>
          </cell>
        </row>
        <row r="205">
          <cell r="B205" t="str">
            <v>1.1.11</v>
          </cell>
          <cell r="L205">
            <v>100.66539419999999</v>
          </cell>
          <cell r="N205">
            <v>2025</v>
          </cell>
          <cell r="O205">
            <v>1</v>
          </cell>
        </row>
        <row r="206">
          <cell r="B206" t="str">
            <v>1.1.11</v>
          </cell>
          <cell r="L206">
            <v>104.0650917</v>
          </cell>
          <cell r="N206">
            <v>2025</v>
          </cell>
          <cell r="O206">
            <v>2</v>
          </cell>
        </row>
        <row r="207">
          <cell r="B207" t="str">
            <v>1.1.11</v>
          </cell>
          <cell r="L207">
            <v>256.7718696</v>
          </cell>
          <cell r="N207">
            <v>2025</v>
          </cell>
          <cell r="O207">
            <v>2</v>
          </cell>
        </row>
        <row r="208">
          <cell r="B208" t="str">
            <v>1.1.11</v>
          </cell>
          <cell r="L208">
            <v>-1.4319023</v>
          </cell>
          <cell r="N208">
            <v>2025</v>
          </cell>
          <cell r="O208">
            <v>2</v>
          </cell>
        </row>
        <row r="209">
          <cell r="B209" t="str">
            <v>1.1.11</v>
          </cell>
          <cell r="L209">
            <v>18.054759099999998</v>
          </cell>
          <cell r="N209">
            <v>2025</v>
          </cell>
          <cell r="O209">
            <v>2</v>
          </cell>
        </row>
        <row r="210">
          <cell r="B210" t="str">
            <v>1.1.13</v>
          </cell>
          <cell r="L210">
            <v>526.61950000000002</v>
          </cell>
          <cell r="N210">
            <v>2025</v>
          </cell>
          <cell r="O210">
            <v>1</v>
          </cell>
        </row>
        <row r="211">
          <cell r="B211" t="str">
            <v>1.1.13</v>
          </cell>
          <cell r="L211">
            <v>584.06889999999999</v>
          </cell>
          <cell r="N211">
            <v>2025</v>
          </cell>
          <cell r="O211">
            <v>1</v>
          </cell>
        </row>
        <row r="212">
          <cell r="B212" t="str">
            <v>1.1.12</v>
          </cell>
          <cell r="L212">
            <v>679.81790000000001</v>
          </cell>
          <cell r="N212">
            <v>2025</v>
          </cell>
          <cell r="O212">
            <v>1</v>
          </cell>
        </row>
        <row r="213">
          <cell r="B213" t="str">
            <v>1.1.12</v>
          </cell>
          <cell r="L213">
            <v>6.7981789999999993</v>
          </cell>
          <cell r="N213">
            <v>2025</v>
          </cell>
          <cell r="O213">
            <v>1</v>
          </cell>
        </row>
        <row r="214">
          <cell r="B214" t="str">
            <v>1.1.12</v>
          </cell>
          <cell r="L214">
            <v>682.49459999999999</v>
          </cell>
          <cell r="N214">
            <v>2025</v>
          </cell>
          <cell r="O214">
            <v>2</v>
          </cell>
        </row>
        <row r="215">
          <cell r="B215" t="str">
            <v>1.1.12</v>
          </cell>
          <cell r="L215">
            <v>6.8249459999999997</v>
          </cell>
          <cell r="N215">
            <v>2025</v>
          </cell>
          <cell r="O215">
            <v>2</v>
          </cell>
        </row>
        <row r="216">
          <cell r="B216" t="str">
            <v>1.1.13</v>
          </cell>
          <cell r="L216">
            <v>586.36860000000001</v>
          </cell>
          <cell r="N216">
            <v>2025</v>
          </cell>
          <cell r="O216">
            <v>2</v>
          </cell>
        </row>
        <row r="217">
          <cell r="B217" t="str">
            <v>1.1.14</v>
          </cell>
          <cell r="L217">
            <v>482.57495999999998</v>
          </cell>
          <cell r="N217">
            <v>2025</v>
          </cell>
          <cell r="O217">
            <v>1</v>
          </cell>
        </row>
        <row r="218">
          <cell r="B218" t="str">
            <v>1.1.14</v>
          </cell>
          <cell r="L218">
            <v>4.1076321</v>
          </cell>
          <cell r="N218">
            <v>2025</v>
          </cell>
          <cell r="O218">
            <v>1</v>
          </cell>
        </row>
        <row r="219">
          <cell r="B219" t="str">
            <v>1.1.14</v>
          </cell>
          <cell r="L219">
            <v>4.8257496</v>
          </cell>
          <cell r="N219">
            <v>2025</v>
          </cell>
          <cell r="O219">
            <v>1</v>
          </cell>
        </row>
        <row r="220">
          <cell r="B220" t="str">
            <v>1.1.14</v>
          </cell>
          <cell r="L220">
            <v>411.07918169999999</v>
          </cell>
          <cell r="N220">
            <v>2025</v>
          </cell>
          <cell r="O220">
            <v>1</v>
          </cell>
        </row>
        <row r="221">
          <cell r="B221" t="str">
            <v>1.1.14</v>
          </cell>
          <cell r="L221">
            <v>5.3830559999999998</v>
          </cell>
          <cell r="N221">
            <v>2025</v>
          </cell>
          <cell r="O221">
            <v>2</v>
          </cell>
        </row>
        <row r="222">
          <cell r="B222" t="str">
            <v>1.1.14</v>
          </cell>
          <cell r="L222">
            <v>538.30560000000003</v>
          </cell>
          <cell r="N222">
            <v>2025</v>
          </cell>
          <cell r="O222">
            <v>2</v>
          </cell>
        </row>
        <row r="223">
          <cell r="B223" t="str">
            <v>1.1.14</v>
          </cell>
          <cell r="L223">
            <v>466.52831579999997</v>
          </cell>
          <cell r="N223">
            <v>2025</v>
          </cell>
          <cell r="O223">
            <v>2</v>
          </cell>
        </row>
        <row r="224">
          <cell r="B224" t="str">
            <v>1.1.14</v>
          </cell>
          <cell r="L224">
            <v>4.6621109999999994</v>
          </cell>
          <cell r="N224">
            <v>2025</v>
          </cell>
          <cell r="O224">
            <v>2</v>
          </cell>
        </row>
        <row r="225">
          <cell r="B225" t="str">
            <v>1.1.15</v>
          </cell>
          <cell r="L225">
            <v>679.81790000000001</v>
          </cell>
          <cell r="N225">
            <v>2025</v>
          </cell>
          <cell r="O225">
            <v>1</v>
          </cell>
        </row>
        <row r="226">
          <cell r="B226" t="str">
            <v>1.1.15</v>
          </cell>
          <cell r="L226">
            <v>6.7981789999999993</v>
          </cell>
          <cell r="N226">
            <v>2025</v>
          </cell>
          <cell r="O226">
            <v>1</v>
          </cell>
        </row>
        <row r="227">
          <cell r="B227" t="str">
            <v>1.1.15</v>
          </cell>
          <cell r="L227">
            <v>6.8249459999999997</v>
          </cell>
          <cell r="N227">
            <v>2025</v>
          </cell>
          <cell r="O227">
            <v>2</v>
          </cell>
        </row>
        <row r="228">
          <cell r="B228" t="str">
            <v>1.1.15</v>
          </cell>
          <cell r="L228">
            <v>682.49459999999999</v>
          </cell>
          <cell r="N228">
            <v>2025</v>
          </cell>
          <cell r="O228">
            <v>2</v>
          </cell>
        </row>
        <row r="229">
          <cell r="B229" t="str">
            <v>1.1.16</v>
          </cell>
          <cell r="L229">
            <v>536.19439999999997</v>
          </cell>
          <cell r="N229">
            <v>2025</v>
          </cell>
          <cell r="O229">
            <v>1</v>
          </cell>
        </row>
        <row r="230">
          <cell r="B230" t="str">
            <v>1.1.16</v>
          </cell>
          <cell r="L230">
            <v>5.3619439999999994</v>
          </cell>
          <cell r="N230">
            <v>2025</v>
          </cell>
          <cell r="O230">
            <v>1</v>
          </cell>
        </row>
        <row r="231">
          <cell r="B231" t="str">
            <v>1.1.16</v>
          </cell>
          <cell r="L231">
            <v>5.3830559999999998</v>
          </cell>
          <cell r="N231">
            <v>2025</v>
          </cell>
          <cell r="O231">
            <v>2</v>
          </cell>
        </row>
        <row r="232">
          <cell r="B232" t="str">
            <v>1.1.16</v>
          </cell>
          <cell r="L232">
            <v>538.30560000000003</v>
          </cell>
          <cell r="N232">
            <v>2025</v>
          </cell>
          <cell r="O232">
            <v>2</v>
          </cell>
        </row>
        <row r="233">
          <cell r="B233" t="str">
            <v>1.1.17</v>
          </cell>
          <cell r="L233">
            <v>3.9257089999999994</v>
          </cell>
          <cell r="N233">
            <v>2025</v>
          </cell>
          <cell r="O233">
            <v>1</v>
          </cell>
        </row>
        <row r="234">
          <cell r="B234" t="str">
            <v>1.1.17</v>
          </cell>
          <cell r="L234">
            <v>392.57089999999999</v>
          </cell>
          <cell r="N234">
            <v>2025</v>
          </cell>
          <cell r="O234">
            <v>1</v>
          </cell>
        </row>
        <row r="235">
          <cell r="B235" t="str">
            <v>1.1.17</v>
          </cell>
          <cell r="L235">
            <v>392.57089999999999</v>
          </cell>
          <cell r="N235">
            <v>2025</v>
          </cell>
          <cell r="O235">
            <v>1</v>
          </cell>
        </row>
        <row r="236">
          <cell r="B236" t="str">
            <v>1.1.17</v>
          </cell>
          <cell r="L236">
            <v>392.57089999999999</v>
          </cell>
          <cell r="N236">
            <v>2025</v>
          </cell>
          <cell r="O236">
            <v>1</v>
          </cell>
        </row>
        <row r="237">
          <cell r="B237" t="str">
            <v>1.1.17</v>
          </cell>
          <cell r="L237">
            <v>3.9257089999999994</v>
          </cell>
          <cell r="N237">
            <v>2025</v>
          </cell>
          <cell r="O237">
            <v>1</v>
          </cell>
        </row>
        <row r="238">
          <cell r="B238" t="str">
            <v>1.1.17</v>
          </cell>
          <cell r="L238">
            <v>3.9257089999999994</v>
          </cell>
          <cell r="N238">
            <v>2025</v>
          </cell>
          <cell r="O238">
            <v>1</v>
          </cell>
        </row>
        <row r="239">
          <cell r="B239" t="str">
            <v>1.1.17</v>
          </cell>
          <cell r="L239">
            <v>3.9411659999999995</v>
          </cell>
          <cell r="N239">
            <v>2025</v>
          </cell>
          <cell r="O239">
            <v>2</v>
          </cell>
        </row>
        <row r="240">
          <cell r="B240" t="str">
            <v>1.1.17</v>
          </cell>
          <cell r="L240">
            <v>2.3646995999999998</v>
          </cell>
          <cell r="N240">
            <v>2025</v>
          </cell>
          <cell r="O240">
            <v>2</v>
          </cell>
        </row>
        <row r="241">
          <cell r="B241" t="str">
            <v>1.1.17</v>
          </cell>
          <cell r="L241">
            <v>170.78706419999997</v>
          </cell>
          <cell r="N241">
            <v>2025</v>
          </cell>
          <cell r="O241">
            <v>2</v>
          </cell>
        </row>
        <row r="242">
          <cell r="B242" t="str">
            <v>1.1.17</v>
          </cell>
          <cell r="L242">
            <v>236.46996000000001</v>
          </cell>
          <cell r="N242">
            <v>2025</v>
          </cell>
          <cell r="O242">
            <v>2</v>
          </cell>
        </row>
        <row r="243">
          <cell r="B243" t="str">
            <v>1.1.17</v>
          </cell>
          <cell r="L243">
            <v>3.9411659999999995</v>
          </cell>
          <cell r="N243">
            <v>2025</v>
          </cell>
          <cell r="O243">
            <v>2</v>
          </cell>
        </row>
        <row r="244">
          <cell r="B244" t="str">
            <v>1.1.17</v>
          </cell>
          <cell r="L244">
            <v>394.11660000000001</v>
          </cell>
          <cell r="N244">
            <v>2025</v>
          </cell>
          <cell r="O244">
            <v>2</v>
          </cell>
        </row>
        <row r="245">
          <cell r="B245" t="str">
            <v>1.1.17</v>
          </cell>
          <cell r="L245">
            <v>394.11660000000001</v>
          </cell>
          <cell r="N245">
            <v>2025</v>
          </cell>
          <cell r="O245">
            <v>2</v>
          </cell>
        </row>
        <row r="246">
          <cell r="B246" t="str">
            <v>1.1.18</v>
          </cell>
          <cell r="L246">
            <v>392.57089999999999</v>
          </cell>
          <cell r="N246">
            <v>2025</v>
          </cell>
          <cell r="O246">
            <v>1</v>
          </cell>
        </row>
        <row r="247">
          <cell r="B247" t="str">
            <v>1.1.18</v>
          </cell>
          <cell r="L247">
            <v>392.57089999999999</v>
          </cell>
          <cell r="N247">
            <v>2025</v>
          </cell>
          <cell r="O247">
            <v>1</v>
          </cell>
        </row>
        <row r="248">
          <cell r="B248" t="str">
            <v>1.1.18</v>
          </cell>
          <cell r="L248">
            <v>392.57089999999999</v>
          </cell>
          <cell r="N248">
            <v>2025</v>
          </cell>
          <cell r="O248">
            <v>1</v>
          </cell>
        </row>
        <row r="249">
          <cell r="B249" t="str">
            <v>1.1.18</v>
          </cell>
          <cell r="L249">
            <v>3.9257089999999994</v>
          </cell>
          <cell r="N249">
            <v>2025</v>
          </cell>
          <cell r="O249">
            <v>1</v>
          </cell>
        </row>
        <row r="250">
          <cell r="B250" t="str">
            <v>1.1.18</v>
          </cell>
          <cell r="L250">
            <v>248.63142830000001</v>
          </cell>
          <cell r="N250">
            <v>2025</v>
          </cell>
          <cell r="O250">
            <v>1</v>
          </cell>
        </row>
        <row r="251">
          <cell r="B251" t="str">
            <v>1.1.18</v>
          </cell>
          <cell r="L251">
            <v>3.9257089999999994</v>
          </cell>
          <cell r="N251">
            <v>2025</v>
          </cell>
          <cell r="O251">
            <v>1</v>
          </cell>
        </row>
        <row r="252">
          <cell r="B252" t="str">
            <v>1.1.18</v>
          </cell>
          <cell r="L252">
            <v>3.9257089999999994</v>
          </cell>
          <cell r="N252">
            <v>2025</v>
          </cell>
          <cell r="O252">
            <v>1</v>
          </cell>
        </row>
        <row r="253">
          <cell r="B253" t="str">
            <v>1.1.18</v>
          </cell>
          <cell r="L253">
            <v>2.4896634</v>
          </cell>
          <cell r="N253">
            <v>2025</v>
          </cell>
          <cell r="O253">
            <v>2</v>
          </cell>
        </row>
        <row r="254">
          <cell r="B254" t="str">
            <v>1.1.18</v>
          </cell>
          <cell r="L254">
            <v>3.9411659999999995</v>
          </cell>
          <cell r="N254">
            <v>2025</v>
          </cell>
          <cell r="O254">
            <v>2</v>
          </cell>
        </row>
        <row r="255">
          <cell r="B255" t="str">
            <v>1.1.18</v>
          </cell>
          <cell r="L255">
            <v>394.11660000000001</v>
          </cell>
          <cell r="N255">
            <v>2025</v>
          </cell>
          <cell r="O255">
            <v>2</v>
          </cell>
        </row>
        <row r="256">
          <cell r="B256" t="str">
            <v>1.1.18</v>
          </cell>
          <cell r="L256">
            <v>3.9411659999999995</v>
          </cell>
          <cell r="N256">
            <v>2025</v>
          </cell>
          <cell r="O256">
            <v>2</v>
          </cell>
        </row>
        <row r="257">
          <cell r="B257" t="str">
            <v>1.1.18</v>
          </cell>
          <cell r="L257">
            <v>394.11660000000001</v>
          </cell>
          <cell r="N257">
            <v>2025</v>
          </cell>
          <cell r="O257">
            <v>2</v>
          </cell>
        </row>
        <row r="258">
          <cell r="B258" t="str">
            <v>1.1.18</v>
          </cell>
          <cell r="L258">
            <v>394.11660000000001</v>
          </cell>
          <cell r="N258">
            <v>2025</v>
          </cell>
          <cell r="O258">
            <v>2</v>
          </cell>
        </row>
        <row r="259">
          <cell r="B259" t="str">
            <v>1.1.18</v>
          </cell>
          <cell r="L259">
            <v>3.9411659999999995</v>
          </cell>
          <cell r="N259">
            <v>2025</v>
          </cell>
          <cell r="O259">
            <v>2</v>
          </cell>
        </row>
        <row r="260">
          <cell r="B260" t="str">
            <v>1.1.19</v>
          </cell>
          <cell r="L260">
            <v>5.3619439999999994</v>
          </cell>
          <cell r="N260">
            <v>2025</v>
          </cell>
          <cell r="O260">
            <v>1</v>
          </cell>
        </row>
        <row r="261">
          <cell r="B261" t="str">
            <v>1.1.19</v>
          </cell>
          <cell r="L261">
            <v>536.19439999999997</v>
          </cell>
          <cell r="N261">
            <v>2025</v>
          </cell>
          <cell r="O261">
            <v>1</v>
          </cell>
        </row>
        <row r="262">
          <cell r="B262" t="str">
            <v>1.1.19</v>
          </cell>
          <cell r="L262">
            <v>5.3830559999999998</v>
          </cell>
          <cell r="N262">
            <v>2025</v>
          </cell>
          <cell r="O262">
            <v>2</v>
          </cell>
        </row>
        <row r="263">
          <cell r="B263" t="str">
            <v>1.1.19</v>
          </cell>
          <cell r="L263">
            <v>538.30560000000003</v>
          </cell>
          <cell r="N263">
            <v>2025</v>
          </cell>
          <cell r="O263">
            <v>2</v>
          </cell>
        </row>
        <row r="264">
          <cell r="B264" t="str">
            <v>1.1.21</v>
          </cell>
          <cell r="L264">
            <v>2.489474</v>
          </cell>
          <cell r="N264">
            <v>2025</v>
          </cell>
          <cell r="O264">
            <v>1</v>
          </cell>
        </row>
        <row r="265">
          <cell r="B265" t="str">
            <v>1.1.21</v>
          </cell>
          <cell r="L265">
            <v>248.94739999999999</v>
          </cell>
          <cell r="N265">
            <v>2025</v>
          </cell>
          <cell r="O265">
            <v>1</v>
          </cell>
        </row>
        <row r="266">
          <cell r="B266" t="str">
            <v>1.1.21</v>
          </cell>
          <cell r="L266">
            <v>2.4992760000000001</v>
          </cell>
          <cell r="N266">
            <v>2025</v>
          </cell>
          <cell r="O266">
            <v>2</v>
          </cell>
        </row>
        <row r="267">
          <cell r="B267" t="str">
            <v>1.1.21</v>
          </cell>
          <cell r="L267">
            <v>249.92760000000001</v>
          </cell>
          <cell r="N267">
            <v>2025</v>
          </cell>
          <cell r="O267">
            <v>2</v>
          </cell>
        </row>
        <row r="268">
          <cell r="B268" t="str">
            <v>1.1.22</v>
          </cell>
          <cell r="L268">
            <v>2.9682189999999999</v>
          </cell>
          <cell r="N268">
            <v>2025</v>
          </cell>
          <cell r="O268">
            <v>1</v>
          </cell>
        </row>
        <row r="269">
          <cell r="B269" t="str">
            <v>1.1.22</v>
          </cell>
          <cell r="L269">
            <v>296.82189999999997</v>
          </cell>
          <cell r="N269">
            <v>2025</v>
          </cell>
          <cell r="O269">
            <v>1</v>
          </cell>
        </row>
        <row r="270">
          <cell r="B270">
            <v>2.2000000000000002</v>
          </cell>
          <cell r="L270">
            <v>46.276769999999999</v>
          </cell>
          <cell r="N270">
            <v>2025</v>
          </cell>
          <cell r="O270">
            <v>1</v>
          </cell>
        </row>
        <row r="271">
          <cell r="B271">
            <v>2.2000000000000002</v>
          </cell>
          <cell r="L271">
            <v>84.474759999999989</v>
          </cell>
          <cell r="N271">
            <v>2025</v>
          </cell>
          <cell r="O271">
            <v>1</v>
          </cell>
        </row>
        <row r="272">
          <cell r="B272">
            <v>2.2000000000000002</v>
          </cell>
          <cell r="L272">
            <v>82.956599999999995</v>
          </cell>
          <cell r="N272">
            <v>2025</v>
          </cell>
          <cell r="O272">
            <v>1</v>
          </cell>
        </row>
        <row r="273">
          <cell r="B273">
            <v>2.2000000000000002</v>
          </cell>
          <cell r="L273">
            <v>54.22</v>
          </cell>
          <cell r="N273">
            <v>2025</v>
          </cell>
          <cell r="O273">
            <v>1</v>
          </cell>
        </row>
        <row r="274">
          <cell r="B274">
            <v>2.2000000000000002</v>
          </cell>
          <cell r="L274">
            <v>56.930999999999997</v>
          </cell>
          <cell r="N274">
            <v>2025</v>
          </cell>
          <cell r="O274">
            <v>1</v>
          </cell>
        </row>
        <row r="275">
          <cell r="B275">
            <v>2.2000000000000002</v>
          </cell>
          <cell r="L275">
            <v>90.926940000000002</v>
          </cell>
          <cell r="N275">
            <v>2025</v>
          </cell>
          <cell r="O275">
            <v>1</v>
          </cell>
        </row>
        <row r="276">
          <cell r="B276">
            <v>2.2000000000000002</v>
          </cell>
          <cell r="L276">
            <v>75.040480000000002</v>
          </cell>
          <cell r="N276">
            <v>2025</v>
          </cell>
          <cell r="O276">
            <v>1</v>
          </cell>
        </row>
        <row r="277">
          <cell r="B277">
            <v>2.2000000000000002</v>
          </cell>
          <cell r="L277">
            <v>44.4604</v>
          </cell>
          <cell r="N277">
            <v>2025</v>
          </cell>
          <cell r="O277">
            <v>1</v>
          </cell>
        </row>
        <row r="278">
          <cell r="B278">
            <v>2.2000000000000002</v>
          </cell>
          <cell r="L278">
            <v>43.375999999999998</v>
          </cell>
          <cell r="N278">
            <v>2025</v>
          </cell>
          <cell r="O278">
            <v>1</v>
          </cell>
        </row>
        <row r="279">
          <cell r="B279">
            <v>2.2000000000000002</v>
          </cell>
          <cell r="L279">
            <v>41.2072</v>
          </cell>
          <cell r="N279">
            <v>2025</v>
          </cell>
          <cell r="O279">
            <v>1</v>
          </cell>
        </row>
        <row r="280">
          <cell r="B280">
            <v>2.2000000000000002</v>
          </cell>
          <cell r="L280">
            <v>74.161200000000008</v>
          </cell>
          <cell r="N280">
            <v>2025</v>
          </cell>
          <cell r="O280">
            <v>2</v>
          </cell>
        </row>
        <row r="281">
          <cell r="B281">
            <v>2.2000000000000002</v>
          </cell>
          <cell r="L281">
            <v>90.121980000000008</v>
          </cell>
          <cell r="N281">
            <v>2025</v>
          </cell>
          <cell r="O281">
            <v>2</v>
          </cell>
        </row>
        <row r="282">
          <cell r="B282">
            <v>2.2000000000000002</v>
          </cell>
          <cell r="L282">
            <v>82.625250000000008</v>
          </cell>
          <cell r="N282">
            <v>2025</v>
          </cell>
          <cell r="O282">
            <v>2</v>
          </cell>
        </row>
        <row r="283">
          <cell r="B283">
            <v>2.2000000000000002</v>
          </cell>
          <cell r="L283">
            <v>62.875800000000005</v>
          </cell>
          <cell r="N283">
            <v>2025</v>
          </cell>
          <cell r="O283">
            <v>2</v>
          </cell>
        </row>
        <row r="284">
          <cell r="B284">
            <v>2.2000000000000002</v>
          </cell>
          <cell r="L284">
            <v>74.161200000000008</v>
          </cell>
          <cell r="N284">
            <v>2025</v>
          </cell>
          <cell r="O284">
            <v>2</v>
          </cell>
        </row>
        <row r="285">
          <cell r="B285">
            <v>2.2000000000000002</v>
          </cell>
          <cell r="L285">
            <v>72.094499999999996</v>
          </cell>
          <cell r="N285">
            <v>2025</v>
          </cell>
          <cell r="O285">
            <v>2</v>
          </cell>
        </row>
        <row r="286">
          <cell r="B286" t="str">
            <v>3.1.6</v>
          </cell>
          <cell r="L286">
            <v>317.2158</v>
          </cell>
          <cell r="N286">
            <v>2025</v>
          </cell>
          <cell r="O286">
            <v>2</v>
          </cell>
        </row>
        <row r="287">
          <cell r="B287" t="str">
            <v>3.1.6</v>
          </cell>
          <cell r="L287">
            <v>3.893103</v>
          </cell>
          <cell r="N287">
            <v>2025</v>
          </cell>
          <cell r="O287">
            <v>2</v>
          </cell>
        </row>
        <row r="288">
          <cell r="B288" t="str">
            <v>3.1.7</v>
          </cell>
          <cell r="L288">
            <v>104.557908</v>
          </cell>
          <cell r="N288">
            <v>2025</v>
          </cell>
          <cell r="O288">
            <v>1</v>
          </cell>
        </row>
        <row r="289">
          <cell r="B289" t="str">
            <v>3.1.8</v>
          </cell>
          <cell r="L289">
            <v>5804.3043799999996</v>
          </cell>
          <cell r="N289">
            <v>2025</v>
          </cell>
          <cell r="O289">
            <v>1</v>
          </cell>
        </row>
        <row r="290">
          <cell r="B290" t="str">
            <v>3.1.8</v>
          </cell>
          <cell r="L290">
            <v>58.043043799999992</v>
          </cell>
          <cell r="N290">
            <v>2025</v>
          </cell>
          <cell r="O290">
            <v>1</v>
          </cell>
        </row>
        <row r="291">
          <cell r="B291" t="str">
            <v>3.1.9</v>
          </cell>
          <cell r="L291">
            <v>4631.8578749999997</v>
          </cell>
          <cell r="N291">
            <v>2025</v>
          </cell>
          <cell r="O291">
            <v>1</v>
          </cell>
        </row>
        <row r="292">
          <cell r="B292" t="str">
            <v>3.1.9</v>
          </cell>
          <cell r="L292">
            <v>46.323366200000002</v>
          </cell>
          <cell r="N292">
            <v>2025</v>
          </cell>
          <cell r="O292">
            <v>1</v>
          </cell>
        </row>
        <row r="293">
          <cell r="B293">
            <v>4.3</v>
          </cell>
          <cell r="L293">
            <v>24.990489</v>
          </cell>
          <cell r="N293">
            <v>2025</v>
          </cell>
          <cell r="O293">
            <v>1</v>
          </cell>
        </row>
        <row r="294">
          <cell r="B294">
            <v>4.3</v>
          </cell>
          <cell r="L294">
            <v>95.748999999999995</v>
          </cell>
          <cell r="N294">
            <v>2025</v>
          </cell>
          <cell r="O294">
            <v>1</v>
          </cell>
        </row>
        <row r="295">
          <cell r="B295">
            <v>4.3</v>
          </cell>
          <cell r="L295">
            <v>47.874499999999998</v>
          </cell>
          <cell r="N295">
            <v>2025</v>
          </cell>
          <cell r="O295">
            <v>1</v>
          </cell>
        </row>
        <row r="296">
          <cell r="B296">
            <v>2.2000000000000002</v>
          </cell>
          <cell r="L296">
            <v>38.225099999999998</v>
          </cell>
          <cell r="N296">
            <v>2025</v>
          </cell>
          <cell r="O296">
            <v>1</v>
          </cell>
        </row>
        <row r="297">
          <cell r="B297">
            <v>4.3</v>
          </cell>
          <cell r="L297">
            <v>54.22</v>
          </cell>
          <cell r="N297">
            <v>2025</v>
          </cell>
          <cell r="O297">
            <v>1</v>
          </cell>
        </row>
        <row r="298">
          <cell r="B298">
            <v>2.2000000000000002</v>
          </cell>
          <cell r="L298">
            <v>80.652249999999995</v>
          </cell>
          <cell r="N298">
            <v>2025</v>
          </cell>
          <cell r="O298">
            <v>1</v>
          </cell>
        </row>
        <row r="299">
          <cell r="B299">
            <v>4.3</v>
          </cell>
          <cell r="L299">
            <v>93.610829999999993</v>
          </cell>
          <cell r="N299">
            <v>2025</v>
          </cell>
          <cell r="O299">
            <v>1</v>
          </cell>
        </row>
        <row r="300">
          <cell r="B300">
            <v>4.3</v>
          </cell>
          <cell r="L300">
            <v>18.920002400000001</v>
          </cell>
          <cell r="N300">
            <v>2025</v>
          </cell>
          <cell r="O300">
            <v>1</v>
          </cell>
        </row>
        <row r="301">
          <cell r="B301">
            <v>4.3</v>
          </cell>
          <cell r="L301">
            <v>1892.0002399999998</v>
          </cell>
          <cell r="N301">
            <v>2025</v>
          </cell>
          <cell r="O301">
            <v>1</v>
          </cell>
        </row>
        <row r="302">
          <cell r="B302">
            <v>4.3</v>
          </cell>
          <cell r="L302">
            <v>16.341419999999999</v>
          </cell>
          <cell r="N302">
            <v>2025</v>
          </cell>
          <cell r="O302">
            <v>2</v>
          </cell>
        </row>
        <row r="303">
          <cell r="B303" t="str">
            <v>3.1.7</v>
          </cell>
          <cell r="L303">
            <v>96.812610000000006</v>
          </cell>
          <cell r="N303">
            <v>2025</v>
          </cell>
          <cell r="O303">
            <v>2</v>
          </cell>
        </row>
        <row r="304">
          <cell r="B304">
            <v>4.3</v>
          </cell>
          <cell r="L304">
            <v>49.628890000000006</v>
          </cell>
          <cell r="N304">
            <v>2025</v>
          </cell>
          <cell r="O304">
            <v>2</v>
          </cell>
        </row>
        <row r="305">
          <cell r="B305">
            <v>4.3</v>
          </cell>
          <cell r="L305">
            <v>92.280959999999993</v>
          </cell>
          <cell r="N305">
            <v>2025</v>
          </cell>
          <cell r="O305">
            <v>2</v>
          </cell>
        </row>
        <row r="306">
          <cell r="B306">
            <v>4.5</v>
          </cell>
          <cell r="L306">
            <v>37.303359999999998</v>
          </cell>
          <cell r="N306">
            <v>2025</v>
          </cell>
          <cell r="O306">
            <v>1</v>
          </cell>
        </row>
        <row r="307">
          <cell r="B307">
            <v>4.5</v>
          </cell>
          <cell r="L307">
            <v>74.684219999999996</v>
          </cell>
          <cell r="N307">
            <v>2025</v>
          </cell>
          <cell r="O307">
            <v>1</v>
          </cell>
        </row>
        <row r="308">
          <cell r="B308">
            <v>4.5</v>
          </cell>
          <cell r="L308">
            <v>2959.1802943999996</v>
          </cell>
          <cell r="N308">
            <v>2025</v>
          </cell>
          <cell r="O308">
            <v>1</v>
          </cell>
        </row>
        <row r="309">
          <cell r="B309">
            <v>4.5</v>
          </cell>
          <cell r="L309">
            <v>1496.68182</v>
          </cell>
          <cell r="N309">
            <v>2025</v>
          </cell>
          <cell r="O309">
            <v>2</v>
          </cell>
        </row>
        <row r="310">
          <cell r="B310">
            <v>4.5</v>
          </cell>
          <cell r="L310">
            <v>2247.4258800000002</v>
          </cell>
          <cell r="N310">
            <v>2025</v>
          </cell>
          <cell r="O310">
            <v>2</v>
          </cell>
        </row>
        <row r="311">
          <cell r="B311">
            <v>4.5</v>
          </cell>
          <cell r="L311">
            <v>843.60177599999997</v>
          </cell>
          <cell r="N311">
            <v>2025</v>
          </cell>
          <cell r="O311">
            <v>2</v>
          </cell>
        </row>
        <row r="312">
          <cell r="B312">
            <v>4.5</v>
          </cell>
          <cell r="L312">
            <v>441.02608800000002</v>
          </cell>
          <cell r="N312">
            <v>2025</v>
          </cell>
          <cell r="O312">
            <v>2</v>
          </cell>
        </row>
        <row r="313">
          <cell r="B313">
            <v>4.5</v>
          </cell>
          <cell r="L313">
            <v>605.59379999999999</v>
          </cell>
          <cell r="N313">
            <v>2025</v>
          </cell>
          <cell r="O313">
            <v>2</v>
          </cell>
        </row>
        <row r="314">
          <cell r="B314">
            <v>4.5</v>
          </cell>
          <cell r="L314">
            <v>44.996580600000001</v>
          </cell>
          <cell r="N314">
            <v>2025</v>
          </cell>
          <cell r="O314">
            <v>2</v>
          </cell>
        </row>
        <row r="315">
          <cell r="B315">
            <v>4.5</v>
          </cell>
          <cell r="L315">
            <v>4499.6580599999998</v>
          </cell>
          <cell r="N315">
            <v>2025</v>
          </cell>
          <cell r="O315">
            <v>2</v>
          </cell>
        </row>
        <row r="316">
          <cell r="B316">
            <v>4.5</v>
          </cell>
          <cell r="L316">
            <v>4760.0826192000004</v>
          </cell>
          <cell r="N316">
            <v>2025</v>
          </cell>
          <cell r="O316">
            <v>2</v>
          </cell>
        </row>
        <row r="317">
          <cell r="B317">
            <v>4.5</v>
          </cell>
          <cell r="L317">
            <v>47.591982600000001</v>
          </cell>
          <cell r="N317">
            <v>2025</v>
          </cell>
          <cell r="O317">
            <v>2</v>
          </cell>
        </row>
        <row r="318">
          <cell r="B318">
            <v>4.5</v>
          </cell>
          <cell r="L318">
            <v>4.4121834</v>
          </cell>
          <cell r="N318">
            <v>2025</v>
          </cell>
          <cell r="O318">
            <v>2</v>
          </cell>
        </row>
        <row r="319">
          <cell r="B319">
            <v>4.5</v>
          </cell>
          <cell r="L319">
            <v>29.702933999999999</v>
          </cell>
          <cell r="N319">
            <v>2025</v>
          </cell>
          <cell r="O319">
            <v>2</v>
          </cell>
        </row>
        <row r="320">
          <cell r="B320">
            <v>4.5</v>
          </cell>
          <cell r="L320">
            <v>8.4302501999999997</v>
          </cell>
          <cell r="N320">
            <v>2025</v>
          </cell>
          <cell r="O320">
            <v>2</v>
          </cell>
        </row>
        <row r="321">
          <cell r="B321">
            <v>4.5</v>
          </cell>
          <cell r="L321">
            <v>22.474258799999998</v>
          </cell>
          <cell r="N321">
            <v>2025</v>
          </cell>
          <cell r="O321">
            <v>2</v>
          </cell>
        </row>
        <row r="322">
          <cell r="B322">
            <v>4.5</v>
          </cell>
          <cell r="L322">
            <v>14.966818200000001</v>
          </cell>
          <cell r="N322">
            <v>2025</v>
          </cell>
          <cell r="O322">
            <v>2</v>
          </cell>
        </row>
        <row r="323">
          <cell r="L323">
            <v>0</v>
          </cell>
        </row>
        <row r="324">
          <cell r="L324">
            <v>90909.090491031966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D8D4-A07E-4F09-80B7-8614D6E5EDD0}">
  <sheetPr>
    <pageSetUpPr fitToPage="1"/>
  </sheetPr>
  <dimension ref="A1:AM10664"/>
  <sheetViews>
    <sheetView topLeftCell="B23" zoomScaleNormal="100" workbookViewId="0">
      <selection activeCell="AI22" sqref="AI22"/>
    </sheetView>
  </sheetViews>
  <sheetFormatPr defaultColWidth="11" defaultRowHeight="11.25" customHeight="1"/>
  <cols>
    <col min="1" max="1" width="21.5" customWidth="1"/>
    <col min="2" max="2" width="34.125" customWidth="1"/>
    <col min="3" max="3" width="11.25" bestFit="1" customWidth="1"/>
    <col min="4" max="4" width="8.125" bestFit="1" customWidth="1"/>
    <col min="5" max="5" width="13.875" style="484" bestFit="1" customWidth="1"/>
    <col min="6" max="6" width="14.625" style="482" bestFit="1" customWidth="1"/>
    <col min="7" max="7" width="0.875" style="481" hidden="1" customWidth="1"/>
    <col min="8" max="8" width="17.75" style="482" hidden="1" customWidth="1"/>
    <col min="9" max="10" width="12" style="482" hidden="1" customWidth="1"/>
    <col min="11" max="11" width="17.5" style="482" hidden="1" customWidth="1"/>
    <col min="12" max="12" width="15.375" style="482" hidden="1" customWidth="1"/>
    <col min="13" max="13" width="1.5" style="483" hidden="1" customWidth="1"/>
    <col min="14" max="14" width="6.375" style="483" hidden="1" customWidth="1"/>
    <col min="15" max="15" width="34.125" hidden="1" customWidth="1"/>
    <col min="16" max="16" width="12.125" hidden="1" customWidth="1"/>
    <col min="17" max="17" width="6.5" hidden="1" customWidth="1"/>
    <col min="18" max="18" width="9.375" hidden="1" customWidth="1"/>
    <col min="19" max="19" width="11.875" hidden="1" customWidth="1"/>
    <col min="20" max="20" width="3" hidden="1" customWidth="1"/>
    <col min="21" max="21" width="11.875" hidden="1" customWidth="1"/>
    <col min="22" max="22" width="5.375" hidden="1" customWidth="1"/>
    <col min="23" max="23" width="7.375" hidden="1" customWidth="1"/>
    <col min="24" max="24" width="10" hidden="1" customWidth="1"/>
    <col min="25" max="25" width="0.125" hidden="1" customWidth="1"/>
    <col min="26" max="26" width="14.125" hidden="1" customWidth="1"/>
    <col min="27" max="27" width="13.5" style="482" hidden="1" customWidth="1"/>
    <col min="28" max="28" width="4.625" style="482" hidden="1" customWidth="1"/>
    <col min="29" max="29" width="7.875" style="482" hidden="1" customWidth="1"/>
    <col min="30" max="32" width="9" bestFit="1" customWidth="1"/>
    <col min="33" max="33" width="9.875" bestFit="1" customWidth="1"/>
    <col min="34" max="34" width="9" bestFit="1" customWidth="1"/>
    <col min="35" max="35" width="9.875" bestFit="1" customWidth="1"/>
    <col min="36" max="36" width="9.875" style="485" bestFit="1" customWidth="1"/>
    <col min="37" max="37" width="11.875" bestFit="1" customWidth="1"/>
    <col min="39" max="39" width="14.875" bestFit="1" customWidth="1"/>
  </cols>
  <sheetData>
    <row r="1" spans="1:39" ht="38.25" customHeight="1">
      <c r="A1" s="154" t="s">
        <v>0</v>
      </c>
      <c r="B1" s="155"/>
      <c r="C1" s="543" t="s">
        <v>1</v>
      </c>
      <c r="D1" s="544"/>
      <c r="E1" s="544"/>
      <c r="F1" s="545"/>
      <c r="G1" s="156"/>
      <c r="H1" s="546" t="s">
        <v>2</v>
      </c>
      <c r="I1" s="570"/>
      <c r="J1" s="571"/>
      <c r="K1" s="547"/>
      <c r="L1" s="572"/>
      <c r="M1" s="573"/>
      <c r="N1" s="548" t="s">
        <v>3</v>
      </c>
      <c r="O1" s="549"/>
      <c r="P1" s="549"/>
      <c r="Q1" s="549"/>
      <c r="R1" s="549"/>
      <c r="S1" s="550"/>
      <c r="T1" s="157"/>
      <c r="U1" s="551" t="s">
        <v>4</v>
      </c>
      <c r="V1" s="552"/>
      <c r="W1" s="552"/>
      <c r="X1" s="552"/>
      <c r="Y1" s="553"/>
      <c r="AA1"/>
      <c r="AB1"/>
      <c r="AC1"/>
      <c r="AJ1"/>
    </row>
    <row r="2" spans="1:39" ht="27" customHeight="1" thickBot="1">
      <c r="A2" s="158" t="s">
        <v>5</v>
      </c>
      <c r="B2" s="159"/>
      <c r="C2" s="554"/>
      <c r="D2" s="555"/>
      <c r="E2" s="555"/>
      <c r="F2" s="556"/>
      <c r="G2" s="156"/>
      <c r="H2" s="161"/>
      <c r="I2" s="161"/>
      <c r="J2" s="161"/>
      <c r="K2" s="161"/>
      <c r="L2" s="161"/>
      <c r="M2" s="162"/>
      <c r="N2" s="163"/>
      <c r="O2" s="163" t="s">
        <v>5</v>
      </c>
      <c r="P2" s="541">
        <f>C2</f>
        <v>0</v>
      </c>
      <c r="Q2" s="541"/>
      <c r="R2" s="541"/>
      <c r="S2" s="542"/>
      <c r="T2" s="164"/>
      <c r="U2" s="165"/>
      <c r="V2" s="165"/>
      <c r="W2" s="165"/>
      <c r="X2" s="165"/>
      <c r="Y2" s="165"/>
      <c r="AA2"/>
      <c r="AB2"/>
      <c r="AC2"/>
      <c r="AJ2"/>
    </row>
    <row r="3" spans="1:39" ht="54.75" customHeight="1" thickBot="1">
      <c r="A3" s="166" t="s">
        <v>6</v>
      </c>
      <c r="B3" s="160"/>
      <c r="C3" s="527" t="s">
        <v>7</v>
      </c>
      <c r="D3" s="528"/>
      <c r="E3" s="528"/>
      <c r="F3" s="529"/>
      <c r="G3" s="156"/>
      <c r="H3" s="530" t="s">
        <v>8</v>
      </c>
      <c r="I3" s="531"/>
      <c r="J3" s="167">
        <v>4.7E-2</v>
      </c>
      <c r="K3" s="532" t="s">
        <v>9</v>
      </c>
      <c r="L3" s="533"/>
      <c r="M3" s="162"/>
      <c r="N3" s="168"/>
      <c r="O3" s="168" t="s">
        <v>6</v>
      </c>
      <c r="P3" s="534" t="str">
        <f>C3</f>
        <v>Sened Organization</v>
      </c>
      <c r="Q3" s="534"/>
      <c r="R3" s="534"/>
      <c r="S3" s="535"/>
      <c r="T3" s="164"/>
      <c r="U3" s="169"/>
      <c r="V3" s="169"/>
      <c r="W3" s="165"/>
      <c r="X3" s="165"/>
      <c r="Y3" s="165"/>
      <c r="AA3"/>
      <c r="AB3"/>
      <c r="AC3"/>
      <c r="AD3" s="170"/>
      <c r="AJ3"/>
    </row>
    <row r="4" spans="1:39" ht="25.5" customHeight="1" thickBot="1">
      <c r="A4" s="171" t="s">
        <v>10</v>
      </c>
      <c r="B4" s="172"/>
      <c r="C4" s="536"/>
      <c r="D4" s="537"/>
      <c r="E4" s="537"/>
      <c r="F4" s="538"/>
      <c r="G4" s="156"/>
      <c r="H4" s="161"/>
      <c r="I4" s="161"/>
      <c r="J4" s="161"/>
      <c r="K4" s="539" t="s">
        <v>11</v>
      </c>
      <c r="L4" s="540"/>
      <c r="M4" s="162"/>
      <c r="N4" s="173"/>
      <c r="O4" s="173" t="s">
        <v>10</v>
      </c>
      <c r="P4" s="541">
        <f>C4</f>
        <v>0</v>
      </c>
      <c r="Q4" s="541"/>
      <c r="R4" s="541"/>
      <c r="S4" s="542"/>
      <c r="T4" s="164"/>
      <c r="U4" s="165"/>
      <c r="V4" s="165"/>
      <c r="W4" s="165"/>
      <c r="X4" s="521" t="s">
        <v>11</v>
      </c>
      <c r="Y4" s="522"/>
      <c r="AA4"/>
      <c r="AB4"/>
      <c r="AC4"/>
      <c r="AJ4"/>
    </row>
    <row r="5" spans="1:39" ht="77.099999999999994" customHeight="1" thickBot="1">
      <c r="A5" s="6"/>
      <c r="B5" s="174" t="s">
        <v>12</v>
      </c>
      <c r="C5" s="8" t="s">
        <v>13</v>
      </c>
      <c r="D5" s="9" t="s">
        <v>14</v>
      </c>
      <c r="E5" s="175" t="s">
        <v>15</v>
      </c>
      <c r="F5" s="176" t="s">
        <v>16</v>
      </c>
      <c r="G5" s="177"/>
      <c r="H5" s="178" t="s">
        <v>17</v>
      </c>
      <c r="I5" s="179" t="s">
        <v>18</v>
      </c>
      <c r="J5" s="180" t="s">
        <v>19</v>
      </c>
      <c r="K5" s="181" t="s">
        <v>20</v>
      </c>
      <c r="L5" s="182" t="s">
        <v>21</v>
      </c>
      <c r="M5" s="183"/>
      <c r="N5" s="184"/>
      <c r="O5" s="185" t="s">
        <v>22</v>
      </c>
      <c r="P5" s="186" t="s">
        <v>13</v>
      </c>
      <c r="Q5" s="187" t="s">
        <v>14</v>
      </c>
      <c r="R5" s="188" t="s">
        <v>23</v>
      </c>
      <c r="S5" s="189" t="s">
        <v>24</v>
      </c>
      <c r="T5" s="190"/>
      <c r="U5" s="191" t="s">
        <v>25</v>
      </c>
      <c r="V5" s="192" t="s">
        <v>26</v>
      </c>
      <c r="W5" s="193" t="s">
        <v>27</v>
      </c>
      <c r="X5" s="193" t="s">
        <v>28</v>
      </c>
      <c r="Y5" s="193" t="s">
        <v>29</v>
      </c>
      <c r="AA5" s="194" t="s">
        <v>30</v>
      </c>
      <c r="AB5"/>
      <c r="AC5"/>
      <c r="AD5" s="195">
        <v>45505</v>
      </c>
      <c r="AE5" s="196">
        <v>45536</v>
      </c>
      <c r="AF5" s="195">
        <v>45566</v>
      </c>
      <c r="AG5" s="196">
        <v>45597</v>
      </c>
      <c r="AH5" s="195">
        <v>45627</v>
      </c>
      <c r="AI5" s="196">
        <v>45658</v>
      </c>
      <c r="AJ5" s="196">
        <v>45689</v>
      </c>
      <c r="AK5" s="195" t="s">
        <v>31</v>
      </c>
      <c r="AL5" s="196" t="s">
        <v>32</v>
      </c>
      <c r="AM5" s="197" t="s">
        <v>33</v>
      </c>
    </row>
    <row r="6" spans="1:39" ht="30.95" customHeight="1" thickBot="1">
      <c r="A6" s="198">
        <v>1</v>
      </c>
      <c r="B6" s="13" t="s">
        <v>34</v>
      </c>
      <c r="C6" s="199"/>
      <c r="D6" s="200"/>
      <c r="E6" s="201"/>
      <c r="F6" s="202"/>
      <c r="G6" s="156"/>
      <c r="H6" s="203"/>
      <c r="I6" s="204"/>
      <c r="J6" s="205"/>
      <c r="K6" s="206"/>
      <c r="L6" s="207"/>
      <c r="M6" s="162"/>
      <c r="N6" s="208">
        <v>1</v>
      </c>
      <c r="O6" s="209" t="s">
        <v>34</v>
      </c>
      <c r="P6" s="210"/>
      <c r="Q6" s="211"/>
      <c r="R6" s="212"/>
      <c r="S6" s="213"/>
      <c r="T6" s="164"/>
      <c r="U6" s="214"/>
      <c r="V6" s="215"/>
      <c r="W6" s="215"/>
      <c r="X6" s="216"/>
      <c r="Y6" s="217"/>
      <c r="AA6" s="218"/>
      <c r="AB6"/>
      <c r="AC6"/>
      <c r="AD6" s="34"/>
      <c r="AE6" s="34"/>
      <c r="AF6" s="34"/>
      <c r="AG6" s="219"/>
      <c r="AH6" s="34"/>
      <c r="AI6" s="34"/>
      <c r="AJ6" s="34"/>
      <c r="AK6" s="34"/>
      <c r="AL6" s="34"/>
      <c r="AM6" s="219"/>
    </row>
    <row r="7" spans="1:39" ht="13.15" hidden="1" thickBot="1">
      <c r="A7" s="15" t="s">
        <v>35</v>
      </c>
      <c r="B7" s="220" t="s">
        <v>36</v>
      </c>
      <c r="C7" s="221"/>
      <c r="D7" s="222"/>
      <c r="E7" s="223"/>
      <c r="F7" s="224"/>
      <c r="G7" s="156"/>
      <c r="H7" s="225"/>
      <c r="I7" s="226"/>
      <c r="J7" s="227"/>
      <c r="K7" s="228"/>
      <c r="L7" s="229"/>
      <c r="M7" s="162"/>
      <c r="N7" s="230" t="s">
        <v>35</v>
      </c>
      <c r="O7" s="231" t="s">
        <v>36</v>
      </c>
      <c r="P7" s="232"/>
      <c r="Q7" s="233"/>
      <c r="R7" s="234"/>
      <c r="S7" s="235"/>
      <c r="T7" s="164"/>
      <c r="U7" s="236"/>
      <c r="V7" s="237"/>
      <c r="W7" s="237"/>
      <c r="X7" s="235"/>
      <c r="Y7" s="238"/>
      <c r="AA7" s="239"/>
      <c r="AB7"/>
      <c r="AC7"/>
      <c r="AD7" s="34"/>
      <c r="AE7" s="34"/>
      <c r="AF7" s="34"/>
      <c r="AG7" s="219"/>
      <c r="AH7" s="34"/>
      <c r="AI7" s="34"/>
      <c r="AJ7" s="34"/>
      <c r="AK7" s="34"/>
      <c r="AL7" s="34"/>
      <c r="AM7" s="219"/>
    </row>
    <row r="8" spans="1:39" ht="13.15" hidden="1" thickBot="1">
      <c r="A8" s="15"/>
      <c r="B8" s="240" t="s">
        <v>37</v>
      </c>
      <c r="C8" s="241"/>
      <c r="D8" s="242"/>
      <c r="E8" s="243"/>
      <c r="F8" s="244"/>
      <c r="G8" s="156"/>
      <c r="H8" s="245"/>
      <c r="I8" s="226"/>
      <c r="J8" s="227"/>
      <c r="K8" s="228"/>
      <c r="L8" s="229"/>
      <c r="M8" s="162"/>
      <c r="N8" s="230"/>
      <c r="O8" s="231"/>
      <c r="P8" s="232"/>
      <c r="Q8" s="233"/>
      <c r="R8" s="234"/>
      <c r="S8" s="235"/>
      <c r="T8" s="164"/>
      <c r="U8" s="236"/>
      <c r="V8" s="237"/>
      <c r="W8" s="237"/>
      <c r="X8" s="235"/>
      <c r="Y8" s="238"/>
      <c r="AA8" s="246"/>
      <c r="AB8"/>
      <c r="AC8"/>
      <c r="AD8" s="34"/>
      <c r="AE8" s="34"/>
      <c r="AF8" s="34"/>
      <c r="AG8" s="219"/>
      <c r="AH8" s="34"/>
      <c r="AI8" s="34"/>
      <c r="AJ8" s="34"/>
      <c r="AK8" s="34"/>
      <c r="AL8" s="34"/>
      <c r="AM8" s="219"/>
    </row>
    <row r="9" spans="1:39" ht="15.95" hidden="1" customHeight="1" thickBot="1">
      <c r="A9" s="15" t="s">
        <v>38</v>
      </c>
      <c r="B9" s="16" t="s">
        <v>39</v>
      </c>
      <c r="C9" s="247" t="s">
        <v>40</v>
      </c>
      <c r="D9" s="248">
        <v>6</v>
      </c>
      <c r="E9" s="249">
        <v>1650</v>
      </c>
      <c r="F9" s="250"/>
      <c r="G9" s="156"/>
      <c r="H9" s="251"/>
      <c r="I9" s="252"/>
      <c r="J9" s="253"/>
      <c r="K9" s="254"/>
      <c r="L9" s="255"/>
      <c r="M9" s="162"/>
      <c r="N9" s="230"/>
      <c r="O9" s="256"/>
      <c r="P9" s="232"/>
      <c r="Q9" s="257"/>
      <c r="R9" s="234"/>
      <c r="S9" s="235"/>
      <c r="T9" s="164"/>
      <c r="U9" s="258"/>
      <c r="V9" s="259"/>
      <c r="W9" s="234"/>
      <c r="X9" s="235"/>
      <c r="Y9" s="238"/>
      <c r="AA9" s="260">
        <f t="shared" ref="AA9:AA16" si="0">D9*E9*AD9</f>
        <v>4950</v>
      </c>
      <c r="AB9"/>
      <c r="AC9"/>
      <c r="AD9" s="34">
        <v>0.5</v>
      </c>
      <c r="AE9" s="34"/>
      <c r="AF9" s="34"/>
      <c r="AG9" s="219"/>
      <c r="AH9" s="34"/>
      <c r="AI9" s="34"/>
      <c r="AJ9" s="34"/>
      <c r="AK9" s="34"/>
      <c r="AL9" s="34"/>
      <c r="AM9" s="219"/>
    </row>
    <row r="10" spans="1:39" ht="12" hidden="1" customHeight="1" thickBot="1">
      <c r="A10" s="15" t="s">
        <v>41</v>
      </c>
      <c r="B10" s="16" t="s">
        <v>42</v>
      </c>
      <c r="C10" s="247" t="s">
        <v>40</v>
      </c>
      <c r="D10" s="248">
        <v>6</v>
      </c>
      <c r="E10" s="249">
        <v>3500</v>
      </c>
      <c r="F10" s="250"/>
      <c r="G10" s="156"/>
      <c r="H10" s="251"/>
      <c r="I10" s="252"/>
      <c r="J10" s="253"/>
      <c r="K10" s="254"/>
      <c r="L10" s="255"/>
      <c r="M10" s="162"/>
      <c r="N10" s="230" t="s">
        <v>43</v>
      </c>
      <c r="O10" s="256" t="s">
        <v>44</v>
      </c>
      <c r="P10" s="232" t="s">
        <v>40</v>
      </c>
      <c r="Q10" s="257">
        <v>6</v>
      </c>
      <c r="R10" s="234">
        <f t="shared" ref="R10:R31" si="1">E10*$J$3</f>
        <v>164.5</v>
      </c>
      <c r="S10" s="235">
        <f t="shared" ref="S10:S31" si="2">R10*Q10</f>
        <v>987</v>
      </c>
      <c r="T10" s="164"/>
      <c r="U10" s="258">
        <f t="shared" ref="U10:W15" si="3">H10*$J$3</f>
        <v>0</v>
      </c>
      <c r="V10" s="259">
        <f t="shared" si="3"/>
        <v>0</v>
      </c>
      <c r="W10" s="234">
        <f t="shared" si="3"/>
        <v>0</v>
      </c>
      <c r="X10" s="235">
        <f t="shared" ref="X10:X31" si="4">SUM(U10:W10)</f>
        <v>0</v>
      </c>
      <c r="Y10" s="238">
        <f t="shared" ref="Y10:Y31" si="5">S10-X10</f>
        <v>987</v>
      </c>
      <c r="Z10" s="523">
        <f>SUM(F10:F16)/F72</f>
        <v>0</v>
      </c>
      <c r="AA10" s="260">
        <f t="shared" si="0"/>
        <v>2100</v>
      </c>
      <c r="AB10"/>
      <c r="AC10"/>
      <c r="AD10" s="34">
        <v>0.1</v>
      </c>
      <c r="AE10" s="34"/>
      <c r="AF10" s="34"/>
      <c r="AG10" s="219"/>
      <c r="AH10" s="34"/>
      <c r="AI10" s="34"/>
      <c r="AJ10" s="34"/>
      <c r="AK10" s="34"/>
      <c r="AL10" s="34"/>
      <c r="AM10" s="219"/>
    </row>
    <row r="11" spans="1:39" ht="12" hidden="1" customHeight="1" thickBot="1">
      <c r="A11" s="15" t="s">
        <v>45</v>
      </c>
      <c r="B11" s="16" t="s">
        <v>46</v>
      </c>
      <c r="C11" s="247" t="s">
        <v>40</v>
      </c>
      <c r="D11" s="248">
        <v>6</v>
      </c>
      <c r="E11" s="249">
        <v>3100</v>
      </c>
      <c r="F11" s="250"/>
      <c r="G11" s="156"/>
      <c r="H11" s="251"/>
      <c r="I11" s="252"/>
      <c r="J11" s="253"/>
      <c r="K11" s="254"/>
      <c r="L11" s="255"/>
      <c r="M11" s="162"/>
      <c r="N11" s="230" t="s">
        <v>47</v>
      </c>
      <c r="O11" s="256" t="s">
        <v>48</v>
      </c>
      <c r="P11" s="232" t="s">
        <v>40</v>
      </c>
      <c r="Q11" s="257">
        <v>6</v>
      </c>
      <c r="R11" s="234">
        <f t="shared" si="1"/>
        <v>145.69999999999999</v>
      </c>
      <c r="S11" s="235">
        <f t="shared" si="2"/>
        <v>874.19999999999993</v>
      </c>
      <c r="T11" s="164"/>
      <c r="U11" s="258">
        <f t="shared" si="3"/>
        <v>0</v>
      </c>
      <c r="V11" s="259">
        <f t="shared" si="3"/>
        <v>0</v>
      </c>
      <c r="W11" s="234">
        <f t="shared" si="3"/>
        <v>0</v>
      </c>
      <c r="X11" s="235">
        <f t="shared" si="4"/>
        <v>0</v>
      </c>
      <c r="Y11" s="238">
        <f t="shared" si="5"/>
        <v>874.19999999999993</v>
      </c>
      <c r="Z11" s="523"/>
      <c r="AA11" s="260">
        <f t="shared" si="0"/>
        <v>1860</v>
      </c>
      <c r="AB11"/>
      <c r="AC11"/>
      <c r="AD11" s="34">
        <v>0.1</v>
      </c>
      <c r="AE11" s="34"/>
      <c r="AF11" s="34"/>
      <c r="AG11" s="219"/>
      <c r="AH11" s="34"/>
      <c r="AI11" s="34"/>
      <c r="AJ11" s="34"/>
      <c r="AK11" s="34"/>
      <c r="AL11" s="34"/>
      <c r="AM11" s="219"/>
    </row>
    <row r="12" spans="1:39" ht="12" hidden="1" customHeight="1" thickBot="1">
      <c r="A12" s="15" t="s">
        <v>49</v>
      </c>
      <c r="B12" s="16" t="s">
        <v>50</v>
      </c>
      <c r="C12" s="247" t="s">
        <v>40</v>
      </c>
      <c r="D12" s="248">
        <v>6</v>
      </c>
      <c r="E12" s="249">
        <v>3100</v>
      </c>
      <c r="F12" s="250"/>
      <c r="G12" s="156"/>
      <c r="H12" s="251"/>
      <c r="I12" s="252"/>
      <c r="J12" s="253"/>
      <c r="K12" s="254"/>
      <c r="L12" s="255"/>
      <c r="M12" s="162"/>
      <c r="N12" s="230" t="s">
        <v>51</v>
      </c>
      <c r="O12" s="256" t="s">
        <v>52</v>
      </c>
      <c r="P12" s="232" t="s">
        <v>40</v>
      </c>
      <c r="Q12" s="257">
        <v>6</v>
      </c>
      <c r="R12" s="234">
        <f t="shared" si="1"/>
        <v>145.69999999999999</v>
      </c>
      <c r="S12" s="235">
        <f t="shared" si="2"/>
        <v>874.19999999999993</v>
      </c>
      <c r="T12" s="164"/>
      <c r="U12" s="258">
        <f t="shared" si="3"/>
        <v>0</v>
      </c>
      <c r="V12" s="259">
        <f t="shared" si="3"/>
        <v>0</v>
      </c>
      <c r="W12" s="234">
        <f t="shared" si="3"/>
        <v>0</v>
      </c>
      <c r="X12" s="235">
        <f t="shared" si="4"/>
        <v>0</v>
      </c>
      <c r="Y12" s="238">
        <f t="shared" si="5"/>
        <v>874.19999999999993</v>
      </c>
      <c r="Z12" s="523"/>
      <c r="AA12" s="260">
        <f t="shared" si="0"/>
        <v>1860</v>
      </c>
      <c r="AB12"/>
      <c r="AC12"/>
      <c r="AD12" s="34">
        <v>0.1</v>
      </c>
      <c r="AE12" s="34"/>
      <c r="AF12" s="34"/>
      <c r="AG12" s="219"/>
      <c r="AH12" s="34"/>
      <c r="AI12" s="34"/>
      <c r="AJ12" s="34"/>
      <c r="AK12" s="34"/>
      <c r="AL12" s="34"/>
      <c r="AM12" s="219"/>
    </row>
    <row r="13" spans="1:39" ht="12" hidden="1" customHeight="1" thickBot="1">
      <c r="A13" s="15" t="s">
        <v>53</v>
      </c>
      <c r="B13" s="16" t="s">
        <v>54</v>
      </c>
      <c r="C13" s="247" t="s">
        <v>40</v>
      </c>
      <c r="D13" s="261">
        <v>6</v>
      </c>
      <c r="E13" s="249">
        <v>850</v>
      </c>
      <c r="F13" s="250"/>
      <c r="G13" s="156"/>
      <c r="H13" s="251"/>
      <c r="I13" s="252"/>
      <c r="J13" s="253"/>
      <c r="K13" s="254"/>
      <c r="L13" s="255"/>
      <c r="M13" s="162"/>
      <c r="N13" s="230" t="s">
        <v>55</v>
      </c>
      <c r="O13" s="256" t="s">
        <v>56</v>
      </c>
      <c r="P13" s="232" t="s">
        <v>40</v>
      </c>
      <c r="Q13" s="262">
        <v>6</v>
      </c>
      <c r="R13" s="234">
        <f>E13*$J$3</f>
        <v>39.950000000000003</v>
      </c>
      <c r="S13" s="235">
        <f>R13*Q13</f>
        <v>239.70000000000002</v>
      </c>
      <c r="T13" s="164"/>
      <c r="U13" s="258">
        <f t="shared" si="3"/>
        <v>0</v>
      </c>
      <c r="V13" s="259">
        <f t="shared" si="3"/>
        <v>0</v>
      </c>
      <c r="W13" s="234">
        <f t="shared" si="3"/>
        <v>0</v>
      </c>
      <c r="X13" s="235">
        <f>SUM(U13:W13)</f>
        <v>0</v>
      </c>
      <c r="Y13" s="238">
        <f>S13-X13</f>
        <v>239.70000000000002</v>
      </c>
      <c r="Z13" s="523"/>
      <c r="AA13" s="260">
        <f t="shared" si="0"/>
        <v>510</v>
      </c>
      <c r="AB13"/>
      <c r="AC13"/>
      <c r="AD13" s="34">
        <v>0.1</v>
      </c>
      <c r="AE13" s="34"/>
      <c r="AF13" s="34"/>
      <c r="AG13" s="219"/>
      <c r="AH13" s="34"/>
      <c r="AI13" s="34"/>
      <c r="AJ13" s="34"/>
      <c r="AK13" s="34"/>
      <c r="AL13" s="34"/>
      <c r="AM13" s="219"/>
    </row>
    <row r="14" spans="1:39" ht="12" hidden="1" customHeight="1" thickBot="1">
      <c r="A14" s="15" t="s">
        <v>57</v>
      </c>
      <c r="B14" s="16" t="s">
        <v>58</v>
      </c>
      <c r="C14" s="247" t="s">
        <v>40</v>
      </c>
      <c r="D14" s="248">
        <v>6</v>
      </c>
      <c r="E14" s="249">
        <v>3100</v>
      </c>
      <c r="F14" s="250"/>
      <c r="G14" s="156"/>
      <c r="H14" s="251"/>
      <c r="I14" s="252"/>
      <c r="J14" s="253"/>
      <c r="K14" s="254"/>
      <c r="L14" s="255"/>
      <c r="M14" s="162"/>
      <c r="N14" s="230" t="s">
        <v>59</v>
      </c>
      <c r="O14" s="256" t="s">
        <v>60</v>
      </c>
      <c r="P14" s="232" t="s">
        <v>40</v>
      </c>
      <c r="Q14" s="257">
        <v>6</v>
      </c>
      <c r="R14" s="234">
        <f>E14*$J$3</f>
        <v>145.69999999999999</v>
      </c>
      <c r="S14" s="235">
        <f>R14*Q14</f>
        <v>874.19999999999993</v>
      </c>
      <c r="T14" s="164"/>
      <c r="U14" s="258">
        <f t="shared" si="3"/>
        <v>0</v>
      </c>
      <c r="V14" s="259">
        <f t="shared" si="3"/>
        <v>0</v>
      </c>
      <c r="W14" s="234">
        <f t="shared" si="3"/>
        <v>0</v>
      </c>
      <c r="X14" s="235">
        <f>SUM(U14:W14)</f>
        <v>0</v>
      </c>
      <c r="Y14" s="238">
        <f>S14-X14</f>
        <v>874.19999999999993</v>
      </c>
      <c r="Z14" s="523"/>
      <c r="AA14" s="260">
        <f t="shared" si="0"/>
        <v>1860</v>
      </c>
      <c r="AB14"/>
      <c r="AC14"/>
      <c r="AD14" s="34">
        <v>0.1</v>
      </c>
      <c r="AE14" s="34"/>
      <c r="AF14" s="34"/>
      <c r="AG14" s="219"/>
      <c r="AH14" s="34"/>
      <c r="AI14" s="34"/>
      <c r="AJ14" s="34"/>
      <c r="AK14" s="34"/>
      <c r="AL14" s="34"/>
      <c r="AM14" s="219"/>
    </row>
    <row r="15" spans="1:39" ht="12" hidden="1" customHeight="1" thickBot="1">
      <c r="A15" s="15" t="s">
        <v>61</v>
      </c>
      <c r="B15" s="16" t="s">
        <v>62</v>
      </c>
      <c r="C15" s="247" t="s">
        <v>40</v>
      </c>
      <c r="D15" s="248">
        <v>6</v>
      </c>
      <c r="E15" s="249">
        <v>3100</v>
      </c>
      <c r="F15" s="250"/>
      <c r="G15" s="156"/>
      <c r="H15" s="251"/>
      <c r="I15" s="252"/>
      <c r="J15" s="253"/>
      <c r="K15" s="254"/>
      <c r="L15" s="255"/>
      <c r="M15" s="162"/>
      <c r="N15" s="230" t="s">
        <v>63</v>
      </c>
      <c r="O15" s="256" t="s">
        <v>64</v>
      </c>
      <c r="P15" s="232" t="s">
        <v>40</v>
      </c>
      <c r="Q15" s="257">
        <v>6</v>
      </c>
      <c r="R15" s="234">
        <f>E15*$J$3</f>
        <v>145.69999999999999</v>
      </c>
      <c r="S15" s="235">
        <f>R15*Q15</f>
        <v>874.19999999999993</v>
      </c>
      <c r="T15" s="164"/>
      <c r="U15" s="258">
        <f t="shared" si="3"/>
        <v>0</v>
      </c>
      <c r="V15" s="259">
        <f t="shared" si="3"/>
        <v>0</v>
      </c>
      <c r="W15" s="234">
        <f t="shared" si="3"/>
        <v>0</v>
      </c>
      <c r="X15" s="235">
        <f>SUM(U15:W15)</f>
        <v>0</v>
      </c>
      <c r="Y15" s="238">
        <f>S15-X15</f>
        <v>874.19999999999993</v>
      </c>
      <c r="Z15" s="523"/>
      <c r="AA15" s="260">
        <f t="shared" si="0"/>
        <v>1860</v>
      </c>
      <c r="AB15"/>
      <c r="AC15"/>
      <c r="AD15" s="34">
        <v>0.1</v>
      </c>
      <c r="AE15" s="34"/>
      <c r="AF15" s="34"/>
      <c r="AG15" s="219"/>
      <c r="AH15" s="34"/>
      <c r="AI15" s="34"/>
      <c r="AJ15" s="34"/>
      <c r="AK15" s="34"/>
      <c r="AL15" s="34"/>
      <c r="AM15" s="219"/>
    </row>
    <row r="16" spans="1:39" ht="12" hidden="1" customHeight="1" thickBot="1">
      <c r="A16" s="15" t="s">
        <v>65</v>
      </c>
      <c r="B16" s="16" t="s">
        <v>66</v>
      </c>
      <c r="C16" s="247" t="s">
        <v>40</v>
      </c>
      <c r="D16" s="248">
        <v>6</v>
      </c>
      <c r="E16" s="249">
        <v>3100</v>
      </c>
      <c r="F16" s="250"/>
      <c r="G16" s="156"/>
      <c r="H16" s="251"/>
      <c r="I16" s="252"/>
      <c r="J16" s="253"/>
      <c r="K16" s="254"/>
      <c r="L16" s="255"/>
      <c r="M16" s="162"/>
      <c r="N16" s="230"/>
      <c r="O16" s="256"/>
      <c r="P16" s="232"/>
      <c r="Q16" s="257"/>
      <c r="R16" s="234"/>
      <c r="S16" s="235"/>
      <c r="T16" s="164"/>
      <c r="U16" s="258"/>
      <c r="V16" s="259"/>
      <c r="W16" s="234"/>
      <c r="X16" s="235"/>
      <c r="Y16" s="238"/>
      <c r="Z16" s="523"/>
      <c r="AA16" s="260">
        <f t="shared" si="0"/>
        <v>1860</v>
      </c>
      <c r="AB16"/>
      <c r="AC16"/>
      <c r="AD16" s="34">
        <v>0.1</v>
      </c>
      <c r="AE16" s="34"/>
      <c r="AF16" s="34"/>
      <c r="AG16" s="219"/>
      <c r="AH16" s="34"/>
      <c r="AI16" s="34"/>
      <c r="AJ16" s="34"/>
      <c r="AK16" s="34"/>
      <c r="AL16" s="34"/>
      <c r="AM16" s="219"/>
    </row>
    <row r="17" spans="1:39" ht="12.6" thickBot="1">
      <c r="A17" s="15"/>
      <c r="B17" s="263" t="s">
        <v>67</v>
      </c>
      <c r="C17" s="264"/>
      <c r="D17" s="265"/>
      <c r="E17" s="266"/>
      <c r="F17" s="267"/>
      <c r="G17" s="156"/>
      <c r="H17" s="251"/>
      <c r="I17" s="252"/>
      <c r="J17" s="253"/>
      <c r="K17" s="254"/>
      <c r="L17" s="255"/>
      <c r="M17" s="162"/>
      <c r="N17" s="230"/>
      <c r="O17" s="256"/>
      <c r="P17" s="232"/>
      <c r="Q17" s="257"/>
      <c r="R17" s="234"/>
      <c r="S17" s="235"/>
      <c r="T17" s="164"/>
      <c r="U17" s="258"/>
      <c r="V17" s="259"/>
      <c r="W17" s="234"/>
      <c r="X17" s="235"/>
      <c r="Y17" s="238"/>
      <c r="AA17" s="268"/>
      <c r="AB17"/>
      <c r="AC17"/>
      <c r="AD17" s="34"/>
      <c r="AE17" s="34"/>
      <c r="AF17" s="34"/>
      <c r="AG17" s="219"/>
      <c r="AH17" s="34"/>
      <c r="AI17" s="34"/>
      <c r="AJ17" s="34"/>
      <c r="AK17" s="34"/>
      <c r="AL17" s="34"/>
      <c r="AM17" s="219"/>
    </row>
    <row r="18" spans="1:39" ht="12">
      <c r="A18" s="15" t="s">
        <v>65</v>
      </c>
      <c r="B18" s="269" t="s">
        <v>68</v>
      </c>
      <c r="C18" s="247" t="s">
        <v>40</v>
      </c>
      <c r="D18" s="248">
        <v>5</v>
      </c>
      <c r="E18" s="249">
        <v>1650</v>
      </c>
      <c r="F18" s="250">
        <f>E18*D18</f>
        <v>8250</v>
      </c>
      <c r="G18" s="156"/>
      <c r="H18" s="251"/>
      <c r="I18" s="252"/>
      <c r="J18" s="253"/>
      <c r="K18" s="254"/>
      <c r="L18" s="255"/>
      <c r="M18" s="162"/>
      <c r="N18" s="230" t="s">
        <v>69</v>
      </c>
      <c r="O18" s="256" t="str">
        <f>B18</f>
        <v>Project Officer (100%) TR</v>
      </c>
      <c r="P18" s="232" t="s">
        <v>40</v>
      </c>
      <c r="Q18" s="257">
        <v>6</v>
      </c>
      <c r="R18" s="234">
        <f t="shared" ref="R18" si="6">E18*$J$3</f>
        <v>77.55</v>
      </c>
      <c r="S18" s="235">
        <f t="shared" ref="S18" si="7">R18*Q18</f>
        <v>465.29999999999995</v>
      </c>
      <c r="T18" s="164"/>
      <c r="U18" s="258">
        <f t="shared" ref="U18:W18" si="8">H18*$J$3</f>
        <v>0</v>
      </c>
      <c r="V18" s="259">
        <f t="shared" si="8"/>
        <v>0</v>
      </c>
      <c r="W18" s="234">
        <f t="shared" si="8"/>
        <v>0</v>
      </c>
      <c r="X18" s="235">
        <f t="shared" ref="X18" si="9">SUM(U18:W18)</f>
        <v>0</v>
      </c>
      <c r="Y18" s="238">
        <f t="shared" ref="Y18" si="10">S18-X18</f>
        <v>465.29999999999995</v>
      </c>
      <c r="Z18" s="523">
        <f>SUM(F18:F31)/F72</f>
        <v>0.54</v>
      </c>
      <c r="AA18" s="260"/>
      <c r="AB18"/>
      <c r="AC18"/>
      <c r="AD18" s="270">
        <v>1441.4230480000001</v>
      </c>
      <c r="AE18" s="270">
        <v>1368.7681266000002</v>
      </c>
      <c r="AF18" s="270">
        <v>1354.1583822</v>
      </c>
      <c r="AG18" s="270">
        <v>1392.9992056000001</v>
      </c>
      <c r="AH18" s="270">
        <v>1415.5261329</v>
      </c>
      <c r="AI18" s="270">
        <v>1812.2869628999999</v>
      </c>
      <c r="AJ18" s="270">
        <v>1807.6306153</v>
      </c>
      <c r="AK18" s="271">
        <f t="shared" ref="AK18:AK31" si="11">SUM(AD18:AJ18)</f>
        <v>10592.792473500002</v>
      </c>
      <c r="AL18" s="272">
        <f t="shared" ref="AL18:AL31" si="12">AK18/F18</f>
        <v>1.2839748452727275</v>
      </c>
      <c r="AM18" s="273">
        <f>F18-AK18</f>
        <v>-2342.7924735000015</v>
      </c>
    </row>
    <row r="19" spans="1:39" ht="12">
      <c r="A19" s="15" t="s">
        <v>70</v>
      </c>
      <c r="B19" s="274" t="s">
        <v>71</v>
      </c>
      <c r="C19" s="247" t="s">
        <v>40</v>
      </c>
      <c r="D19" s="248">
        <v>5</v>
      </c>
      <c r="E19" s="249">
        <v>800</v>
      </c>
      <c r="F19" s="250">
        <f>E19*D19</f>
        <v>4000</v>
      </c>
      <c r="G19" s="156"/>
      <c r="H19" s="251"/>
      <c r="I19" s="252"/>
      <c r="J19" s="253"/>
      <c r="K19" s="254"/>
      <c r="L19" s="255"/>
      <c r="M19" s="162"/>
      <c r="N19" s="230" t="s">
        <v>72</v>
      </c>
      <c r="O19" s="256" t="s">
        <v>73</v>
      </c>
      <c r="P19" s="232" t="s">
        <v>40</v>
      </c>
      <c r="Q19" s="257">
        <v>6</v>
      </c>
      <c r="R19" s="234">
        <f>E19*$J$3</f>
        <v>37.6</v>
      </c>
      <c r="S19" s="235">
        <f>R19*Q19</f>
        <v>225.60000000000002</v>
      </c>
      <c r="T19" s="164"/>
      <c r="U19" s="258">
        <f>H19*$J$3</f>
        <v>0</v>
      </c>
      <c r="V19" s="259">
        <f>I19*$J$3</f>
        <v>0</v>
      </c>
      <c r="W19" s="234">
        <f>J19*$J$3</f>
        <v>0</v>
      </c>
      <c r="X19" s="235">
        <f>SUM(U19:W19)</f>
        <v>0</v>
      </c>
      <c r="Y19" s="238">
        <f>S19-X19</f>
        <v>225.60000000000002</v>
      </c>
      <c r="Z19" s="523"/>
      <c r="AA19" s="260"/>
      <c r="AB19"/>
      <c r="AC19"/>
      <c r="AD19" s="270">
        <v>333.03422720000003</v>
      </c>
      <c r="AE19" s="270">
        <v>1060.3170270000001</v>
      </c>
      <c r="AF19" s="270">
        <v>1048.8568974</v>
      </c>
      <c r="AG19" s="270">
        <v>-1.2388120000000002</v>
      </c>
      <c r="AH19" s="270">
        <v>0</v>
      </c>
      <c r="AI19" s="270">
        <v>1432.8779042000001</v>
      </c>
      <c r="AJ19" s="270">
        <v>1429.408764</v>
      </c>
      <c r="AK19" s="271">
        <f t="shared" si="11"/>
        <v>5303.2560077999997</v>
      </c>
      <c r="AL19" s="272">
        <f t="shared" si="12"/>
        <v>1.32581400195</v>
      </c>
      <c r="AM19" s="273">
        <f t="shared" ref="AM19:AM31" si="13">F19-AK19</f>
        <v>-1303.2560077999997</v>
      </c>
    </row>
    <row r="20" spans="1:39" ht="12">
      <c r="A20" s="15" t="s">
        <v>59</v>
      </c>
      <c r="B20" s="275" t="s">
        <v>74</v>
      </c>
      <c r="C20" s="247" t="s">
        <v>40</v>
      </c>
      <c r="D20" s="248">
        <v>5</v>
      </c>
      <c r="E20" s="249">
        <v>800</v>
      </c>
      <c r="F20" s="250">
        <f>E20*D20</f>
        <v>4000</v>
      </c>
      <c r="G20" s="156"/>
      <c r="H20" s="251"/>
      <c r="I20" s="252"/>
      <c r="J20" s="253"/>
      <c r="K20" s="254"/>
      <c r="L20" s="255"/>
      <c r="M20" s="162"/>
      <c r="N20" s="230"/>
      <c r="O20" s="256"/>
      <c r="P20" s="232"/>
      <c r="Q20" s="257"/>
      <c r="R20" s="234"/>
      <c r="S20" s="235"/>
      <c r="T20" s="164"/>
      <c r="U20" s="258"/>
      <c r="V20" s="259"/>
      <c r="W20" s="234"/>
      <c r="X20" s="235"/>
      <c r="Y20" s="238"/>
      <c r="Z20" s="523"/>
      <c r="AA20" s="260"/>
      <c r="AB20"/>
      <c r="AC20"/>
      <c r="AD20" s="270">
        <v>0</v>
      </c>
      <c r="AE20" s="270">
        <v>1368.7681266</v>
      </c>
      <c r="AF20" s="270">
        <v>1354.1583822</v>
      </c>
      <c r="AG20" s="270">
        <v>-0.98026560000000007</v>
      </c>
      <c r="AH20" s="270">
        <v>0</v>
      </c>
      <c r="AI20" s="270">
        <v>1285.4683636</v>
      </c>
      <c r="AJ20" s="270">
        <v>1280.4479328</v>
      </c>
      <c r="AK20" s="271">
        <f t="shared" si="11"/>
        <v>5287.8625395999998</v>
      </c>
      <c r="AL20" s="272">
        <f t="shared" si="12"/>
        <v>1.3219656349</v>
      </c>
      <c r="AM20" s="273">
        <f t="shared" si="13"/>
        <v>-1287.8625395999998</v>
      </c>
    </row>
    <row r="21" spans="1:39" ht="12">
      <c r="A21" s="15" t="s">
        <v>69</v>
      </c>
      <c r="B21" s="275" t="s">
        <v>75</v>
      </c>
      <c r="C21" s="247" t="s">
        <v>40</v>
      </c>
      <c r="D21" s="248">
        <v>5</v>
      </c>
      <c r="E21" s="249">
        <v>300</v>
      </c>
      <c r="F21" s="250">
        <f>E21*D21</f>
        <v>1500</v>
      </c>
      <c r="G21" s="156"/>
      <c r="H21" s="251"/>
      <c r="I21" s="252"/>
      <c r="J21" s="253"/>
      <c r="K21" s="254"/>
      <c r="L21" s="255"/>
      <c r="M21" s="162"/>
      <c r="N21" s="230"/>
      <c r="O21" s="256"/>
      <c r="P21" s="232"/>
      <c r="Q21" s="257"/>
      <c r="R21" s="234"/>
      <c r="S21" s="235"/>
      <c r="T21" s="164"/>
      <c r="U21" s="258"/>
      <c r="V21" s="259"/>
      <c r="W21" s="234"/>
      <c r="X21" s="235"/>
      <c r="Y21" s="238"/>
      <c r="Z21" s="523"/>
      <c r="AA21" s="260"/>
      <c r="AB21"/>
      <c r="AC21"/>
      <c r="AD21" s="270">
        <v>0</v>
      </c>
      <c r="AE21" s="270">
        <v>743.45667479999997</v>
      </c>
      <c r="AF21" s="270">
        <v>565.01871300000005</v>
      </c>
      <c r="AG21" s="270">
        <v>329.78199920000003</v>
      </c>
      <c r="AH21" s="270">
        <v>119.86201130000001</v>
      </c>
      <c r="AI21" s="270">
        <v>374.34355519999997</v>
      </c>
      <c r="AJ21" s="270">
        <v>377.45981810000001</v>
      </c>
      <c r="AK21" s="271">
        <f t="shared" si="11"/>
        <v>2509.9227716</v>
      </c>
      <c r="AL21" s="272">
        <f t="shared" si="12"/>
        <v>1.6732818477333333</v>
      </c>
      <c r="AM21" s="273">
        <f t="shared" si="13"/>
        <v>-1009.9227716</v>
      </c>
    </row>
    <row r="22" spans="1:39" ht="12">
      <c r="A22" s="15" t="s">
        <v>76</v>
      </c>
      <c r="B22" s="276" t="s">
        <v>77</v>
      </c>
      <c r="C22" s="247" t="s">
        <v>40</v>
      </c>
      <c r="D22" s="248">
        <v>5</v>
      </c>
      <c r="E22" s="249">
        <v>700</v>
      </c>
      <c r="F22" s="250">
        <f t="shared" ref="F22:F31" si="14">E22*D22</f>
        <v>3500</v>
      </c>
      <c r="G22" s="156"/>
      <c r="H22" s="251"/>
      <c r="I22" s="252"/>
      <c r="J22" s="253"/>
      <c r="K22" s="254"/>
      <c r="L22" s="255"/>
      <c r="M22" s="162"/>
      <c r="N22" s="230" t="s">
        <v>78</v>
      </c>
      <c r="O22" s="256" t="s">
        <v>79</v>
      </c>
      <c r="P22" s="232" t="s">
        <v>40</v>
      </c>
      <c r="Q22" s="257">
        <v>10</v>
      </c>
      <c r="R22" s="234">
        <f t="shared" si="1"/>
        <v>32.9</v>
      </c>
      <c r="S22" s="235">
        <f t="shared" si="2"/>
        <v>329</v>
      </c>
      <c r="T22" s="164"/>
      <c r="U22" s="258">
        <f t="shared" ref="U22:W22" si="15">H22*$J$3</f>
        <v>0</v>
      </c>
      <c r="V22" s="259">
        <f t="shared" si="15"/>
        <v>0</v>
      </c>
      <c r="W22" s="234">
        <f t="shared" si="15"/>
        <v>0</v>
      </c>
      <c r="X22" s="235">
        <f t="shared" si="4"/>
        <v>0</v>
      </c>
      <c r="Y22" s="238">
        <f t="shared" si="5"/>
        <v>329</v>
      </c>
      <c r="Z22" s="523"/>
      <c r="AA22" s="260"/>
      <c r="AB22"/>
      <c r="AC22"/>
      <c r="AD22" s="270">
        <v>0</v>
      </c>
      <c r="AE22" s="270">
        <v>572.3420668</v>
      </c>
      <c r="AF22" s="270">
        <v>588.36842999999999</v>
      </c>
      <c r="AG22" s="270">
        <v>607.02616</v>
      </c>
      <c r="AH22" s="270">
        <v>622.74933500000009</v>
      </c>
      <c r="AI22" s="270">
        <v>686.61607900000001</v>
      </c>
      <c r="AJ22" s="270">
        <v>689.31954599999995</v>
      </c>
      <c r="AK22" s="271">
        <f t="shared" si="11"/>
        <v>3766.4216167999994</v>
      </c>
      <c r="AL22" s="272">
        <f t="shared" si="12"/>
        <v>1.076120461942857</v>
      </c>
      <c r="AM22" s="273">
        <f t="shared" si="13"/>
        <v>-266.42161679999936</v>
      </c>
    </row>
    <row r="23" spans="1:39" ht="12">
      <c r="A23" s="15" t="s">
        <v>55</v>
      </c>
      <c r="B23" s="276" t="s">
        <v>80</v>
      </c>
      <c r="C23" s="247" t="s">
        <v>40</v>
      </c>
      <c r="D23" s="248">
        <v>5</v>
      </c>
      <c r="E23" s="249">
        <v>500</v>
      </c>
      <c r="F23" s="250">
        <f t="shared" si="14"/>
        <v>2500</v>
      </c>
      <c r="G23" s="156"/>
      <c r="H23" s="251"/>
      <c r="I23" s="252"/>
      <c r="J23" s="253"/>
      <c r="K23" s="254"/>
      <c r="L23" s="255"/>
      <c r="M23" s="162"/>
      <c r="N23" s="230"/>
      <c r="O23" s="256"/>
      <c r="P23" s="232"/>
      <c r="Q23" s="257"/>
      <c r="R23" s="234"/>
      <c r="S23" s="235"/>
      <c r="T23" s="164"/>
      <c r="U23" s="258"/>
      <c r="V23" s="259"/>
      <c r="W23" s="234"/>
      <c r="X23" s="235"/>
      <c r="Y23" s="238"/>
      <c r="Z23" s="523"/>
      <c r="AA23" s="260"/>
      <c r="AB23"/>
      <c r="AC23"/>
      <c r="AD23" s="270">
        <v>0</v>
      </c>
      <c r="AE23" s="270">
        <v>136.63482000000002</v>
      </c>
      <c r="AF23" s="270">
        <v>452.59110000000004</v>
      </c>
      <c r="AG23" s="270">
        <v>186.77727999999999</v>
      </c>
      <c r="AH23" s="270">
        <v>0</v>
      </c>
      <c r="AI23" s="270">
        <v>1110.6884</v>
      </c>
      <c r="AJ23" s="270">
        <v>586.36860000000001</v>
      </c>
      <c r="AK23" s="271">
        <f t="shared" si="11"/>
        <v>2473.0601999999999</v>
      </c>
      <c r="AL23" s="272">
        <f t="shared" si="12"/>
        <v>0.98922407999999995</v>
      </c>
      <c r="AM23" s="273">
        <f t="shared" si="13"/>
        <v>26.939800000000105</v>
      </c>
    </row>
    <row r="24" spans="1:39" ht="12">
      <c r="A24" s="15" t="s">
        <v>78</v>
      </c>
      <c r="B24" s="276" t="s">
        <v>81</v>
      </c>
      <c r="C24" s="247" t="s">
        <v>40</v>
      </c>
      <c r="D24" s="248">
        <v>10</v>
      </c>
      <c r="E24" s="249">
        <v>500</v>
      </c>
      <c r="F24" s="250">
        <f t="shared" si="14"/>
        <v>5000</v>
      </c>
      <c r="G24" s="156"/>
      <c r="H24" s="251"/>
      <c r="I24" s="252"/>
      <c r="J24" s="253"/>
      <c r="K24" s="254"/>
      <c r="L24" s="255"/>
      <c r="M24" s="162"/>
      <c r="N24" s="230" t="s">
        <v>82</v>
      </c>
      <c r="O24" s="256" t="s">
        <v>81</v>
      </c>
      <c r="P24" s="232" t="s">
        <v>40</v>
      </c>
      <c r="Q24" s="257">
        <v>10</v>
      </c>
      <c r="R24" s="234">
        <f t="shared" si="1"/>
        <v>23.5</v>
      </c>
      <c r="S24" s="235">
        <f t="shared" si="2"/>
        <v>235</v>
      </c>
      <c r="T24" s="164"/>
      <c r="U24" s="258"/>
      <c r="V24" s="259"/>
      <c r="W24" s="234"/>
      <c r="X24" s="235"/>
      <c r="Y24" s="238"/>
      <c r="Z24" s="523"/>
      <c r="AA24" s="260"/>
      <c r="AB24"/>
      <c r="AC24"/>
      <c r="AD24" s="270">
        <v>0</v>
      </c>
      <c r="AE24" s="270">
        <v>15.187659200000001</v>
      </c>
      <c r="AF24" s="270">
        <v>0</v>
      </c>
      <c r="AG24" s="270">
        <v>0</v>
      </c>
      <c r="AH24" s="270">
        <v>0</v>
      </c>
      <c r="AI24" s="270">
        <v>902.58752340000001</v>
      </c>
      <c r="AJ24" s="270">
        <v>1014.8790828</v>
      </c>
      <c r="AK24" s="271">
        <f t="shared" si="11"/>
        <v>1932.6542654</v>
      </c>
      <c r="AL24" s="272">
        <f t="shared" si="12"/>
        <v>0.38653085308000001</v>
      </c>
      <c r="AM24" s="273">
        <f t="shared" si="13"/>
        <v>3067.3457346</v>
      </c>
    </row>
    <row r="25" spans="1:39" ht="12">
      <c r="A25" s="15" t="s">
        <v>82</v>
      </c>
      <c r="B25" s="276" t="s">
        <v>83</v>
      </c>
      <c r="C25" s="247" t="s">
        <v>40</v>
      </c>
      <c r="D25" s="248">
        <v>5</v>
      </c>
      <c r="E25" s="249">
        <v>650</v>
      </c>
      <c r="F25" s="250">
        <f>E25*D25</f>
        <v>3250</v>
      </c>
      <c r="G25" s="156"/>
      <c r="H25" s="251"/>
      <c r="I25" s="252"/>
      <c r="J25" s="253"/>
      <c r="K25" s="254"/>
      <c r="L25" s="255"/>
      <c r="M25" s="162"/>
      <c r="N25" s="230"/>
      <c r="O25" s="256"/>
      <c r="P25" s="232"/>
      <c r="Q25" s="257"/>
      <c r="R25" s="234"/>
      <c r="S25" s="235"/>
      <c r="T25" s="164"/>
      <c r="U25" s="258"/>
      <c r="V25" s="259"/>
      <c r="W25" s="234"/>
      <c r="X25" s="235"/>
      <c r="Y25" s="238"/>
      <c r="Z25" s="523"/>
      <c r="AA25" s="260"/>
      <c r="AB25"/>
      <c r="AC25"/>
      <c r="AD25" s="270">
        <v>0</v>
      </c>
      <c r="AE25" s="270">
        <v>0</v>
      </c>
      <c r="AF25" s="270">
        <v>588.36842999999999</v>
      </c>
      <c r="AG25" s="270">
        <v>607.02616</v>
      </c>
      <c r="AH25" s="270">
        <v>622.74933500000009</v>
      </c>
      <c r="AI25" s="270">
        <v>686.61607900000001</v>
      </c>
      <c r="AJ25" s="270">
        <v>689.31954599999995</v>
      </c>
      <c r="AK25" s="271">
        <f t="shared" si="11"/>
        <v>3194.0795499999995</v>
      </c>
      <c r="AL25" s="272">
        <f t="shared" si="12"/>
        <v>0.98279370769230756</v>
      </c>
      <c r="AM25" s="273">
        <f t="shared" si="13"/>
        <v>55.920450000000528</v>
      </c>
    </row>
    <row r="26" spans="1:39" ht="12">
      <c r="A26" s="15" t="s">
        <v>84</v>
      </c>
      <c r="B26" s="276" t="s">
        <v>85</v>
      </c>
      <c r="C26" s="247" t="s">
        <v>40</v>
      </c>
      <c r="D26" s="248">
        <v>5</v>
      </c>
      <c r="E26" s="249">
        <v>500</v>
      </c>
      <c r="F26" s="250">
        <f t="shared" si="14"/>
        <v>2500</v>
      </c>
      <c r="G26" s="156"/>
      <c r="H26" s="251"/>
      <c r="I26" s="252"/>
      <c r="J26" s="253"/>
      <c r="K26" s="254"/>
      <c r="L26" s="255"/>
      <c r="M26" s="162"/>
      <c r="N26" s="230" t="s">
        <v>84</v>
      </c>
      <c r="O26" s="256" t="s">
        <v>86</v>
      </c>
      <c r="P26" s="232" t="s">
        <v>40</v>
      </c>
      <c r="Q26" s="257">
        <v>10</v>
      </c>
      <c r="R26" s="234">
        <f t="shared" si="1"/>
        <v>23.5</v>
      </c>
      <c r="S26" s="235">
        <f t="shared" si="2"/>
        <v>235</v>
      </c>
      <c r="T26" s="164"/>
      <c r="U26" s="258">
        <f t="shared" ref="U26:W31" si="16">H26*$J$3</f>
        <v>0</v>
      </c>
      <c r="V26" s="259">
        <f t="shared" si="16"/>
        <v>0</v>
      </c>
      <c r="W26" s="234">
        <f t="shared" si="16"/>
        <v>0</v>
      </c>
      <c r="X26" s="235">
        <f t="shared" si="4"/>
        <v>0</v>
      </c>
      <c r="Y26" s="238">
        <f t="shared" si="5"/>
        <v>235</v>
      </c>
      <c r="Z26" s="523"/>
      <c r="AA26" s="260"/>
      <c r="AB26"/>
      <c r="AC26"/>
      <c r="AD26" s="270">
        <v>0</v>
      </c>
      <c r="AE26" s="270">
        <v>0</v>
      </c>
      <c r="AF26" s="270">
        <v>0</v>
      </c>
      <c r="AG26" s="270">
        <v>217.90066240000002</v>
      </c>
      <c r="AH26" s="270">
        <v>479.03795000000002</v>
      </c>
      <c r="AI26" s="270">
        <v>541.55634399999997</v>
      </c>
      <c r="AJ26" s="270">
        <v>543.68865600000004</v>
      </c>
      <c r="AK26" s="271">
        <f t="shared" si="11"/>
        <v>1782.1836123999999</v>
      </c>
      <c r="AL26" s="272">
        <f t="shared" si="12"/>
        <v>0.71287344495999994</v>
      </c>
      <c r="AM26" s="273">
        <f t="shared" si="13"/>
        <v>717.8163876000001</v>
      </c>
    </row>
    <row r="27" spans="1:39" ht="12">
      <c r="A27" s="15" t="s">
        <v>87</v>
      </c>
      <c r="B27" s="276" t="s">
        <v>88</v>
      </c>
      <c r="C27" s="247" t="s">
        <v>40</v>
      </c>
      <c r="D27" s="248">
        <v>20</v>
      </c>
      <c r="E27" s="249">
        <v>375</v>
      </c>
      <c r="F27" s="250">
        <f t="shared" si="14"/>
        <v>7500</v>
      </c>
      <c r="G27" s="156"/>
      <c r="H27" s="251"/>
      <c r="I27" s="252"/>
      <c r="J27" s="253"/>
      <c r="K27" s="254"/>
      <c r="L27" s="255"/>
      <c r="M27" s="162"/>
      <c r="N27" s="230" t="s">
        <v>87</v>
      </c>
      <c r="O27" s="256" t="s">
        <v>88</v>
      </c>
      <c r="P27" s="232" t="s">
        <v>40</v>
      </c>
      <c r="Q27" s="257">
        <v>20</v>
      </c>
      <c r="R27" s="234">
        <f t="shared" si="1"/>
        <v>17.625</v>
      </c>
      <c r="S27" s="235">
        <f t="shared" si="2"/>
        <v>352.5</v>
      </c>
      <c r="T27" s="164"/>
      <c r="U27" s="258">
        <f t="shared" si="16"/>
        <v>0</v>
      </c>
      <c r="V27" s="259">
        <f t="shared" si="16"/>
        <v>0</v>
      </c>
      <c r="W27" s="234">
        <f t="shared" si="16"/>
        <v>0</v>
      </c>
      <c r="X27" s="235">
        <f t="shared" si="4"/>
        <v>0</v>
      </c>
      <c r="Y27" s="238">
        <f t="shared" si="5"/>
        <v>352.5</v>
      </c>
      <c r="Z27" s="523"/>
      <c r="AA27" s="260"/>
      <c r="AB27"/>
      <c r="AC27"/>
      <c r="AD27" s="270">
        <v>0</v>
      </c>
      <c r="AE27" s="270">
        <v>456.97357720000002</v>
      </c>
      <c r="AF27" s="270">
        <v>1024.3525734</v>
      </c>
      <c r="AG27" s="270">
        <v>980.58072000000004</v>
      </c>
      <c r="AH27" s="270">
        <v>1341.3062600000005</v>
      </c>
      <c r="AI27" s="270">
        <v>1189.4898270000001</v>
      </c>
      <c r="AJ27" s="270">
        <v>1205.7372558</v>
      </c>
      <c r="AK27" s="271">
        <f t="shared" si="11"/>
        <v>6198.4402134000002</v>
      </c>
      <c r="AL27" s="272">
        <f t="shared" si="12"/>
        <v>0.82645869512000003</v>
      </c>
      <c r="AM27" s="273">
        <f t="shared" si="13"/>
        <v>1301.5597865999998</v>
      </c>
    </row>
    <row r="28" spans="1:39" ht="12">
      <c r="A28" s="15" t="s">
        <v>89</v>
      </c>
      <c r="B28" s="276" t="s">
        <v>90</v>
      </c>
      <c r="C28" s="247" t="s">
        <v>40</v>
      </c>
      <c r="D28" s="248">
        <v>20</v>
      </c>
      <c r="E28" s="249">
        <v>375</v>
      </c>
      <c r="F28" s="250">
        <f t="shared" si="14"/>
        <v>7500</v>
      </c>
      <c r="G28" s="156"/>
      <c r="H28" s="251"/>
      <c r="I28" s="252"/>
      <c r="J28" s="253"/>
      <c r="K28" s="254"/>
      <c r="L28" s="255"/>
      <c r="M28" s="162"/>
      <c r="N28" s="230" t="s">
        <v>89</v>
      </c>
      <c r="O28" s="256" t="s">
        <v>90</v>
      </c>
      <c r="P28" s="232" t="s">
        <v>40</v>
      </c>
      <c r="Q28" s="257">
        <v>20</v>
      </c>
      <c r="R28" s="234">
        <f t="shared" si="1"/>
        <v>17.625</v>
      </c>
      <c r="S28" s="235">
        <f t="shared" si="2"/>
        <v>352.5</v>
      </c>
      <c r="T28" s="164"/>
      <c r="U28" s="258">
        <f t="shared" si="16"/>
        <v>0</v>
      </c>
      <c r="V28" s="259">
        <f t="shared" si="16"/>
        <v>0</v>
      </c>
      <c r="W28" s="234">
        <f t="shared" si="16"/>
        <v>0</v>
      </c>
      <c r="X28" s="235">
        <f t="shared" si="4"/>
        <v>0</v>
      </c>
      <c r="Y28" s="238">
        <f t="shared" si="5"/>
        <v>352.5</v>
      </c>
      <c r="Z28" s="523"/>
      <c r="AA28" s="260"/>
      <c r="AB28"/>
      <c r="AC28"/>
      <c r="AD28" s="270">
        <v>0</v>
      </c>
      <c r="AE28" s="270">
        <v>0</v>
      </c>
      <c r="AF28" s="270">
        <v>464.65717872599998</v>
      </c>
      <c r="AG28" s="270">
        <v>1263.8719232000001</v>
      </c>
      <c r="AH28" s="270">
        <v>1330.1223838999999</v>
      </c>
      <c r="AI28" s="270">
        <v>1438.1212553000003</v>
      </c>
      <c r="AJ28" s="270">
        <v>1196.6629614000001</v>
      </c>
      <c r="AK28" s="271">
        <f t="shared" si="11"/>
        <v>5693.4357025260006</v>
      </c>
      <c r="AL28" s="272">
        <f t="shared" si="12"/>
        <v>0.7591247603368001</v>
      </c>
      <c r="AM28" s="273">
        <f t="shared" si="13"/>
        <v>1806.5642974739994</v>
      </c>
    </row>
    <row r="29" spans="1:39" ht="12">
      <c r="A29" s="15" t="s">
        <v>91</v>
      </c>
      <c r="B29" s="276" t="s">
        <v>92</v>
      </c>
      <c r="C29" s="247" t="s">
        <v>40</v>
      </c>
      <c r="D29" s="248">
        <v>5</v>
      </c>
      <c r="E29" s="249">
        <v>500</v>
      </c>
      <c r="F29" s="250">
        <f t="shared" si="14"/>
        <v>2500</v>
      </c>
      <c r="G29" s="156"/>
      <c r="H29" s="251"/>
      <c r="I29" s="252"/>
      <c r="J29" s="253"/>
      <c r="K29" s="254"/>
      <c r="L29" s="255"/>
      <c r="M29" s="162"/>
      <c r="N29" s="230" t="s">
        <v>93</v>
      </c>
      <c r="O29" s="256" t="s">
        <v>92</v>
      </c>
      <c r="P29" s="232" t="s">
        <v>40</v>
      </c>
      <c r="Q29" s="257">
        <v>5</v>
      </c>
      <c r="R29" s="234">
        <f t="shared" si="1"/>
        <v>23.5</v>
      </c>
      <c r="S29" s="235">
        <f t="shared" si="2"/>
        <v>117.5</v>
      </c>
      <c r="T29" s="164"/>
      <c r="U29" s="258">
        <f t="shared" si="16"/>
        <v>0</v>
      </c>
      <c r="V29" s="259">
        <f t="shared" si="16"/>
        <v>0</v>
      </c>
      <c r="W29" s="234">
        <f t="shared" si="16"/>
        <v>0</v>
      </c>
      <c r="X29" s="235">
        <f t="shared" si="4"/>
        <v>0</v>
      </c>
      <c r="Y29" s="238">
        <f t="shared" si="5"/>
        <v>117.5</v>
      </c>
      <c r="Z29" s="523"/>
      <c r="AA29" s="260"/>
      <c r="AB29"/>
      <c r="AC29"/>
      <c r="AD29" s="270">
        <v>0</v>
      </c>
      <c r="AE29" s="270">
        <v>440.26174079999998</v>
      </c>
      <c r="AF29" s="270">
        <v>452.59110000000004</v>
      </c>
      <c r="AG29" s="270">
        <v>466.94319999999999</v>
      </c>
      <c r="AH29" s="270">
        <v>479.03795000000002</v>
      </c>
      <c r="AI29" s="270">
        <v>541.55634399999997</v>
      </c>
      <c r="AJ29" s="270">
        <v>543.68865600000004</v>
      </c>
      <c r="AK29" s="271">
        <f t="shared" si="11"/>
        <v>2924.0789907999997</v>
      </c>
      <c r="AL29" s="272">
        <f t="shared" si="12"/>
        <v>1.1696315963199999</v>
      </c>
      <c r="AM29" s="273">
        <f t="shared" si="13"/>
        <v>-424.0789907999997</v>
      </c>
    </row>
    <row r="30" spans="1:39" ht="12">
      <c r="A30" s="15" t="s">
        <v>93</v>
      </c>
      <c r="B30" s="276" t="s">
        <v>94</v>
      </c>
      <c r="C30" s="247" t="s">
        <v>40</v>
      </c>
      <c r="D30" s="248">
        <v>5</v>
      </c>
      <c r="E30" s="249">
        <v>200</v>
      </c>
      <c r="F30" s="250">
        <f t="shared" si="14"/>
        <v>1000</v>
      </c>
      <c r="G30" s="156"/>
      <c r="H30" s="251"/>
      <c r="I30" s="252"/>
      <c r="J30" s="253"/>
      <c r="K30" s="254"/>
      <c r="L30" s="255"/>
      <c r="M30" s="162"/>
      <c r="N30" s="230" t="s">
        <v>95</v>
      </c>
      <c r="O30" s="256" t="s">
        <v>96</v>
      </c>
      <c r="P30" s="232" t="s">
        <v>40</v>
      </c>
      <c r="Q30" s="257">
        <v>5</v>
      </c>
      <c r="R30" s="234">
        <f t="shared" si="1"/>
        <v>9.4</v>
      </c>
      <c r="S30" s="235">
        <f t="shared" si="2"/>
        <v>47</v>
      </c>
      <c r="T30" s="164"/>
      <c r="U30" s="258">
        <f t="shared" si="16"/>
        <v>0</v>
      </c>
      <c r="V30" s="259">
        <f t="shared" si="16"/>
        <v>0</v>
      </c>
      <c r="W30" s="234">
        <f t="shared" si="16"/>
        <v>0</v>
      </c>
      <c r="X30" s="235">
        <f t="shared" si="4"/>
        <v>0</v>
      </c>
      <c r="Y30" s="238">
        <f t="shared" si="5"/>
        <v>47</v>
      </c>
      <c r="Z30" s="523"/>
      <c r="AA30" s="260"/>
      <c r="AB30"/>
      <c r="AC30"/>
      <c r="AD30" s="270">
        <v>0</v>
      </c>
      <c r="AE30" s="270">
        <v>0</v>
      </c>
      <c r="AF30" s="270">
        <v>30.194754125999999</v>
      </c>
      <c r="AG30" s="270">
        <v>911.75459600000011</v>
      </c>
      <c r="AH30" s="270">
        <v>191.61518000000001</v>
      </c>
      <c r="AI30" s="270">
        <v>251.43687399999999</v>
      </c>
      <c r="AJ30" s="270">
        <v>252.42687600000002</v>
      </c>
      <c r="AK30" s="271">
        <f t="shared" si="11"/>
        <v>1637.4282801260001</v>
      </c>
      <c r="AL30" s="272">
        <f t="shared" si="12"/>
        <v>1.6374282801260001</v>
      </c>
      <c r="AM30" s="273">
        <f t="shared" si="13"/>
        <v>-637.42828012600012</v>
      </c>
    </row>
    <row r="31" spans="1:39" ht="12">
      <c r="A31" s="15" t="s">
        <v>95</v>
      </c>
      <c r="B31" s="276" t="s">
        <v>97</v>
      </c>
      <c r="C31" s="247" t="s">
        <v>40</v>
      </c>
      <c r="D31" s="248">
        <v>5</v>
      </c>
      <c r="E31" s="249">
        <v>200</v>
      </c>
      <c r="F31" s="250">
        <f t="shared" si="14"/>
        <v>1000</v>
      </c>
      <c r="G31" s="156"/>
      <c r="H31" s="251"/>
      <c r="I31" s="252"/>
      <c r="J31" s="253"/>
      <c r="K31" s="254"/>
      <c r="L31" s="255"/>
      <c r="M31" s="162"/>
      <c r="N31" s="230" t="s">
        <v>98</v>
      </c>
      <c r="O31" s="256" t="s">
        <v>97</v>
      </c>
      <c r="P31" s="232" t="s">
        <v>40</v>
      </c>
      <c r="Q31" s="257">
        <v>5</v>
      </c>
      <c r="R31" s="234">
        <f t="shared" si="1"/>
        <v>9.4</v>
      </c>
      <c r="S31" s="235">
        <f t="shared" si="2"/>
        <v>47</v>
      </c>
      <c r="T31" s="164"/>
      <c r="U31" s="258">
        <f t="shared" si="16"/>
        <v>0</v>
      </c>
      <c r="V31" s="259">
        <f t="shared" si="16"/>
        <v>0</v>
      </c>
      <c r="W31" s="234">
        <f t="shared" si="16"/>
        <v>0</v>
      </c>
      <c r="X31" s="235">
        <f t="shared" si="4"/>
        <v>0</v>
      </c>
      <c r="Y31" s="238">
        <f t="shared" si="5"/>
        <v>47</v>
      </c>
      <c r="Z31" s="523"/>
      <c r="AA31" s="260"/>
      <c r="AB31"/>
      <c r="AC31"/>
      <c r="AD31" s="270">
        <v>0</v>
      </c>
      <c r="AE31" s="270">
        <v>0</v>
      </c>
      <c r="AF31" s="270">
        <v>0</v>
      </c>
      <c r="AG31" s="270">
        <v>101.1648624</v>
      </c>
      <c r="AH31" s="270">
        <v>239.51897500000001</v>
      </c>
      <c r="AI31" s="270">
        <v>299.79011899999995</v>
      </c>
      <c r="AJ31" s="270">
        <v>0</v>
      </c>
      <c r="AK31" s="271">
        <f t="shared" si="11"/>
        <v>640.47395639999991</v>
      </c>
      <c r="AL31" s="272">
        <f t="shared" si="12"/>
        <v>0.64047395639999993</v>
      </c>
      <c r="AM31" s="273">
        <f t="shared" si="13"/>
        <v>359.52604360000009</v>
      </c>
    </row>
    <row r="32" spans="1:39" ht="13.15" hidden="1" thickBot="1">
      <c r="A32" s="15" t="s">
        <v>99</v>
      </c>
      <c r="B32" s="220" t="s">
        <v>100</v>
      </c>
      <c r="C32" s="221"/>
      <c r="D32" s="222"/>
      <c r="E32" s="223"/>
      <c r="F32" s="277"/>
      <c r="G32" s="156"/>
      <c r="H32" s="278"/>
      <c r="I32" s="252"/>
      <c r="J32" s="253"/>
      <c r="K32" s="254"/>
      <c r="L32" s="255"/>
      <c r="M32" s="162"/>
      <c r="N32" s="230" t="s">
        <v>99</v>
      </c>
      <c r="O32" s="231" t="s">
        <v>100</v>
      </c>
      <c r="P32" s="232"/>
      <c r="Q32" s="232"/>
      <c r="R32" s="234"/>
      <c r="S32" s="235"/>
      <c r="T32" s="164"/>
      <c r="U32" s="258"/>
      <c r="V32" s="259"/>
      <c r="W32" s="234"/>
      <c r="X32" s="235"/>
      <c r="Y32" s="238"/>
      <c r="AA32" s="279"/>
      <c r="AB32"/>
      <c r="AC32"/>
      <c r="AD32" s="34"/>
      <c r="AE32" s="34"/>
      <c r="AF32" s="34"/>
      <c r="AG32" s="34"/>
      <c r="AH32" s="34"/>
      <c r="AI32" s="34"/>
      <c r="AJ32" s="280"/>
      <c r="AK32" s="34"/>
      <c r="AL32" s="34"/>
      <c r="AM32" s="34"/>
    </row>
    <row r="33" spans="1:39" ht="12.6" hidden="1" thickBot="1">
      <c r="A33" s="281" t="s">
        <v>101</v>
      </c>
      <c r="B33" s="282"/>
      <c r="C33" s="283"/>
      <c r="D33" s="284"/>
      <c r="E33" s="285"/>
      <c r="F33" s="286">
        <f>E33*D33</f>
        <v>0</v>
      </c>
      <c r="G33" s="156"/>
      <c r="H33" s="287">
        <f>F33</f>
        <v>0</v>
      </c>
      <c r="I33" s="252"/>
      <c r="J33" s="253"/>
      <c r="K33" s="288">
        <f>SUM(H33:J33)</f>
        <v>0</v>
      </c>
      <c r="L33" s="289">
        <f>F33-K33</f>
        <v>0</v>
      </c>
      <c r="M33" s="162"/>
      <c r="N33" s="230"/>
      <c r="O33" s="256"/>
      <c r="P33" s="232"/>
      <c r="Q33" s="233">
        <f>$D33</f>
        <v>0</v>
      </c>
      <c r="R33" s="234">
        <f>E33*$J$3</f>
        <v>0</v>
      </c>
      <c r="S33" s="235">
        <f>R33*Q33</f>
        <v>0</v>
      </c>
      <c r="T33" s="164"/>
      <c r="U33" s="258">
        <f t="shared" ref="U33:W34" si="17">H33*$J$3</f>
        <v>0</v>
      </c>
      <c r="V33" s="259">
        <f t="shared" si="17"/>
        <v>0</v>
      </c>
      <c r="W33" s="234">
        <f t="shared" si="17"/>
        <v>0</v>
      </c>
      <c r="X33" s="235">
        <f>SUM(U33:W33)</f>
        <v>0</v>
      </c>
      <c r="Y33" s="238">
        <f>S33-X33</f>
        <v>0</v>
      </c>
      <c r="AA33" s="290"/>
      <c r="AB33"/>
      <c r="AC33"/>
      <c r="AD33" s="34"/>
      <c r="AE33" s="34"/>
      <c r="AF33" s="34"/>
      <c r="AG33" s="34"/>
      <c r="AH33" s="34"/>
      <c r="AI33" s="34"/>
      <c r="AJ33" s="280"/>
      <c r="AK33" s="34"/>
      <c r="AL33" s="34"/>
      <c r="AM33" s="219"/>
    </row>
    <row r="34" spans="1:39" ht="12.6" hidden="1" thickBot="1">
      <c r="A34" s="15"/>
      <c r="B34" s="16"/>
      <c r="C34" s="247"/>
      <c r="D34" s="248"/>
      <c r="E34" s="291"/>
      <c r="F34" s="292">
        <f>E34*D34</f>
        <v>0</v>
      </c>
      <c r="G34" s="156"/>
      <c r="H34" s="278"/>
      <c r="I34" s="252"/>
      <c r="J34" s="253"/>
      <c r="K34" s="288">
        <f>SUM(H34:J34)</f>
        <v>0</v>
      </c>
      <c r="L34" s="289">
        <f>F34-K34</f>
        <v>0</v>
      </c>
      <c r="M34" s="162"/>
      <c r="N34" s="230"/>
      <c r="O34" s="256"/>
      <c r="P34" s="232"/>
      <c r="Q34" s="233">
        <f>$D34</f>
        <v>0</v>
      </c>
      <c r="R34" s="234">
        <f>E34*$J$3</f>
        <v>0</v>
      </c>
      <c r="S34" s="235">
        <f>R34*Q34</f>
        <v>0</v>
      </c>
      <c r="T34" s="164"/>
      <c r="U34" s="258">
        <f t="shared" si="17"/>
        <v>0</v>
      </c>
      <c r="V34" s="259">
        <f t="shared" si="17"/>
        <v>0</v>
      </c>
      <c r="W34" s="234">
        <f t="shared" si="17"/>
        <v>0</v>
      </c>
      <c r="X34" s="235">
        <f>SUM(U34:W34)</f>
        <v>0</v>
      </c>
      <c r="Y34" s="238">
        <f>S34-X34</f>
        <v>0</v>
      </c>
      <c r="AA34" s="293"/>
      <c r="AB34"/>
      <c r="AC34"/>
      <c r="AD34" s="34"/>
      <c r="AE34" s="34"/>
      <c r="AF34" s="34"/>
      <c r="AG34" s="34"/>
      <c r="AH34" s="34"/>
      <c r="AI34" s="34"/>
      <c r="AJ34" s="280"/>
      <c r="AK34" s="34"/>
      <c r="AL34" s="34"/>
      <c r="AM34" s="219"/>
    </row>
    <row r="35" spans="1:39" ht="13.15" hidden="1" thickBot="1">
      <c r="A35" s="15" t="s">
        <v>102</v>
      </c>
      <c r="B35" s="220" t="s">
        <v>103</v>
      </c>
      <c r="C35" s="221"/>
      <c r="D35" s="222"/>
      <c r="E35" s="223"/>
      <c r="F35" s="277"/>
      <c r="G35" s="156"/>
      <c r="H35" s="278"/>
      <c r="I35" s="252"/>
      <c r="J35" s="253"/>
      <c r="K35" s="254"/>
      <c r="L35" s="255"/>
      <c r="M35" s="162"/>
      <c r="N35" s="230" t="s">
        <v>102</v>
      </c>
      <c r="O35" s="231" t="s">
        <v>103</v>
      </c>
      <c r="P35" s="232"/>
      <c r="Q35" s="233"/>
      <c r="R35" s="234"/>
      <c r="S35" s="235"/>
      <c r="T35" s="164"/>
      <c r="U35" s="258"/>
      <c r="V35" s="259"/>
      <c r="W35" s="234"/>
      <c r="X35" s="235"/>
      <c r="Y35" s="238"/>
      <c r="AA35" s="279"/>
      <c r="AB35"/>
      <c r="AC35"/>
      <c r="AD35" s="34"/>
      <c r="AE35" s="34"/>
      <c r="AF35" s="34"/>
      <c r="AG35" s="34"/>
      <c r="AH35" s="34"/>
      <c r="AI35" s="34"/>
      <c r="AJ35" s="280"/>
      <c r="AK35" s="34"/>
      <c r="AL35" s="34"/>
      <c r="AM35" s="219"/>
    </row>
    <row r="36" spans="1:39" ht="12.6" hidden="1" thickBot="1">
      <c r="A36" s="281" t="s">
        <v>104</v>
      </c>
      <c r="B36" s="282"/>
      <c r="C36" s="283"/>
      <c r="D36" s="284"/>
      <c r="E36" s="285"/>
      <c r="F36" s="285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AA36" s="285"/>
      <c r="AB36"/>
      <c r="AC36"/>
      <c r="AD36" s="34"/>
      <c r="AE36" s="34"/>
      <c r="AF36" s="34"/>
      <c r="AG36" s="34"/>
      <c r="AH36" s="34"/>
      <c r="AI36" s="34"/>
      <c r="AJ36" s="280"/>
      <c r="AK36" s="34"/>
      <c r="AL36" s="34"/>
      <c r="AM36" s="219"/>
    </row>
    <row r="37" spans="1:39" ht="12.6" hidden="1" thickBot="1">
      <c r="A37" s="295"/>
      <c r="B37" s="16"/>
      <c r="C37" s="247"/>
      <c r="D37" s="248"/>
      <c r="E37" s="291"/>
      <c r="F37" s="292">
        <f>E37*D37</f>
        <v>0</v>
      </c>
      <c r="G37" s="156"/>
      <c r="H37" s="296"/>
      <c r="I37" s="287"/>
      <c r="J37" s="297"/>
      <c r="K37" s="298">
        <f>SUM(H37:J37)</f>
        <v>0</v>
      </c>
      <c r="L37" s="299">
        <f>F37-K37</f>
        <v>0</v>
      </c>
      <c r="M37" s="162"/>
      <c r="N37" s="300"/>
      <c r="O37" s="256"/>
      <c r="P37" s="232"/>
      <c r="Q37" s="233">
        <f>$D37</f>
        <v>0</v>
      </c>
      <c r="R37" s="234">
        <f>E37*$J$3</f>
        <v>0</v>
      </c>
      <c r="S37" s="301">
        <f>R37*Q37</f>
        <v>0</v>
      </c>
      <c r="T37" s="164"/>
      <c r="U37" s="258">
        <f t="shared" ref="U37:W37" si="18">H37*$J$3</f>
        <v>0</v>
      </c>
      <c r="V37" s="259">
        <f t="shared" si="18"/>
        <v>0</v>
      </c>
      <c r="W37" s="234">
        <f t="shared" si="18"/>
        <v>0</v>
      </c>
      <c r="X37" s="301">
        <f>SUM(U37:W37)</f>
        <v>0</v>
      </c>
      <c r="Y37" s="302">
        <f>S37-X37</f>
        <v>0</v>
      </c>
      <c r="AA37" s="293"/>
      <c r="AB37"/>
      <c r="AC37"/>
      <c r="AD37" s="34"/>
      <c r="AE37" s="34"/>
      <c r="AF37" s="34"/>
      <c r="AG37" s="34"/>
      <c r="AH37" s="34"/>
      <c r="AI37" s="34"/>
      <c r="AJ37" s="280"/>
      <c r="AK37" s="34"/>
      <c r="AL37" s="34"/>
      <c r="AM37" s="219"/>
    </row>
    <row r="38" spans="1:39" ht="21" hidden="1" customHeight="1" thickBot="1">
      <c r="A38" s="303" t="s">
        <v>105</v>
      </c>
      <c r="B38" s="304"/>
      <c r="C38" s="34"/>
      <c r="D38" s="34"/>
      <c r="E38" s="219"/>
      <c r="F38" s="292">
        <f>SUM(F9:F37)</f>
        <v>54000</v>
      </c>
      <c r="G38" s="156"/>
      <c r="H38" s="305">
        <f>SUM(H10:H37)</f>
        <v>0</v>
      </c>
      <c r="I38" s="306">
        <f>SUM(I10:I37)</f>
        <v>0</v>
      </c>
      <c r="J38" s="307">
        <f>SUM(J10:J37)</f>
        <v>0</v>
      </c>
      <c r="K38" s="308">
        <f>SUM(K10:K37)</f>
        <v>0</v>
      </c>
      <c r="L38" s="309">
        <f>SUM(L10:L37)</f>
        <v>0</v>
      </c>
      <c r="M38" s="162"/>
      <c r="N38" s="524" t="s">
        <v>105</v>
      </c>
      <c r="O38" s="525"/>
      <c r="P38" s="310"/>
      <c r="Q38" s="310"/>
      <c r="R38" s="311"/>
      <c r="S38" s="312">
        <f>SUM(S10:S37)</f>
        <v>7129.9</v>
      </c>
      <c r="T38" s="164"/>
      <c r="U38" s="313">
        <f>SUM(U10:U37)</f>
        <v>0</v>
      </c>
      <c r="V38" s="314">
        <f>SUM(V10:V37)</f>
        <v>0</v>
      </c>
      <c r="W38" s="314">
        <f>SUM(W10:W37)</f>
        <v>0</v>
      </c>
      <c r="X38" s="312">
        <f>SUM(X10:X37)</f>
        <v>0</v>
      </c>
      <c r="Y38" s="315">
        <f>SUM(Y10:Y37)</f>
        <v>6894.9</v>
      </c>
      <c r="AA38" s="293">
        <f>SUM(AA9:AA37)</f>
        <v>16860</v>
      </c>
      <c r="AB38"/>
      <c r="AC38"/>
      <c r="AD38" s="34"/>
      <c r="AE38" s="34"/>
      <c r="AF38" s="34"/>
      <c r="AG38" s="219"/>
      <c r="AH38" s="34"/>
      <c r="AI38" s="34"/>
      <c r="AJ38" s="280"/>
      <c r="AK38" s="34"/>
      <c r="AL38" s="34"/>
      <c r="AM38" s="219"/>
    </row>
    <row r="39" spans="1:39" ht="12.6">
      <c r="A39" s="316">
        <v>2</v>
      </c>
      <c r="B39" s="317" t="s">
        <v>106</v>
      </c>
      <c r="C39" s="199"/>
      <c r="D39" s="200"/>
      <c r="E39" s="201"/>
      <c r="F39" s="318"/>
      <c r="G39" s="156"/>
      <c r="H39" s="319"/>
      <c r="I39" s="320"/>
      <c r="J39" s="321"/>
      <c r="K39" s="322"/>
      <c r="L39" s="323"/>
      <c r="M39" s="162"/>
      <c r="N39" s="208">
        <v>2</v>
      </c>
      <c r="O39" s="209" t="s">
        <v>106</v>
      </c>
      <c r="P39" s="210"/>
      <c r="Q39" s="211"/>
      <c r="R39" s="212"/>
      <c r="S39" s="213"/>
      <c r="T39" s="164"/>
      <c r="U39" s="214"/>
      <c r="V39" s="215"/>
      <c r="W39" s="215"/>
      <c r="X39" s="213"/>
      <c r="Y39" s="217"/>
      <c r="AA39" s="324"/>
      <c r="AB39"/>
      <c r="AC39"/>
      <c r="AD39" s="199"/>
      <c r="AE39" s="199"/>
      <c r="AF39" s="200"/>
      <c r="AG39" s="201"/>
      <c r="AH39" s="318"/>
      <c r="AI39" s="318"/>
      <c r="AJ39" s="318"/>
      <c r="AK39" s="318"/>
      <c r="AL39" s="318"/>
      <c r="AM39" s="318"/>
    </row>
    <row r="40" spans="1:39" ht="24" customHeight="1">
      <c r="A40" s="325" t="s">
        <v>107</v>
      </c>
      <c r="B40" s="16" t="s">
        <v>108</v>
      </c>
      <c r="C40" s="326" t="s">
        <v>40</v>
      </c>
      <c r="D40" s="248">
        <v>2</v>
      </c>
      <c r="E40" s="249">
        <v>6000</v>
      </c>
      <c r="F40" s="292"/>
      <c r="G40" s="156"/>
      <c r="H40" s="296">
        <v>0</v>
      </c>
      <c r="I40" s="287"/>
      <c r="J40" s="297"/>
      <c r="K40" s="288">
        <f>SUM(H40:J40)</f>
        <v>0</v>
      </c>
      <c r="L40" s="289">
        <f>F40-K40</f>
        <v>0</v>
      </c>
      <c r="M40" s="162"/>
      <c r="N40" s="230" t="s">
        <v>107</v>
      </c>
      <c r="O40" s="256" t="s">
        <v>109</v>
      </c>
      <c r="P40" s="327" t="s">
        <v>40</v>
      </c>
      <c r="Q40" s="233">
        <f>$D40</f>
        <v>2</v>
      </c>
      <c r="R40" s="234">
        <f>E40*$J$3</f>
        <v>282</v>
      </c>
      <c r="S40" s="235">
        <f>R40*Q40</f>
        <v>564</v>
      </c>
      <c r="T40" s="164"/>
      <c r="U40" s="258">
        <f t="shared" ref="U40:W42" si="19">H40*$J$3</f>
        <v>0</v>
      </c>
      <c r="V40" s="259">
        <f t="shared" si="19"/>
        <v>0</v>
      </c>
      <c r="W40" s="234">
        <f t="shared" si="19"/>
        <v>0</v>
      </c>
      <c r="X40" s="235">
        <f>SUM(U40:W40)</f>
        <v>0</v>
      </c>
      <c r="Y40" s="238">
        <f>S40-X40</f>
        <v>564</v>
      </c>
      <c r="AA40" s="293">
        <f>D40*E40*1</f>
        <v>12000</v>
      </c>
      <c r="AB40"/>
      <c r="AC40"/>
      <c r="AD40" s="328"/>
      <c r="AE40" s="328"/>
      <c r="AF40" s="328"/>
      <c r="AG40" s="328"/>
      <c r="AH40" s="328"/>
      <c r="AI40" s="328"/>
      <c r="AJ40" s="329"/>
      <c r="AK40" s="328"/>
      <c r="AL40" s="328"/>
      <c r="AM40" s="328"/>
    </row>
    <row r="41" spans="1:39" ht="12">
      <c r="A41" s="330">
        <v>2.2000000000000002</v>
      </c>
      <c r="B41" s="16" t="s">
        <v>110</v>
      </c>
      <c r="C41" s="326" t="s">
        <v>40</v>
      </c>
      <c r="D41" s="248">
        <v>5</v>
      </c>
      <c r="E41" s="249">
        <v>200</v>
      </c>
      <c r="F41" s="292">
        <f>E41*D41</f>
        <v>1000</v>
      </c>
      <c r="G41" s="156"/>
      <c r="H41" s="296"/>
      <c r="I41" s="287"/>
      <c r="J41" s="297"/>
      <c r="K41" s="298"/>
      <c r="L41" s="299"/>
      <c r="M41" s="162"/>
      <c r="N41" s="300"/>
      <c r="O41" s="256"/>
      <c r="P41" s="327"/>
      <c r="Q41" s="233"/>
      <c r="R41" s="234"/>
      <c r="S41" s="301"/>
      <c r="T41" s="164"/>
      <c r="U41" s="258"/>
      <c r="V41" s="259"/>
      <c r="W41" s="234"/>
      <c r="X41" s="301"/>
      <c r="Y41" s="302"/>
      <c r="AA41" s="293"/>
      <c r="AB41"/>
      <c r="AC41"/>
      <c r="AD41" s="270">
        <v>0</v>
      </c>
      <c r="AE41" s="270">
        <v>131.67448000000002</v>
      </c>
      <c r="AF41" s="270">
        <v>126.72550799999999</v>
      </c>
      <c r="AG41" s="270">
        <v>166.72064</v>
      </c>
      <c r="AH41" s="270">
        <v>530.24644999999998</v>
      </c>
      <c r="AI41" s="270">
        <v>738.74749999999995</v>
      </c>
      <c r="AJ41" s="270">
        <v>456.03993000000003</v>
      </c>
      <c r="AK41" s="271">
        <f t="shared" ref="AK41" si="20">SUM(AD41:AJ41)</f>
        <v>2150.1545080000001</v>
      </c>
      <c r="AL41" s="272">
        <f>AK41/F41</f>
        <v>2.150154508</v>
      </c>
      <c r="AM41" s="273">
        <f>F41-AK41</f>
        <v>-1150.1545080000001</v>
      </c>
    </row>
    <row r="42" spans="1:39" ht="24.6" customHeight="1" thickBot="1">
      <c r="A42" s="330">
        <v>2.2999999999999998</v>
      </c>
      <c r="B42" s="16" t="s">
        <v>111</v>
      </c>
      <c r="C42" s="326" t="s">
        <v>40</v>
      </c>
      <c r="D42" s="248">
        <v>5</v>
      </c>
      <c r="E42" s="249">
        <v>200</v>
      </c>
      <c r="F42" s="292"/>
      <c r="G42" s="156"/>
      <c r="H42" s="296">
        <v>0</v>
      </c>
      <c r="I42" s="287"/>
      <c r="J42" s="297"/>
      <c r="K42" s="298">
        <f>SUM(H42:J42)</f>
        <v>0</v>
      </c>
      <c r="L42" s="299">
        <f>F42-K42</f>
        <v>0</v>
      </c>
      <c r="M42" s="162"/>
      <c r="N42" s="300" t="s">
        <v>112</v>
      </c>
      <c r="O42" s="256" t="s">
        <v>113</v>
      </c>
      <c r="P42" s="327" t="s">
        <v>40</v>
      </c>
      <c r="Q42" s="233">
        <f>$D42</f>
        <v>5</v>
      </c>
      <c r="R42" s="234">
        <f>E42*$J$3</f>
        <v>9.4</v>
      </c>
      <c r="S42" s="301">
        <f>R42*Q42</f>
        <v>47</v>
      </c>
      <c r="T42" s="164"/>
      <c r="U42" s="258">
        <f t="shared" si="19"/>
        <v>0</v>
      </c>
      <c r="V42" s="259">
        <f t="shared" si="19"/>
        <v>0</v>
      </c>
      <c r="W42" s="234">
        <f t="shared" si="19"/>
        <v>0</v>
      </c>
      <c r="X42" s="301">
        <f>SUM(U42:W42)</f>
        <v>0</v>
      </c>
      <c r="Y42" s="302">
        <f>S42-X42</f>
        <v>47</v>
      </c>
      <c r="AA42" s="293">
        <f>D42*E42*1</f>
        <v>1000</v>
      </c>
      <c r="AB42"/>
      <c r="AC42"/>
      <c r="AD42" s="328"/>
      <c r="AE42" s="328"/>
      <c r="AF42" s="328"/>
      <c r="AG42" s="328"/>
      <c r="AH42" s="328"/>
      <c r="AI42" s="328"/>
      <c r="AJ42" s="270"/>
      <c r="AK42" s="328"/>
      <c r="AL42" s="328"/>
      <c r="AM42" s="328"/>
    </row>
    <row r="43" spans="1:39" ht="19.5" customHeight="1" thickBot="1">
      <c r="A43" s="303" t="s">
        <v>114</v>
      </c>
      <c r="B43" s="34"/>
      <c r="C43" s="34"/>
      <c r="D43" s="34"/>
      <c r="E43" s="219"/>
      <c r="F43" s="292">
        <f>SUM(F40:F42)</f>
        <v>1000</v>
      </c>
      <c r="G43" s="156"/>
      <c r="H43" s="305">
        <f>SUM(H40:H42)</f>
        <v>0</v>
      </c>
      <c r="I43" s="306">
        <f>SUM(I40:I42)</f>
        <v>0</v>
      </c>
      <c r="J43" s="307">
        <f>SUM(J40:J42)</f>
        <v>0</v>
      </c>
      <c r="K43" s="308">
        <f>SUM(K40:K42)</f>
        <v>0</v>
      </c>
      <c r="L43" s="309">
        <f>SUM(L40:L42)</f>
        <v>0</v>
      </c>
      <c r="M43" s="162"/>
      <c r="N43" s="524" t="s">
        <v>114</v>
      </c>
      <c r="O43" s="526"/>
      <c r="P43" s="310"/>
      <c r="Q43" s="310"/>
      <c r="R43" s="311"/>
      <c r="S43" s="331">
        <f t="shared" ref="S43:Y43" si="21">SUM(S40:S42)</f>
        <v>611</v>
      </c>
      <c r="T43" s="164">
        <f t="shared" si="21"/>
        <v>0</v>
      </c>
      <c r="U43" s="313">
        <f t="shared" si="21"/>
        <v>0</v>
      </c>
      <c r="V43" s="314">
        <f t="shared" si="21"/>
        <v>0</v>
      </c>
      <c r="W43" s="314">
        <f t="shared" si="21"/>
        <v>0</v>
      </c>
      <c r="X43" s="312">
        <f t="shared" si="21"/>
        <v>0</v>
      </c>
      <c r="Y43" s="315">
        <f t="shared" si="21"/>
        <v>611</v>
      </c>
      <c r="AA43" s="293">
        <f>SUM(AA40:AA42)</f>
        <v>13000</v>
      </c>
      <c r="AB43"/>
      <c r="AC43"/>
      <c r="AD43" s="34"/>
      <c r="AE43" s="34"/>
      <c r="AF43" s="34"/>
      <c r="AG43" s="34"/>
      <c r="AH43" s="34"/>
      <c r="AI43" s="34"/>
      <c r="AJ43" s="34"/>
      <c r="AK43" s="34"/>
      <c r="AL43" s="34"/>
      <c r="AM43" s="34"/>
    </row>
    <row r="44" spans="1:39" ht="12.6" hidden="1">
      <c r="A44" s="332">
        <v>3</v>
      </c>
      <c r="B44" s="317" t="s">
        <v>115</v>
      </c>
      <c r="C44" s="199"/>
      <c r="D44" s="200"/>
      <c r="E44" s="201"/>
      <c r="F44" s="318"/>
      <c r="G44" s="156"/>
      <c r="H44" s="319"/>
      <c r="I44" s="320"/>
      <c r="J44" s="321"/>
      <c r="K44" s="322"/>
      <c r="L44" s="323"/>
      <c r="M44" s="162"/>
      <c r="N44" s="208">
        <v>3</v>
      </c>
      <c r="O44" s="209" t="s">
        <v>115</v>
      </c>
      <c r="P44" s="210"/>
      <c r="Q44" s="211"/>
      <c r="R44" s="212"/>
      <c r="S44" s="213"/>
      <c r="T44" s="164"/>
      <c r="U44" s="214"/>
      <c r="V44" s="215"/>
      <c r="W44" s="215"/>
      <c r="X44" s="213"/>
      <c r="Y44" s="217"/>
      <c r="AA44" s="324"/>
      <c r="AB44"/>
      <c r="AC44"/>
      <c r="AD44" s="328"/>
      <c r="AE44" s="328"/>
      <c r="AF44" s="328"/>
      <c r="AG44" s="328"/>
      <c r="AH44" s="328"/>
      <c r="AI44" s="328"/>
      <c r="AJ44" s="270"/>
      <c r="AK44" s="328"/>
      <c r="AL44" s="328"/>
      <c r="AM44" s="328"/>
    </row>
    <row r="45" spans="1:39" ht="12" hidden="1" customHeight="1">
      <c r="A45" s="333" t="s">
        <v>116</v>
      </c>
      <c r="B45" s="16" t="s">
        <v>117</v>
      </c>
      <c r="C45" s="334" t="s">
        <v>118</v>
      </c>
      <c r="D45" s="248">
        <v>6</v>
      </c>
      <c r="E45" s="249">
        <v>750</v>
      </c>
      <c r="F45" s="292"/>
      <c r="G45" s="156"/>
      <c r="H45" s="335"/>
      <c r="I45" s="251"/>
      <c r="J45" s="336"/>
      <c r="K45" s="288">
        <f t="shared" ref="K45:K54" si="22">SUM(H45:J45)</f>
        <v>0</v>
      </c>
      <c r="L45" s="289">
        <f t="shared" ref="L45:L54" si="23">F45-K45</f>
        <v>0</v>
      </c>
      <c r="M45" s="162"/>
      <c r="N45" s="230" t="s">
        <v>116</v>
      </c>
      <c r="O45" s="256" t="s">
        <v>117</v>
      </c>
      <c r="P45" s="232" t="s">
        <v>118</v>
      </c>
      <c r="Q45" s="233">
        <f t="shared" ref="Q45:Q54" si="24">$D45</f>
        <v>6</v>
      </c>
      <c r="R45" s="234">
        <f t="shared" ref="R45:R54" si="25">E45*$J$3</f>
        <v>35.25</v>
      </c>
      <c r="S45" s="235">
        <f t="shared" ref="S45:S54" si="26">R45*Q45</f>
        <v>211.5</v>
      </c>
      <c r="T45" s="164"/>
      <c r="U45" s="258">
        <f t="shared" ref="U45:W46" si="27">H45*$J$3</f>
        <v>0</v>
      </c>
      <c r="V45" s="259">
        <f t="shared" si="27"/>
        <v>0</v>
      </c>
      <c r="W45" s="234">
        <f t="shared" si="27"/>
        <v>0</v>
      </c>
      <c r="X45" s="235">
        <f t="shared" ref="X45:X54" si="28">SUM(U45:W45)</f>
        <v>0</v>
      </c>
      <c r="Y45" s="238">
        <f t="shared" ref="Y45:Y54" si="29">S45-X45</f>
        <v>211.5</v>
      </c>
      <c r="AA45" s="293">
        <f>D45*E45*1</f>
        <v>4500</v>
      </c>
      <c r="AB45"/>
      <c r="AC45"/>
      <c r="AD45" s="328"/>
      <c r="AE45" s="328"/>
      <c r="AF45" s="328"/>
      <c r="AG45" s="328"/>
      <c r="AH45" s="328"/>
      <c r="AI45" s="328"/>
      <c r="AJ45" s="270"/>
      <c r="AK45" s="328"/>
      <c r="AL45" s="328"/>
      <c r="AM45" s="328"/>
    </row>
    <row r="46" spans="1:39" ht="12" hidden="1" customHeight="1">
      <c r="A46" s="333" t="s">
        <v>119</v>
      </c>
      <c r="B46" s="16" t="s">
        <v>120</v>
      </c>
      <c r="C46" s="334" t="s">
        <v>118</v>
      </c>
      <c r="D46" s="248">
        <v>6</v>
      </c>
      <c r="E46" s="249">
        <v>350</v>
      </c>
      <c r="F46" s="292"/>
      <c r="G46" s="156"/>
      <c r="H46" s="335"/>
      <c r="I46" s="251"/>
      <c r="J46" s="336"/>
      <c r="K46" s="288">
        <f t="shared" si="22"/>
        <v>0</v>
      </c>
      <c r="L46" s="289">
        <f t="shared" si="23"/>
        <v>0</v>
      </c>
      <c r="M46" s="162"/>
      <c r="N46" s="230" t="s">
        <v>119</v>
      </c>
      <c r="O46" s="256" t="s">
        <v>121</v>
      </c>
      <c r="P46" s="232" t="s">
        <v>118</v>
      </c>
      <c r="Q46" s="233">
        <f t="shared" si="24"/>
        <v>6</v>
      </c>
      <c r="R46" s="234">
        <f t="shared" si="25"/>
        <v>16.45</v>
      </c>
      <c r="S46" s="235">
        <f t="shared" si="26"/>
        <v>98.699999999999989</v>
      </c>
      <c r="T46" s="164"/>
      <c r="U46" s="258">
        <f t="shared" si="27"/>
        <v>0</v>
      </c>
      <c r="V46" s="259">
        <f t="shared" si="27"/>
        <v>0</v>
      </c>
      <c r="W46" s="234">
        <f t="shared" si="27"/>
        <v>0</v>
      </c>
      <c r="X46" s="235">
        <f t="shared" si="28"/>
        <v>0</v>
      </c>
      <c r="Y46" s="238">
        <f t="shared" si="29"/>
        <v>98.699999999999989</v>
      </c>
      <c r="AA46" s="293">
        <f>D46*E46*1</f>
        <v>2100</v>
      </c>
      <c r="AB46"/>
      <c r="AC46"/>
      <c r="AD46" s="328"/>
      <c r="AE46" s="328"/>
      <c r="AF46" s="328"/>
      <c r="AG46" s="328"/>
      <c r="AH46" s="328"/>
      <c r="AI46" s="328"/>
      <c r="AJ46" s="270"/>
      <c r="AK46" s="328"/>
      <c r="AL46" s="328"/>
      <c r="AM46" s="328"/>
    </row>
    <row r="47" spans="1:39" ht="12" hidden="1" customHeight="1">
      <c r="A47" s="333" t="s">
        <v>122</v>
      </c>
      <c r="B47" s="16" t="s">
        <v>123</v>
      </c>
      <c r="C47" s="334" t="s">
        <v>118</v>
      </c>
      <c r="D47" s="248">
        <v>1</v>
      </c>
      <c r="E47" s="249">
        <v>600</v>
      </c>
      <c r="F47" s="292"/>
      <c r="G47" s="156"/>
      <c r="H47" s="335"/>
      <c r="I47" s="251"/>
      <c r="J47" s="336"/>
      <c r="K47" s="298"/>
      <c r="L47" s="299"/>
      <c r="M47" s="162"/>
      <c r="N47" s="230"/>
      <c r="O47" s="256"/>
      <c r="P47" s="337"/>
      <c r="Q47" s="233"/>
      <c r="R47" s="234"/>
      <c r="S47" s="301"/>
      <c r="T47" s="164"/>
      <c r="U47" s="258"/>
      <c r="V47" s="259"/>
      <c r="W47" s="234"/>
      <c r="X47" s="301"/>
      <c r="Y47" s="302"/>
      <c r="AA47" s="293">
        <f>D47*E47*1</f>
        <v>600</v>
      </c>
      <c r="AB47"/>
      <c r="AC47"/>
      <c r="AD47" s="328"/>
      <c r="AE47" s="328"/>
      <c r="AF47" s="328"/>
      <c r="AG47" s="328"/>
      <c r="AH47" s="328"/>
      <c r="AI47" s="328"/>
      <c r="AJ47" s="270"/>
      <c r="AK47" s="328"/>
      <c r="AL47" s="328"/>
      <c r="AM47" s="328"/>
    </row>
    <row r="48" spans="1:39" ht="17.25" customHeight="1">
      <c r="A48" s="333" t="s">
        <v>124</v>
      </c>
      <c r="B48" s="16" t="s">
        <v>125</v>
      </c>
      <c r="C48" s="334" t="s">
        <v>118</v>
      </c>
      <c r="D48" s="248">
        <v>2</v>
      </c>
      <c r="E48" s="249">
        <v>200</v>
      </c>
      <c r="F48" s="292"/>
      <c r="G48" s="156"/>
      <c r="H48" s="335"/>
      <c r="I48" s="251"/>
      <c r="J48" s="336"/>
      <c r="K48" s="298"/>
      <c r="L48" s="299"/>
      <c r="M48" s="162"/>
      <c r="N48" s="230"/>
      <c r="O48" s="256"/>
      <c r="P48" s="337"/>
      <c r="Q48" s="233"/>
      <c r="R48" s="234"/>
      <c r="S48" s="301"/>
      <c r="T48" s="164"/>
      <c r="U48" s="258"/>
      <c r="V48" s="259"/>
      <c r="W48" s="234"/>
      <c r="X48" s="301"/>
      <c r="Y48" s="302"/>
      <c r="AA48" s="293">
        <f>D48*E48*1</f>
        <v>400</v>
      </c>
      <c r="AB48"/>
      <c r="AC48"/>
      <c r="AD48" s="328"/>
      <c r="AE48" s="328"/>
      <c r="AF48" s="328"/>
      <c r="AG48" s="328"/>
      <c r="AH48" s="328"/>
      <c r="AI48" s="328"/>
      <c r="AJ48" s="270"/>
      <c r="AK48" s="328"/>
      <c r="AL48" s="328"/>
      <c r="AM48" s="328"/>
    </row>
    <row r="49" spans="1:39" ht="34.5" customHeight="1">
      <c r="A49" s="333" t="s">
        <v>126</v>
      </c>
      <c r="B49" s="16" t="s">
        <v>127</v>
      </c>
      <c r="C49" s="334" t="s">
        <v>128</v>
      </c>
      <c r="D49" s="248">
        <v>1</v>
      </c>
      <c r="E49" s="249">
        <v>400</v>
      </c>
      <c r="F49" s="292">
        <f t="shared" ref="F49:F54" si="30">E49*D49</f>
        <v>400</v>
      </c>
      <c r="G49" s="156"/>
      <c r="H49" s="335"/>
      <c r="I49" s="251"/>
      <c r="J49" s="336"/>
      <c r="K49" s="298">
        <f t="shared" si="22"/>
        <v>0</v>
      </c>
      <c r="L49" s="299">
        <f t="shared" si="23"/>
        <v>400</v>
      </c>
      <c r="M49" s="162"/>
      <c r="N49" s="230" t="s">
        <v>129</v>
      </c>
      <c r="O49" s="256" t="s">
        <v>130</v>
      </c>
      <c r="P49" s="337" t="s">
        <v>128</v>
      </c>
      <c r="Q49" s="233">
        <f t="shared" si="24"/>
        <v>1</v>
      </c>
      <c r="R49" s="234">
        <f t="shared" si="25"/>
        <v>18.8</v>
      </c>
      <c r="S49" s="301">
        <f t="shared" si="26"/>
        <v>18.8</v>
      </c>
      <c r="T49" s="164"/>
      <c r="U49" s="258">
        <f t="shared" ref="U49:W54" si="31">H49*$J$3</f>
        <v>0</v>
      </c>
      <c r="V49" s="259">
        <f t="shared" si="31"/>
        <v>0</v>
      </c>
      <c r="W49" s="234">
        <f t="shared" si="31"/>
        <v>0</v>
      </c>
      <c r="X49" s="301">
        <f t="shared" si="28"/>
        <v>0</v>
      </c>
      <c r="Y49" s="302">
        <f t="shared" si="29"/>
        <v>18.8</v>
      </c>
      <c r="Z49" s="57" t="str">
        <f>A49&amp;"."&amp;B49</f>
        <v>3.1.6.Supplies and Stationary</v>
      </c>
      <c r="AA49" s="293"/>
      <c r="AB49"/>
      <c r="AC49"/>
      <c r="AD49" s="270">
        <v>0</v>
      </c>
      <c r="AE49" s="270">
        <v>0</v>
      </c>
      <c r="AF49" s="270">
        <v>0</v>
      </c>
      <c r="AG49" s="270">
        <v>0</v>
      </c>
      <c r="AH49" s="270">
        <v>0</v>
      </c>
      <c r="AI49" s="270">
        <v>0</v>
      </c>
      <c r="AJ49" s="270">
        <v>321.108903</v>
      </c>
      <c r="AK49" s="271">
        <f>SUM(AD49:AJ49)</f>
        <v>321.108903</v>
      </c>
      <c r="AL49" s="328">
        <f t="shared" ref="AL49:AL54" si="32">AK49/F49</f>
        <v>0.80277225750000003</v>
      </c>
      <c r="AM49" s="273">
        <f t="shared" ref="AM49:AM54" si="33">F49-AK49</f>
        <v>78.891097000000002</v>
      </c>
    </row>
    <row r="50" spans="1:39" ht="22.9">
      <c r="A50" s="333" t="s">
        <v>131</v>
      </c>
      <c r="B50" s="16" t="s">
        <v>132</v>
      </c>
      <c r="C50" s="334" t="s">
        <v>128</v>
      </c>
      <c r="D50" s="248">
        <v>1</v>
      </c>
      <c r="E50" s="249">
        <v>400</v>
      </c>
      <c r="F50" s="292">
        <f t="shared" si="30"/>
        <v>400</v>
      </c>
      <c r="G50" s="156"/>
      <c r="H50" s="335"/>
      <c r="I50" s="251"/>
      <c r="J50" s="336"/>
      <c r="K50" s="298">
        <f t="shared" si="22"/>
        <v>0</v>
      </c>
      <c r="L50" s="299">
        <f t="shared" si="23"/>
        <v>400</v>
      </c>
      <c r="M50" s="162"/>
      <c r="N50" s="230" t="s">
        <v>126</v>
      </c>
      <c r="O50" s="256" t="s">
        <v>132</v>
      </c>
      <c r="P50" s="337" t="s">
        <v>133</v>
      </c>
      <c r="Q50" s="233">
        <f t="shared" si="24"/>
        <v>1</v>
      </c>
      <c r="R50" s="234">
        <f t="shared" si="25"/>
        <v>18.8</v>
      </c>
      <c r="S50" s="301">
        <f t="shared" si="26"/>
        <v>18.8</v>
      </c>
      <c r="T50" s="164"/>
      <c r="U50" s="258">
        <f t="shared" si="31"/>
        <v>0</v>
      </c>
      <c r="V50" s="259">
        <f t="shared" si="31"/>
        <v>0</v>
      </c>
      <c r="W50" s="234">
        <f t="shared" si="31"/>
        <v>0</v>
      </c>
      <c r="X50" s="301">
        <f t="shared" si="28"/>
        <v>0</v>
      </c>
      <c r="Y50" s="302">
        <f t="shared" si="29"/>
        <v>18.8</v>
      </c>
      <c r="Z50" s="57" t="str">
        <f t="shared" ref="Z50:Z54" si="34">A50&amp;"."&amp;B50</f>
        <v>3.1.7.Refreshment for activities</v>
      </c>
      <c r="AA50" s="293"/>
      <c r="AB50"/>
      <c r="AC50"/>
      <c r="AD50" s="270">
        <v>0</v>
      </c>
      <c r="AE50" s="270">
        <v>0</v>
      </c>
      <c r="AF50" s="270">
        <v>0</v>
      </c>
      <c r="AG50" s="270">
        <v>0</v>
      </c>
      <c r="AH50" s="270">
        <v>0</v>
      </c>
      <c r="AI50" s="270">
        <v>104.557908</v>
      </c>
      <c r="AJ50" s="270">
        <v>96.812610000000006</v>
      </c>
      <c r="AK50" s="271">
        <f>SUM(AD50:AJ50)</f>
        <v>201.370518</v>
      </c>
      <c r="AL50" s="328">
        <f t="shared" si="32"/>
        <v>0.50342629500000002</v>
      </c>
      <c r="AM50" s="273">
        <f t="shared" si="33"/>
        <v>198.629482</v>
      </c>
    </row>
    <row r="51" spans="1:39" ht="22.9">
      <c r="A51" s="333" t="s">
        <v>134</v>
      </c>
      <c r="B51" s="16" t="s">
        <v>135</v>
      </c>
      <c r="C51" s="334" t="s">
        <v>128</v>
      </c>
      <c r="D51" s="248">
        <v>1</v>
      </c>
      <c r="E51" s="249">
        <v>7500</v>
      </c>
      <c r="F51" s="292">
        <f t="shared" si="30"/>
        <v>7500</v>
      </c>
      <c r="G51" s="156"/>
      <c r="H51" s="335"/>
      <c r="I51" s="251"/>
      <c r="J51" s="336"/>
      <c r="K51" s="298">
        <f t="shared" si="22"/>
        <v>0</v>
      </c>
      <c r="L51" s="299">
        <f t="shared" si="23"/>
        <v>7500</v>
      </c>
      <c r="M51" s="162"/>
      <c r="N51" s="230" t="s">
        <v>131</v>
      </c>
      <c r="O51" s="256" t="s">
        <v>136</v>
      </c>
      <c r="P51" s="337" t="s">
        <v>133</v>
      </c>
      <c r="Q51" s="233">
        <f t="shared" si="24"/>
        <v>1</v>
      </c>
      <c r="R51" s="234">
        <f t="shared" si="25"/>
        <v>352.5</v>
      </c>
      <c r="S51" s="301">
        <f t="shared" si="26"/>
        <v>352.5</v>
      </c>
      <c r="T51" s="164"/>
      <c r="U51" s="258">
        <f t="shared" si="31"/>
        <v>0</v>
      </c>
      <c r="V51" s="259">
        <f t="shared" si="31"/>
        <v>0</v>
      </c>
      <c r="W51" s="234">
        <f t="shared" si="31"/>
        <v>0</v>
      </c>
      <c r="X51" s="301">
        <f t="shared" si="28"/>
        <v>0</v>
      </c>
      <c r="Y51" s="302">
        <f t="shared" si="29"/>
        <v>352.5</v>
      </c>
      <c r="Z51" s="57" t="str">
        <f t="shared" si="34"/>
        <v>3.1.8.PSS Kits for chilren</v>
      </c>
      <c r="AA51" s="293"/>
      <c r="AB51"/>
      <c r="AC51"/>
      <c r="AD51" s="270">
        <v>0</v>
      </c>
      <c r="AE51" s="270">
        <v>0</v>
      </c>
      <c r="AF51" s="270">
        <v>0</v>
      </c>
      <c r="AG51" s="270">
        <v>0</v>
      </c>
      <c r="AH51" s="270">
        <v>0</v>
      </c>
      <c r="AI51" s="270">
        <v>5862.3474237999999</v>
      </c>
      <c r="AJ51" s="270">
        <v>0</v>
      </c>
      <c r="AK51" s="271">
        <f>SUM(AD51:AJ51)</f>
        <v>5862.3474237999999</v>
      </c>
      <c r="AL51" s="328">
        <f t="shared" si="32"/>
        <v>0.78164632317333327</v>
      </c>
      <c r="AM51" s="273">
        <f t="shared" si="33"/>
        <v>1637.6525762000001</v>
      </c>
    </row>
    <row r="52" spans="1:39" ht="22.9">
      <c r="A52" s="333" t="s">
        <v>137</v>
      </c>
      <c r="B52" s="16" t="s">
        <v>138</v>
      </c>
      <c r="C52" s="334" t="s">
        <v>128</v>
      </c>
      <c r="D52" s="248">
        <v>1</v>
      </c>
      <c r="E52" s="249">
        <v>7500</v>
      </c>
      <c r="F52" s="292">
        <f t="shared" si="30"/>
        <v>7500</v>
      </c>
      <c r="G52" s="156"/>
      <c r="H52" s="335"/>
      <c r="I52" s="251"/>
      <c r="J52" s="336"/>
      <c r="K52" s="298">
        <f t="shared" si="22"/>
        <v>0</v>
      </c>
      <c r="L52" s="299">
        <f t="shared" si="23"/>
        <v>7500</v>
      </c>
      <c r="M52" s="162"/>
      <c r="N52" s="230" t="s">
        <v>137</v>
      </c>
      <c r="O52" s="256" t="s">
        <v>138</v>
      </c>
      <c r="P52" s="337" t="s">
        <v>128</v>
      </c>
      <c r="Q52" s="233">
        <f t="shared" si="24"/>
        <v>1</v>
      </c>
      <c r="R52" s="234">
        <f t="shared" si="25"/>
        <v>352.5</v>
      </c>
      <c r="S52" s="301">
        <f t="shared" si="26"/>
        <v>352.5</v>
      </c>
      <c r="T52" s="164"/>
      <c r="U52" s="258">
        <f t="shared" si="31"/>
        <v>0</v>
      </c>
      <c r="V52" s="259">
        <f t="shared" si="31"/>
        <v>0</v>
      </c>
      <c r="W52" s="234">
        <f t="shared" si="31"/>
        <v>0</v>
      </c>
      <c r="X52" s="301">
        <f t="shared" si="28"/>
        <v>0</v>
      </c>
      <c r="Y52" s="302">
        <f t="shared" si="29"/>
        <v>352.5</v>
      </c>
      <c r="Z52" s="57" t="str">
        <f t="shared" si="34"/>
        <v>3.1.9.PSS Kits for adults</v>
      </c>
      <c r="AA52" s="293"/>
      <c r="AB52"/>
      <c r="AC52"/>
      <c r="AD52" s="270">
        <v>0</v>
      </c>
      <c r="AE52" s="270">
        <v>0</v>
      </c>
      <c r="AF52" s="270">
        <v>0</v>
      </c>
      <c r="AG52" s="270">
        <v>0</v>
      </c>
      <c r="AH52" s="270">
        <v>0</v>
      </c>
      <c r="AI52" s="270">
        <v>4678.1812411999999</v>
      </c>
      <c r="AJ52" s="270">
        <v>0</v>
      </c>
      <c r="AK52" s="271">
        <f>SUM(AD52:AJ52)</f>
        <v>4678.1812411999999</v>
      </c>
      <c r="AL52" s="328">
        <f t="shared" si="32"/>
        <v>0.62375749882666665</v>
      </c>
      <c r="AM52" s="273">
        <f t="shared" si="33"/>
        <v>2821.8187588000001</v>
      </c>
    </row>
    <row r="53" spans="1:39" ht="22.9">
      <c r="A53" s="333" t="s">
        <v>139</v>
      </c>
      <c r="B53" s="16" t="s">
        <v>140</v>
      </c>
      <c r="C53" s="334" t="s">
        <v>128</v>
      </c>
      <c r="D53" s="248">
        <v>6</v>
      </c>
      <c r="E53" s="249">
        <v>84.848484848484858</v>
      </c>
      <c r="F53" s="292">
        <f t="shared" si="30"/>
        <v>509.09090909090912</v>
      </c>
      <c r="G53" s="156"/>
      <c r="H53" s="335"/>
      <c r="I53" s="251"/>
      <c r="J53" s="336"/>
      <c r="K53" s="298">
        <f t="shared" si="22"/>
        <v>0</v>
      </c>
      <c r="L53" s="299">
        <f t="shared" si="23"/>
        <v>509.09090909090912</v>
      </c>
      <c r="M53" s="162"/>
      <c r="N53" s="230" t="s">
        <v>139</v>
      </c>
      <c r="O53" s="256" t="s">
        <v>141</v>
      </c>
      <c r="P53" s="337" t="s">
        <v>128</v>
      </c>
      <c r="Q53" s="233">
        <f t="shared" si="24"/>
        <v>6</v>
      </c>
      <c r="R53" s="234">
        <f t="shared" si="25"/>
        <v>3.9878787878787882</v>
      </c>
      <c r="S53" s="301">
        <f t="shared" si="26"/>
        <v>23.927272727272729</v>
      </c>
      <c r="T53" s="164"/>
      <c r="U53" s="258">
        <f t="shared" si="31"/>
        <v>0</v>
      </c>
      <c r="V53" s="259">
        <f t="shared" si="31"/>
        <v>0</v>
      </c>
      <c r="W53" s="234">
        <f t="shared" si="31"/>
        <v>0</v>
      </c>
      <c r="X53" s="301">
        <f t="shared" si="28"/>
        <v>0</v>
      </c>
      <c r="Y53" s="302">
        <f t="shared" si="29"/>
        <v>23.927272727272729</v>
      </c>
      <c r="Z53" s="57" t="str">
        <f t="shared" si="34"/>
        <v>3.1.10.Printing MEAL materials</v>
      </c>
      <c r="AA53" s="293"/>
      <c r="AB53"/>
      <c r="AC53"/>
      <c r="AD53" s="270">
        <v>0</v>
      </c>
      <c r="AE53" s="270">
        <v>0</v>
      </c>
      <c r="AF53" s="270">
        <v>0</v>
      </c>
      <c r="AG53" s="270">
        <v>261.30141471999997</v>
      </c>
      <c r="AH53" s="270">
        <v>199.2039</v>
      </c>
      <c r="AI53" s="270">
        <v>0</v>
      </c>
      <c r="AJ53" s="270">
        <v>0</v>
      </c>
      <c r="AK53" s="271">
        <f t="shared" ref="AK53:AK54" si="35">SUM(AD53:AJ53)</f>
        <v>460.50531472</v>
      </c>
      <c r="AL53" s="272">
        <f t="shared" si="32"/>
        <v>0.90456401105714279</v>
      </c>
      <c r="AM53" s="273">
        <f t="shared" si="33"/>
        <v>48.585594370909121</v>
      </c>
    </row>
    <row r="54" spans="1:39" ht="23.45" thickBot="1">
      <c r="A54" s="333" t="s">
        <v>142</v>
      </c>
      <c r="B54" s="16" t="s">
        <v>143</v>
      </c>
      <c r="C54" s="334" t="s">
        <v>128</v>
      </c>
      <c r="D54" s="248">
        <v>1</v>
      </c>
      <c r="E54" s="249">
        <v>1000</v>
      </c>
      <c r="F54" s="292">
        <f t="shared" si="30"/>
        <v>1000</v>
      </c>
      <c r="G54" s="156"/>
      <c r="H54" s="335"/>
      <c r="I54" s="251"/>
      <c r="J54" s="336"/>
      <c r="K54" s="298">
        <f t="shared" si="22"/>
        <v>0</v>
      </c>
      <c r="L54" s="299">
        <f t="shared" si="23"/>
        <v>1000</v>
      </c>
      <c r="M54" s="162"/>
      <c r="N54" s="230" t="s">
        <v>142</v>
      </c>
      <c r="O54" s="256" t="s">
        <v>144</v>
      </c>
      <c r="P54" s="337" t="s">
        <v>128</v>
      </c>
      <c r="Q54" s="233">
        <f t="shared" si="24"/>
        <v>1</v>
      </c>
      <c r="R54" s="234">
        <f t="shared" si="25"/>
        <v>47</v>
      </c>
      <c r="S54" s="301">
        <f t="shared" si="26"/>
        <v>47</v>
      </c>
      <c r="T54" s="164"/>
      <c r="U54" s="258">
        <f t="shared" si="31"/>
        <v>0</v>
      </c>
      <c r="V54" s="259">
        <f t="shared" si="31"/>
        <v>0</v>
      </c>
      <c r="W54" s="234">
        <f t="shared" si="31"/>
        <v>0</v>
      </c>
      <c r="X54" s="301">
        <f t="shared" si="28"/>
        <v>0</v>
      </c>
      <c r="Y54" s="302">
        <f t="shared" si="29"/>
        <v>47</v>
      </c>
      <c r="Z54" s="57" t="str">
        <f t="shared" si="34"/>
        <v>3.1.11.Montessori tools</v>
      </c>
      <c r="AA54" s="293"/>
      <c r="AB54"/>
      <c r="AC54"/>
      <c r="AD54" s="270">
        <v>0</v>
      </c>
      <c r="AE54" s="270">
        <v>0</v>
      </c>
      <c r="AF54" s="270">
        <v>0</v>
      </c>
      <c r="AG54" s="270">
        <v>522.64952375999997</v>
      </c>
      <c r="AH54" s="270">
        <v>0</v>
      </c>
      <c r="AI54" s="270">
        <v>0</v>
      </c>
      <c r="AJ54" s="270">
        <v>0</v>
      </c>
      <c r="AK54" s="271">
        <f t="shared" si="35"/>
        <v>522.64952375999997</v>
      </c>
      <c r="AL54" s="272">
        <f t="shared" si="32"/>
        <v>0.52264952375999996</v>
      </c>
      <c r="AM54" s="273">
        <f t="shared" si="33"/>
        <v>477.35047624000003</v>
      </c>
    </row>
    <row r="55" spans="1:39" ht="57" customHeight="1" thickBot="1">
      <c r="A55" s="338" t="s">
        <v>145</v>
      </c>
      <c r="B55" s="34"/>
      <c r="C55" s="34"/>
      <c r="D55" s="34"/>
      <c r="E55" s="219"/>
      <c r="F55" s="292">
        <f>SUM(F45:F54)</f>
        <v>17309.090909090912</v>
      </c>
      <c r="G55" s="156"/>
      <c r="H55" s="305">
        <f>SUM(H45:H54)</f>
        <v>0</v>
      </c>
      <c r="I55" s="306">
        <f>SUM(I45:I54)</f>
        <v>0</v>
      </c>
      <c r="J55" s="307">
        <f>SUM(J45:J54)</f>
        <v>0</v>
      </c>
      <c r="K55" s="308">
        <f>SUM(K45:K54)</f>
        <v>0</v>
      </c>
      <c r="L55" s="309">
        <f>SUM(L45:L54)</f>
        <v>17309.090909090912</v>
      </c>
      <c r="M55" s="162"/>
      <c r="N55" s="511" t="s">
        <v>145</v>
      </c>
      <c r="O55" s="512"/>
      <c r="P55" s="310"/>
      <c r="Q55" s="310"/>
      <c r="R55" s="311"/>
      <c r="S55" s="312">
        <f>SUM(S45:S54)</f>
        <v>1123.7272727272727</v>
      </c>
      <c r="T55" s="164"/>
      <c r="U55" s="313">
        <f>SUM(U45:U54)</f>
        <v>0</v>
      </c>
      <c r="V55" s="314">
        <f>SUM(V45:V54)</f>
        <v>0</v>
      </c>
      <c r="W55" s="314">
        <f>SUM(W45:W54)</f>
        <v>0</v>
      </c>
      <c r="X55" s="312">
        <f>SUM(X45:X54)</f>
        <v>0</v>
      </c>
      <c r="Y55" s="315">
        <f>SUM(Y45:Y54)</f>
        <v>1123.7272727272727</v>
      </c>
      <c r="AA55" s="293">
        <f>SUM(AA45:AA54)</f>
        <v>7600</v>
      </c>
      <c r="AB55"/>
      <c r="AC55"/>
      <c r="AD55" s="34"/>
      <c r="AE55" s="34"/>
      <c r="AF55" s="219"/>
      <c r="AG55" s="34"/>
      <c r="AH55" s="34"/>
      <c r="AI55" s="34"/>
      <c r="AJ55" s="34"/>
      <c r="AK55" s="219"/>
      <c r="AL55" s="34"/>
      <c r="AM55" s="34"/>
    </row>
    <row r="56" spans="1:39" ht="12.6">
      <c r="A56" s="316">
        <v>4</v>
      </c>
      <c r="B56" s="199"/>
      <c r="C56" s="199"/>
      <c r="D56" s="200"/>
      <c r="E56" s="201"/>
      <c r="F56" s="318"/>
      <c r="G56" s="156"/>
      <c r="H56" s="319"/>
      <c r="I56" s="320"/>
      <c r="J56" s="321"/>
      <c r="K56" s="322"/>
      <c r="L56" s="323"/>
      <c r="M56" s="162"/>
      <c r="N56" s="208">
        <v>4</v>
      </c>
      <c r="O56" s="209" t="s">
        <v>146</v>
      </c>
      <c r="P56" s="210"/>
      <c r="Q56" s="211"/>
      <c r="R56" s="212"/>
      <c r="S56" s="213"/>
      <c r="T56" s="164"/>
      <c r="U56" s="214"/>
      <c r="V56" s="215"/>
      <c r="W56" s="215"/>
      <c r="X56" s="213"/>
      <c r="Y56" s="217"/>
      <c r="AA56" s="324"/>
      <c r="AB56"/>
      <c r="AC56"/>
      <c r="AD56" s="199"/>
      <c r="AE56" s="200"/>
      <c r="AF56" s="201"/>
      <c r="AG56" s="199"/>
      <c r="AH56" s="200"/>
      <c r="AI56" s="200"/>
      <c r="AJ56" s="200"/>
      <c r="AK56" s="201"/>
      <c r="AL56" s="199"/>
      <c r="AM56" s="200"/>
    </row>
    <row r="57" spans="1:39" ht="24" customHeight="1">
      <c r="A57" s="333" t="s">
        <v>147</v>
      </c>
      <c r="B57" s="317" t="s">
        <v>146</v>
      </c>
      <c r="C57" s="326"/>
      <c r="D57" s="248"/>
      <c r="E57" s="249"/>
      <c r="F57" s="292"/>
      <c r="G57" s="156"/>
      <c r="H57" s="296"/>
      <c r="I57" s="287"/>
      <c r="J57" s="297"/>
      <c r="K57" s="288">
        <f t="shared" ref="K57:K66" si="36">SUM(H57:J57)</f>
        <v>0</v>
      </c>
      <c r="L57" s="289">
        <f t="shared" ref="L57:L64" si="37">F57-K57</f>
        <v>0</v>
      </c>
      <c r="M57" s="162"/>
      <c r="N57" s="230" t="s">
        <v>147</v>
      </c>
      <c r="O57" s="256" t="s">
        <v>148</v>
      </c>
      <c r="P57" s="232" t="s">
        <v>40</v>
      </c>
      <c r="Q57" s="233">
        <f>D57</f>
        <v>0</v>
      </c>
      <c r="R57" s="234">
        <f t="shared" ref="R57:R64" si="38">E57*$J$3</f>
        <v>0</v>
      </c>
      <c r="S57" s="235">
        <f t="shared" ref="S57:S64" si="39">R57*Q57</f>
        <v>0</v>
      </c>
      <c r="T57" s="164"/>
      <c r="U57" s="258">
        <f t="shared" ref="U57:W64" si="40">H57*$J$3</f>
        <v>0</v>
      </c>
      <c r="V57" s="259">
        <f t="shared" si="40"/>
        <v>0</v>
      </c>
      <c r="W57" s="234">
        <f t="shared" si="40"/>
        <v>0</v>
      </c>
      <c r="X57" s="235">
        <f t="shared" ref="X57:X64" si="41">SUM(U57:W57)</f>
        <v>0</v>
      </c>
      <c r="Y57" s="238">
        <f t="shared" ref="Y57:Y64" si="42">S57-X57</f>
        <v>0</v>
      </c>
      <c r="AA57" s="293"/>
      <c r="AB57"/>
      <c r="AC57"/>
      <c r="AD57" s="328"/>
      <c r="AE57" s="328"/>
      <c r="AF57" s="328"/>
      <c r="AG57" s="328"/>
      <c r="AH57" s="328"/>
      <c r="AI57" s="328"/>
      <c r="AJ57" s="339"/>
      <c r="AK57" s="328"/>
      <c r="AL57" s="328"/>
      <c r="AM57" s="328"/>
    </row>
    <row r="58" spans="1:39" ht="12" hidden="1" customHeight="1">
      <c r="A58" s="333" t="s">
        <v>149</v>
      </c>
      <c r="B58" s="274" t="s">
        <v>150</v>
      </c>
      <c r="C58" s="326" t="s">
        <v>40</v>
      </c>
      <c r="D58" s="248">
        <v>6</v>
      </c>
      <c r="E58" s="249">
        <v>375</v>
      </c>
      <c r="F58" s="292"/>
      <c r="G58" s="156"/>
      <c r="H58" s="296"/>
      <c r="I58" s="287"/>
      <c r="J58" s="297"/>
      <c r="K58" s="288">
        <f t="shared" si="36"/>
        <v>0</v>
      </c>
      <c r="L58" s="289">
        <f t="shared" si="37"/>
        <v>0</v>
      </c>
      <c r="M58" s="162"/>
      <c r="N58" s="230" t="s">
        <v>149</v>
      </c>
      <c r="O58" s="256" t="s">
        <v>151</v>
      </c>
      <c r="P58" s="232" t="s">
        <v>152</v>
      </c>
      <c r="Q58" s="233">
        <f t="shared" ref="Q58:Q64" si="43">$D58</f>
        <v>6</v>
      </c>
      <c r="R58" s="234">
        <f t="shared" si="38"/>
        <v>17.625</v>
      </c>
      <c r="S58" s="235">
        <f t="shared" si="39"/>
        <v>105.75</v>
      </c>
      <c r="T58" s="164"/>
      <c r="U58" s="258">
        <f>H58*$J$3</f>
        <v>0</v>
      </c>
      <c r="V58" s="259">
        <f t="shared" si="40"/>
        <v>0</v>
      </c>
      <c r="W58" s="234">
        <f t="shared" si="40"/>
        <v>0</v>
      </c>
      <c r="X58" s="235">
        <f t="shared" si="41"/>
        <v>0</v>
      </c>
      <c r="Y58" s="238">
        <f t="shared" si="42"/>
        <v>105.75</v>
      </c>
      <c r="AA58" s="293">
        <f>D58*E58</f>
        <v>2250</v>
      </c>
      <c r="AB58"/>
      <c r="AC58"/>
      <c r="AD58" s="328"/>
      <c r="AE58" s="328"/>
      <c r="AF58" s="328"/>
      <c r="AG58" s="328"/>
      <c r="AH58" s="328"/>
      <c r="AI58" s="328"/>
      <c r="AJ58" s="340"/>
      <c r="AK58" s="328"/>
      <c r="AL58" s="328"/>
      <c r="AM58" s="328"/>
    </row>
    <row r="59" spans="1:39" ht="45.6">
      <c r="A59" s="325">
        <v>4.3</v>
      </c>
      <c r="B59" s="274" t="s">
        <v>153</v>
      </c>
      <c r="C59" s="334" t="s">
        <v>40</v>
      </c>
      <c r="D59" s="248">
        <v>6</v>
      </c>
      <c r="E59" s="249">
        <v>183.33333333333204</v>
      </c>
      <c r="F59" s="292">
        <f t="shared" ref="F59:F63" si="44">E59*D59</f>
        <v>1099.9999999999923</v>
      </c>
      <c r="G59" s="156"/>
      <c r="H59" s="296"/>
      <c r="I59" s="287"/>
      <c r="J59" s="297"/>
      <c r="K59" s="288">
        <f t="shared" si="36"/>
        <v>0</v>
      </c>
      <c r="L59" s="289">
        <f t="shared" si="37"/>
        <v>1099.9999999999923</v>
      </c>
      <c r="M59" s="162"/>
      <c r="N59" s="230" t="s">
        <v>154</v>
      </c>
      <c r="O59" s="256" t="s">
        <v>155</v>
      </c>
      <c r="P59" s="232" t="s">
        <v>40</v>
      </c>
      <c r="Q59" s="233">
        <f t="shared" si="43"/>
        <v>6</v>
      </c>
      <c r="R59" s="234">
        <f t="shared" si="38"/>
        <v>8.616666666666605</v>
      </c>
      <c r="S59" s="235">
        <f t="shared" si="39"/>
        <v>51.699999999999633</v>
      </c>
      <c r="T59" s="164"/>
      <c r="U59" s="258">
        <f t="shared" ref="U59:V64" si="45">H59*$J$3</f>
        <v>0</v>
      </c>
      <c r="V59" s="259">
        <f>I59*$J$3</f>
        <v>0</v>
      </c>
      <c r="W59" s="234">
        <f t="shared" si="40"/>
        <v>0</v>
      </c>
      <c r="X59" s="235">
        <f t="shared" si="41"/>
        <v>0</v>
      </c>
      <c r="Y59" s="238">
        <f t="shared" si="42"/>
        <v>51.699999999999633</v>
      </c>
      <c r="Z59" s="57" t="str">
        <f t="shared" ref="Z59:Z60" si="46">A59&amp;"."&amp;B59</f>
        <v xml:space="preserve">4.3.Office running cost A'zaz with Mobile bills forproject staff </v>
      </c>
      <c r="AA59" s="293"/>
      <c r="AB59"/>
      <c r="AC59"/>
      <c r="AD59" s="341">
        <f>SUMIFS('[1]Transactions List'!$L:$L,'[1]Transactions List'!$O:$O,"8",'[1]Transactions List'!$N:$N,"2024",'[1]Transactions List'!$B:$B,'Amendment EUR (2)'!$A46)</f>
        <v>0</v>
      </c>
      <c r="AE59" s="341">
        <f>SUMIFS('[1]Transactions List'!$L:$L,'[1]Transactions List'!$O:$O,"9",'[1]Transactions List'!$N:$N,"2024",'[1]Transactions List'!$B:$B,'Amendment EUR (2)'!$A59)</f>
        <v>0</v>
      </c>
      <c r="AF59" s="341">
        <f>SUMIFS('[1]Transactions List'!$L:$L,'[1]Transactions List'!$O:$O,"10",'[1]Transactions List'!$N:$N,"2024",'[1]Transactions List'!$B:$B,'Amendment EUR (2)'!$A59)</f>
        <v>0</v>
      </c>
      <c r="AG59" s="341">
        <f>SUMIFS('[1]Transactions List'!$L:$L,'[1]Transactions List'!$O:$O,"11",'[1]Transactions List'!$N:$N,"2024",'[1]Transactions List'!$B:$B,'Amendment EUR (2)'!$A59)</f>
        <v>2163.9107263999999</v>
      </c>
      <c r="AH59" s="341">
        <f>SUMIFS('[1]Transactions List'!$L:$L,'[1]Transactions List'!$O:$O,"12",'[1]Transactions List'!$N:$N,"2024",'[1]Transactions List'!$B:$B,'Amendment EUR (2)'!$A59)</f>
        <v>0</v>
      </c>
      <c r="AI59" s="270">
        <f>SUMIFS('[1]Transactions List'!$L:$L,'[1]Transactions List'!$O:$O,"1",'[1]Transactions List'!$N:$N,"2025",'[1]Transactions List'!$B:$B,'Amendment EUR (2)'!$A59)</f>
        <v>2227.3650613999998</v>
      </c>
      <c r="AJ59" s="270">
        <f>SUMIFS('[1]Transactions List'!$L:$L,'[1]Transactions List'!$O:$O,"2",'[1]Transactions List'!$N:$N,"2025",'[1]Transactions List'!$B:$B,'Amendment EUR (2)'!$A59)</f>
        <v>158.25127000000001</v>
      </c>
      <c r="AK59" s="271">
        <f>SUM(AD59:AJ59)</f>
        <v>4549.5270577999991</v>
      </c>
      <c r="AL59" s="342">
        <f>AK59/F59</f>
        <v>4.1359336889091187</v>
      </c>
      <c r="AM59" s="343">
        <f>F59-AK59</f>
        <v>-3449.5270578000068</v>
      </c>
    </row>
    <row r="60" spans="1:39" ht="16.5" customHeight="1">
      <c r="A60" s="325">
        <v>4.5</v>
      </c>
      <c r="B60" s="274" t="s">
        <v>156</v>
      </c>
      <c r="C60" s="334" t="s">
        <v>157</v>
      </c>
      <c r="D60" s="248">
        <v>350</v>
      </c>
      <c r="E60" s="249">
        <v>50</v>
      </c>
      <c r="F60" s="292">
        <f>E60*D60</f>
        <v>17500</v>
      </c>
      <c r="G60" s="156"/>
      <c r="H60" s="296"/>
      <c r="I60" s="287"/>
      <c r="J60" s="297"/>
      <c r="K60" s="288">
        <f t="shared" si="36"/>
        <v>0</v>
      </c>
      <c r="L60" s="289">
        <f t="shared" si="37"/>
        <v>17500</v>
      </c>
      <c r="M60" s="162"/>
      <c r="N60" s="230" t="s">
        <v>158</v>
      </c>
      <c r="O60" s="256" t="s">
        <v>159</v>
      </c>
      <c r="P60" s="232" t="s">
        <v>157</v>
      </c>
      <c r="Q60" s="233">
        <f t="shared" si="43"/>
        <v>350</v>
      </c>
      <c r="R60" s="234">
        <f t="shared" si="38"/>
        <v>2.35</v>
      </c>
      <c r="S60" s="235">
        <f t="shared" si="39"/>
        <v>822.5</v>
      </c>
      <c r="T60" s="164"/>
      <c r="U60" s="258">
        <f t="shared" si="45"/>
        <v>0</v>
      </c>
      <c r="V60" s="259">
        <f>I60*$J$3</f>
        <v>0</v>
      </c>
      <c r="W60" s="234">
        <f t="shared" si="40"/>
        <v>0</v>
      </c>
      <c r="X60" s="235">
        <f t="shared" si="41"/>
        <v>0</v>
      </c>
      <c r="Y60" s="238">
        <f t="shared" si="42"/>
        <v>822.5</v>
      </c>
      <c r="Z60" s="57" t="str">
        <f t="shared" si="46"/>
        <v>4.5.ECF</v>
      </c>
      <c r="AA60" s="293"/>
      <c r="AB60"/>
      <c r="AC60"/>
      <c r="AD60" s="341">
        <f>SUMIFS('[1]Transactions List'!$L:$L,'[1]Transactions List'!$O:$O,"8",'[1]Transactions List'!$N:$N,"2024",'[1]Transactions List'!$B:$B,'Amendment EUR (2)'!$A47)</f>
        <v>0</v>
      </c>
      <c r="AE60" s="341">
        <f>SUMIFS('[1]Transactions List'!$L:$L,'[1]Transactions List'!$O:$O,"9",'[1]Transactions List'!$N:$N,"2024",'[1]Transactions List'!$B:$B,'Amendment EUR (2)'!$A60)</f>
        <v>0</v>
      </c>
      <c r="AF60" s="341">
        <f>SUMIFS('[1]Transactions List'!$L:$L,'[1]Transactions List'!$O:$O,"11",'[1]Transactions List'!$N:$N,"2024",'[1]Transactions List'!$B:$B,'Amendment EUR (2)'!$A60)</f>
        <v>0</v>
      </c>
      <c r="AG60" s="341">
        <f>SUMIFS('[1]Transactions List'!$L:$L,'[1]Transactions List'!$O:$O,"11",'[1]Transactions List'!$N:$N,"2024",'[1]Transactions List'!$B:$B,'Amendment EUR (2)'!$A60)</f>
        <v>0</v>
      </c>
      <c r="AH60" s="341">
        <f>SUMIFS('[1]Transactions List'!$L:$L,'[1]Transactions List'!$O:$O,"12",'[1]Transactions List'!$N:$N,"2024",'[1]Transactions List'!$B:$B,'Amendment EUR (2)'!$A60)</f>
        <v>89.342894999999999</v>
      </c>
      <c r="AI60" s="270">
        <f>SUMIFS('[1]Transactions List'!$L:$L,'[1]Transactions List'!$O:$O,"1",'[1]Transactions List'!$N:$N,"2025",'[1]Transactions List'!$B:$B,'Amendment EUR (2)'!$A60)</f>
        <v>3071.1678743999996</v>
      </c>
      <c r="AJ60" s="270">
        <f>SUMIFS('[1]Transactions List'!$L:$L,'[1]Transactions List'!$O:$O,"2",'[1]Transactions List'!$N:$N,"2025",'[1]Transactions List'!$B:$B,'Amendment EUR (2)'!$A60)</f>
        <v>15066.645051000001</v>
      </c>
      <c r="AK60" s="271">
        <f t="shared" ref="AK60:AK66" si="47">SUM(AD60:AJ60)</f>
        <v>18227.155820400003</v>
      </c>
      <c r="AL60" s="342">
        <f t="shared" ref="AL60:AL67" si="48">AK60/F60</f>
        <v>1.0415517611657144</v>
      </c>
      <c r="AM60" s="343">
        <f t="shared" ref="AM60:AM66" si="49">F60-AK60</f>
        <v>-727.15582040000299</v>
      </c>
    </row>
    <row r="61" spans="1:39" ht="24.6" hidden="1" customHeight="1">
      <c r="A61" s="333" t="s">
        <v>160</v>
      </c>
      <c r="B61" s="274" t="s">
        <v>159</v>
      </c>
      <c r="C61" s="334"/>
      <c r="D61" s="248"/>
      <c r="E61" s="249"/>
      <c r="F61" s="292">
        <f t="shared" si="44"/>
        <v>0</v>
      </c>
      <c r="G61" s="156"/>
      <c r="H61" s="296"/>
      <c r="I61" s="287"/>
      <c r="J61" s="297"/>
      <c r="K61" s="288">
        <f t="shared" si="36"/>
        <v>0</v>
      </c>
      <c r="L61" s="289">
        <f t="shared" si="37"/>
        <v>0</v>
      </c>
      <c r="M61" s="162"/>
      <c r="N61" s="230" t="s">
        <v>160</v>
      </c>
      <c r="O61" s="256" t="s">
        <v>161</v>
      </c>
      <c r="P61" s="232" t="s">
        <v>162</v>
      </c>
      <c r="Q61" s="233">
        <f t="shared" si="43"/>
        <v>0</v>
      </c>
      <c r="R61" s="234">
        <f t="shared" si="38"/>
        <v>0</v>
      </c>
      <c r="S61" s="235">
        <f t="shared" si="39"/>
        <v>0</v>
      </c>
      <c r="T61" s="164"/>
      <c r="U61" s="258">
        <f t="shared" si="45"/>
        <v>0</v>
      </c>
      <c r="V61" s="259">
        <f t="shared" si="45"/>
        <v>0</v>
      </c>
      <c r="W61" s="234">
        <f t="shared" si="40"/>
        <v>0</v>
      </c>
      <c r="X61" s="235">
        <f t="shared" si="41"/>
        <v>0</v>
      </c>
      <c r="Y61" s="238">
        <f t="shared" si="42"/>
        <v>0</v>
      </c>
      <c r="AA61" s="293"/>
      <c r="AB61"/>
      <c r="AC61"/>
      <c r="AD61" s="341">
        <f>SUMIFS('[1]Transactions List'!$L:$L,'[1]Transactions List'!$O:$O,"8",'[1]Transactions List'!$N:$N,"2024",'[1]Transactions List'!$B:$B,'Amendment EUR (2)'!$A48)</f>
        <v>0</v>
      </c>
      <c r="AE61" s="341">
        <f>SUMIFS('[1]Transactions List'!$L:$L,'[1]Transactions List'!$O:$O,"9",'[1]Transactions List'!$N:$N,"2024",'[1]Transactions List'!$B:$B,'Amendment EUR (2)'!$A61)</f>
        <v>0</v>
      </c>
      <c r="AF61" s="341">
        <f>SUMIFS('[1]Transactions List'!$L:$L,'[1]Transactions List'!$O:$O,"11",'[1]Transactions List'!$N:$N,"2024",'[1]Transactions List'!$B:$B,'Amendment EUR (2)'!$A61)</f>
        <v>0</v>
      </c>
      <c r="AG61" s="341">
        <f>SUMIFS('[1]Transactions List'!$L:$L,'[1]Transactions List'!$O:$O,"11",'[1]Transactions List'!$N:$N,"2024",'[1]Transactions List'!$B:$B,'Amendment EUR (2)'!$A61)</f>
        <v>0</v>
      </c>
      <c r="AH61" s="341">
        <f>SUMIFS('[1]Transactions List'!$L:$L,'[1]Transactions List'!$O:$O,"12",'[1]Transactions List'!$N:$N,"2024",'[1]Transactions List'!$B:$B,'Amendment EUR (2)'!$A61)</f>
        <v>0</v>
      </c>
      <c r="AI61" s="270">
        <f>SUMIFS('[1]Transactions List'!$L:$L,'[1]Transactions List'!$O:$O,"1",'[1]Transactions List'!$N:$N,"2025",'[1]Transactions List'!$B:$B,'Amendment EUR (2)'!$A61)</f>
        <v>0</v>
      </c>
      <c r="AJ61" s="270">
        <f>SUMIFS('[1]Transactions List'!$L:$L,'[1]Transactions List'!$O:$O,"2",'[1]Transactions List'!$N:$N,"2025",'[1]Transactions List'!$B:$B,'Amendment EUR (2)'!$A61)</f>
        <v>0</v>
      </c>
      <c r="AK61" s="271">
        <f t="shared" si="47"/>
        <v>0</v>
      </c>
      <c r="AL61" s="342" t="e">
        <f t="shared" si="48"/>
        <v>#DIV/0!</v>
      </c>
      <c r="AM61" s="343">
        <f t="shared" si="49"/>
        <v>0</v>
      </c>
    </row>
    <row r="62" spans="1:39" ht="12.6" hidden="1" customHeight="1">
      <c r="A62" s="333" t="s">
        <v>163</v>
      </c>
      <c r="B62" s="274"/>
      <c r="C62" s="334"/>
      <c r="D62" s="248"/>
      <c r="E62" s="249"/>
      <c r="F62" s="292">
        <f t="shared" si="44"/>
        <v>0</v>
      </c>
      <c r="G62" s="156"/>
      <c r="H62" s="296"/>
      <c r="I62" s="287"/>
      <c r="J62" s="297"/>
      <c r="K62" s="288">
        <f t="shared" si="36"/>
        <v>0</v>
      </c>
      <c r="L62" s="289">
        <f t="shared" si="37"/>
        <v>0</v>
      </c>
      <c r="M62" s="162"/>
      <c r="N62" s="230" t="s">
        <v>163</v>
      </c>
      <c r="O62" s="256" t="s">
        <v>164</v>
      </c>
      <c r="P62" s="232" t="s">
        <v>165</v>
      </c>
      <c r="Q62" s="233">
        <f t="shared" si="43"/>
        <v>0</v>
      </c>
      <c r="R62" s="234">
        <f t="shared" si="38"/>
        <v>0</v>
      </c>
      <c r="S62" s="235">
        <f t="shared" si="39"/>
        <v>0</v>
      </c>
      <c r="T62" s="164"/>
      <c r="U62" s="258">
        <f>H62*$J$3</f>
        <v>0</v>
      </c>
      <c r="V62" s="259">
        <f t="shared" si="45"/>
        <v>0</v>
      </c>
      <c r="W62" s="234">
        <f t="shared" si="40"/>
        <v>0</v>
      </c>
      <c r="X62" s="235">
        <f t="shared" si="41"/>
        <v>0</v>
      </c>
      <c r="Y62" s="238">
        <f t="shared" si="42"/>
        <v>0</v>
      </c>
      <c r="AA62" s="293"/>
      <c r="AB62"/>
      <c r="AC62"/>
      <c r="AD62" s="341">
        <f>SUMIFS('[1]Transactions List'!$L:$L,'[1]Transactions List'!$O:$O,"8",'[1]Transactions List'!$N:$N,"2024",'[1]Transactions List'!$B:$B,'Amendment EUR (2)'!$A49)</f>
        <v>0</v>
      </c>
      <c r="AE62" s="341">
        <f>SUMIFS('[1]Transactions List'!$L:$L,'[1]Transactions List'!$O:$O,"9",'[1]Transactions List'!$N:$N,"2024",'[1]Transactions List'!$B:$B,'Amendment EUR (2)'!$A62)</f>
        <v>0</v>
      </c>
      <c r="AF62" s="341">
        <f>SUMIFS('[1]Transactions List'!$L:$L,'[1]Transactions List'!$O:$O,"11",'[1]Transactions List'!$N:$N,"2024",'[1]Transactions List'!$B:$B,'Amendment EUR (2)'!$A62)</f>
        <v>0</v>
      </c>
      <c r="AG62" s="341">
        <f>SUMIFS('[1]Transactions List'!$L:$L,'[1]Transactions List'!$O:$O,"11",'[1]Transactions List'!$N:$N,"2024",'[1]Transactions List'!$B:$B,'Amendment EUR (2)'!$A62)</f>
        <v>0</v>
      </c>
      <c r="AH62" s="341">
        <f>SUMIFS('[1]Transactions List'!$L:$L,'[1]Transactions List'!$O:$O,"12",'[1]Transactions List'!$N:$N,"2024",'[1]Transactions List'!$B:$B,'Amendment EUR (2)'!$A62)</f>
        <v>0</v>
      </c>
      <c r="AI62" s="270">
        <f>SUMIFS('[1]Transactions List'!$L:$L,'[1]Transactions List'!$O:$O,"1",'[1]Transactions List'!$N:$N,"2025",'[1]Transactions List'!$B:$B,'Amendment EUR (2)'!$A62)</f>
        <v>0</v>
      </c>
      <c r="AJ62" s="270">
        <f>SUMIFS('[1]Transactions List'!$L:$L,'[1]Transactions List'!$O:$O,"2",'[1]Transactions List'!$N:$N,"2025",'[1]Transactions List'!$B:$B,'Amendment EUR (2)'!$A62)</f>
        <v>0</v>
      </c>
      <c r="AK62" s="271">
        <f t="shared" si="47"/>
        <v>0</v>
      </c>
      <c r="AL62" s="342" t="e">
        <f t="shared" si="48"/>
        <v>#DIV/0!</v>
      </c>
      <c r="AM62" s="343">
        <f t="shared" si="49"/>
        <v>0</v>
      </c>
    </row>
    <row r="63" spans="1:39" ht="12.6" hidden="1" customHeight="1">
      <c r="A63" s="333" t="s">
        <v>166</v>
      </c>
      <c r="B63" s="274"/>
      <c r="C63" s="334"/>
      <c r="D63" s="248"/>
      <c r="E63" s="249"/>
      <c r="F63" s="292">
        <f t="shared" si="44"/>
        <v>0</v>
      </c>
      <c r="G63" s="156"/>
      <c r="H63" s="296"/>
      <c r="I63" s="287"/>
      <c r="J63" s="297"/>
      <c r="K63" s="288">
        <f t="shared" si="36"/>
        <v>0</v>
      </c>
      <c r="L63" s="289">
        <f t="shared" si="37"/>
        <v>0</v>
      </c>
      <c r="M63" s="162"/>
      <c r="N63" s="230" t="s">
        <v>166</v>
      </c>
      <c r="O63" s="256" t="s">
        <v>167</v>
      </c>
      <c r="P63" s="232" t="s">
        <v>128</v>
      </c>
      <c r="Q63" s="233">
        <f t="shared" si="43"/>
        <v>0</v>
      </c>
      <c r="R63" s="234">
        <f t="shared" si="38"/>
        <v>0</v>
      </c>
      <c r="S63" s="235">
        <f t="shared" si="39"/>
        <v>0</v>
      </c>
      <c r="T63" s="164"/>
      <c r="U63" s="258">
        <f t="shared" ref="U63:U64" si="50">H63*$J$3</f>
        <v>0</v>
      </c>
      <c r="V63" s="259">
        <f t="shared" si="45"/>
        <v>0</v>
      </c>
      <c r="W63" s="234">
        <f t="shared" si="40"/>
        <v>0</v>
      </c>
      <c r="X63" s="235">
        <f t="shared" si="41"/>
        <v>0</v>
      </c>
      <c r="Y63" s="238">
        <f t="shared" si="42"/>
        <v>0</v>
      </c>
      <c r="AA63" s="293"/>
      <c r="AB63"/>
      <c r="AC63"/>
      <c r="AD63" s="341">
        <f>SUMIFS('[1]Transactions List'!$L:$L,'[1]Transactions List'!$O:$O,"8",'[1]Transactions List'!$N:$N,"2024",'[1]Transactions List'!$B:$B,'Amendment EUR (2)'!$A50)</f>
        <v>0</v>
      </c>
      <c r="AE63" s="341">
        <f>SUMIFS('[1]Transactions List'!$L:$L,'[1]Transactions List'!$O:$O,"9",'[1]Transactions List'!$N:$N,"2024",'[1]Transactions List'!$B:$B,'Amendment EUR (2)'!$A63)</f>
        <v>0</v>
      </c>
      <c r="AF63" s="341">
        <f>SUMIFS('[1]Transactions List'!$L:$L,'[1]Transactions List'!$O:$O,"11",'[1]Transactions List'!$N:$N,"2024",'[1]Transactions List'!$B:$B,'Amendment EUR (2)'!$A63)</f>
        <v>0</v>
      </c>
      <c r="AG63" s="341">
        <f>SUMIFS('[1]Transactions List'!$L:$L,'[1]Transactions List'!$O:$O,"11",'[1]Transactions List'!$N:$N,"2024",'[1]Transactions List'!$B:$B,'Amendment EUR (2)'!$A63)</f>
        <v>0</v>
      </c>
      <c r="AH63" s="341">
        <f>SUMIFS('[1]Transactions List'!$L:$L,'[1]Transactions List'!$O:$O,"12",'[1]Transactions List'!$N:$N,"2024",'[1]Transactions List'!$B:$B,'Amendment EUR (2)'!$A63)</f>
        <v>0</v>
      </c>
      <c r="AI63" s="270">
        <f>SUMIFS('[1]Transactions List'!$L:$L,'[1]Transactions List'!$O:$O,"1",'[1]Transactions List'!$N:$N,"2025",'[1]Transactions List'!$B:$B,'Amendment EUR (2)'!$A63)</f>
        <v>0</v>
      </c>
      <c r="AJ63" s="270">
        <f>SUMIFS('[1]Transactions List'!$L:$L,'[1]Transactions List'!$O:$O,"2",'[1]Transactions List'!$N:$N,"2025",'[1]Transactions List'!$B:$B,'Amendment EUR (2)'!$A63)</f>
        <v>0</v>
      </c>
      <c r="AK63" s="271">
        <f t="shared" si="47"/>
        <v>0</v>
      </c>
      <c r="AL63" s="342" t="e">
        <f t="shared" si="48"/>
        <v>#DIV/0!</v>
      </c>
      <c r="AM63" s="343">
        <f t="shared" si="49"/>
        <v>0</v>
      </c>
    </row>
    <row r="64" spans="1:39" ht="12.6" thickBot="1">
      <c r="A64" s="333" t="s">
        <v>168</v>
      </c>
      <c r="B64" s="274"/>
      <c r="C64" s="326"/>
      <c r="D64" s="248"/>
      <c r="E64" s="249"/>
      <c r="F64" s="292">
        <f>E64*D64</f>
        <v>0</v>
      </c>
      <c r="G64" s="156"/>
      <c r="H64" s="296"/>
      <c r="I64" s="287"/>
      <c r="J64" s="297"/>
      <c r="K64" s="288">
        <f t="shared" si="36"/>
        <v>0</v>
      </c>
      <c r="L64" s="289">
        <f t="shared" si="37"/>
        <v>0</v>
      </c>
      <c r="M64" s="162"/>
      <c r="N64" s="230" t="s">
        <v>168</v>
      </c>
      <c r="O64" s="256" t="s">
        <v>169</v>
      </c>
      <c r="P64" s="232" t="s">
        <v>40</v>
      </c>
      <c r="Q64" s="233">
        <f t="shared" si="43"/>
        <v>0</v>
      </c>
      <c r="R64" s="234">
        <f t="shared" si="38"/>
        <v>0</v>
      </c>
      <c r="S64" s="235">
        <f t="shared" si="39"/>
        <v>0</v>
      </c>
      <c r="T64" s="164"/>
      <c r="U64" s="258">
        <f t="shared" si="50"/>
        <v>0</v>
      </c>
      <c r="V64" s="259">
        <f t="shared" si="45"/>
        <v>0</v>
      </c>
      <c r="W64" s="234">
        <f t="shared" si="40"/>
        <v>0</v>
      </c>
      <c r="X64" s="235">
        <f t="shared" si="41"/>
        <v>0</v>
      </c>
      <c r="Y64" s="238">
        <f t="shared" si="42"/>
        <v>0</v>
      </c>
      <c r="AA64" s="293"/>
      <c r="AB64"/>
      <c r="AC64"/>
      <c r="AD64" s="341">
        <f>SUMIFS('[1]Transactions List'!$L:$L,'[1]Transactions List'!$O:$O,"8",'[1]Transactions List'!$N:$N,"2024",'[1]Transactions List'!$B:$B,'Amendment EUR (2)'!$A51)</f>
        <v>0</v>
      </c>
      <c r="AE64" s="341">
        <f>SUMIFS('[1]Transactions List'!$L:$L,'[1]Transactions List'!$O:$O,"9",'[1]Transactions List'!$N:$N,"2024",'[1]Transactions List'!$B:$B,'Amendment EUR (2)'!$A64)</f>
        <v>0</v>
      </c>
      <c r="AF64" s="341">
        <f>SUMIFS('[1]Transactions List'!$L:$L,'[1]Transactions List'!$O:$O,"11",'[1]Transactions List'!$N:$N,"2024",'[1]Transactions List'!$B:$B,'Amendment EUR (2)'!$A64)</f>
        <v>0</v>
      </c>
      <c r="AG64" s="341">
        <f>SUMIFS('[1]Transactions List'!$L:$L,'[1]Transactions List'!$O:$O,"11",'[1]Transactions List'!$N:$N,"2024",'[1]Transactions List'!$B:$B,'Amendment EUR (2)'!$A64)</f>
        <v>0</v>
      </c>
      <c r="AH64" s="341">
        <f>SUMIFS('[1]Transactions List'!$L:$L,'[1]Transactions List'!$O:$O,"12",'[1]Transactions List'!$N:$N,"2024",'[1]Transactions List'!$B:$B,'Amendment EUR (2)'!$A64)</f>
        <v>0</v>
      </c>
      <c r="AI64" s="270">
        <f>SUMIFS('[1]Transactions List'!$L:$L,'[1]Transactions List'!$O:$O,"1",'[1]Transactions List'!$N:$N,"2025",'[1]Transactions List'!$B:$B,'Amendment EUR (2)'!$A64)</f>
        <v>0</v>
      </c>
      <c r="AJ64" s="270">
        <f>SUMIFS('[1]Transactions List'!$L:$L,'[1]Transactions List'!$O:$O,"2",'[1]Transactions List'!$N:$N,"2025",'[1]Transactions List'!$B:$B,'Amendment EUR (2)'!$A64)</f>
        <v>0</v>
      </c>
      <c r="AK64" s="271">
        <f t="shared" si="47"/>
        <v>0</v>
      </c>
      <c r="AL64" s="342" t="e">
        <f>AK64/F64</f>
        <v>#DIV/0!</v>
      </c>
      <c r="AM64" s="343">
        <f t="shared" si="49"/>
        <v>0</v>
      </c>
    </row>
    <row r="65" spans="1:39" ht="21.75" customHeight="1" thickBot="1">
      <c r="A65" s="344" t="s">
        <v>170</v>
      </c>
      <c r="B65" s="274"/>
      <c r="C65" s="54"/>
      <c r="D65" s="34"/>
      <c r="E65" s="219"/>
      <c r="F65" s="345">
        <f>SUM(F57:F64)</f>
        <v>18599.999999999993</v>
      </c>
      <c r="G65" s="156"/>
      <c r="H65" s="305">
        <f>SUM(H57:H64)</f>
        <v>0</v>
      </c>
      <c r="I65" s="306">
        <f>SUM(I57:I64)</f>
        <v>0</v>
      </c>
      <c r="J65" s="307">
        <f>SUM(J57:J64)</f>
        <v>0</v>
      </c>
      <c r="K65" s="308">
        <f>SUM(K57:K64)</f>
        <v>0</v>
      </c>
      <c r="L65" s="309">
        <f>SUM(L57:L64)</f>
        <v>18599.999999999993</v>
      </c>
      <c r="M65" s="162"/>
      <c r="N65" s="511" t="s">
        <v>170</v>
      </c>
      <c r="O65" s="512"/>
      <c r="P65" s="310"/>
      <c r="Q65" s="310"/>
      <c r="R65" s="311"/>
      <c r="S65" s="312">
        <f>SUM(S57:S64)</f>
        <v>979.94999999999959</v>
      </c>
      <c r="T65" s="164"/>
      <c r="U65" s="313">
        <f>SUM(U57:U64)</f>
        <v>0</v>
      </c>
      <c r="V65" s="314">
        <f>SUM(V57:V64)</f>
        <v>0</v>
      </c>
      <c r="W65" s="314">
        <f>SUM(W57:W64)</f>
        <v>0</v>
      </c>
      <c r="X65" s="312">
        <f>SUM(X57:X64)</f>
        <v>0</v>
      </c>
      <c r="Y65" s="315">
        <f>SUM(Y57:Y64)</f>
        <v>979.94999999999959</v>
      </c>
      <c r="AA65" s="346">
        <f>SUM(AA57:AA64)</f>
        <v>2250</v>
      </c>
      <c r="AB65"/>
      <c r="AC65"/>
      <c r="AD65" s="341"/>
      <c r="AE65" s="341"/>
      <c r="AF65" s="341"/>
      <c r="AG65" s="341"/>
      <c r="AH65" s="341"/>
      <c r="AI65" s="347"/>
      <c r="AJ65" s="348"/>
      <c r="AK65" s="271">
        <f t="shared" si="47"/>
        <v>0</v>
      </c>
      <c r="AL65" s="342">
        <f t="shared" si="48"/>
        <v>0</v>
      </c>
      <c r="AM65" s="343">
        <f t="shared" si="49"/>
        <v>18599.999999999993</v>
      </c>
    </row>
    <row r="66" spans="1:39" ht="23.25" customHeight="1" thickBot="1">
      <c r="A66" s="349" t="s">
        <v>171</v>
      </c>
      <c r="B66" s="350"/>
      <c r="C66" s="54"/>
      <c r="D66" s="34"/>
      <c r="E66" s="219"/>
      <c r="F66" s="345">
        <f>(F38+F43+F55+F65)*10%</f>
        <v>9090.9090909090919</v>
      </c>
      <c r="G66" s="156"/>
      <c r="H66" s="305">
        <f>(H38+H43+H55+H65)*7%</f>
        <v>0</v>
      </c>
      <c r="I66" s="306"/>
      <c r="J66" s="307"/>
      <c r="K66" s="308">
        <f t="shared" si="36"/>
        <v>0</v>
      </c>
      <c r="L66" s="309">
        <f>F66-K66</f>
        <v>9090.9090909090919</v>
      </c>
      <c r="M66" s="162"/>
      <c r="N66" s="511" t="s">
        <v>172</v>
      </c>
      <c r="O66" s="512"/>
      <c r="P66" s="513"/>
      <c r="Q66" s="310"/>
      <c r="R66" s="311"/>
      <c r="S66" s="312">
        <f>(S38+S43+S55+S65)*7%</f>
        <v>689.12040909090899</v>
      </c>
      <c r="T66" s="164"/>
      <c r="U66" s="313">
        <f>(U38+U43+U55+U65)*7%</f>
        <v>0</v>
      </c>
      <c r="V66" s="314">
        <f>(V38+V43+V55+V65)*10%</f>
        <v>0</v>
      </c>
      <c r="W66" s="314">
        <f>(W38+W43+W55+W65)*10%</f>
        <v>0</v>
      </c>
      <c r="X66" s="312">
        <f>(X38+X43+X55+X65)*7%</f>
        <v>0</v>
      </c>
      <c r="Y66" s="315">
        <f>(Y38+Y43+Y55+Y65)*7%</f>
        <v>672.67040909090906</v>
      </c>
      <c r="AA66" s="346">
        <f>(AA38+AA43+AA55+AA65)*10%</f>
        <v>3971</v>
      </c>
      <c r="AB66"/>
      <c r="AC66"/>
      <c r="AD66" s="341">
        <f>SUM(AD18:AD65)*10%</f>
        <v>177.44572752000002</v>
      </c>
      <c r="AE66" s="341">
        <f t="shared" ref="AE66:AH66" si="51">SUM(AE18:AE65)*10%</f>
        <v>629.43842989999996</v>
      </c>
      <c r="AF66" s="341">
        <f t="shared" si="51"/>
        <v>805.00414490520006</v>
      </c>
      <c r="AG66" s="341">
        <f t="shared" si="51"/>
        <v>1017.818999608</v>
      </c>
      <c r="AH66" s="341">
        <f t="shared" si="51"/>
        <v>766.03187580999997</v>
      </c>
      <c r="AI66" s="341">
        <f>SUM(AI18:AI65)*10%</f>
        <v>2923.5802639399999</v>
      </c>
      <c r="AJ66" s="341">
        <f>SUM(AJ18:AJ65)*10%</f>
        <v>2771.5896074200009</v>
      </c>
      <c r="AK66" s="271">
        <f t="shared" si="47"/>
        <v>9090.9090491032002</v>
      </c>
      <c r="AL66" s="342">
        <f t="shared" si="48"/>
        <v>0.99999999540135187</v>
      </c>
      <c r="AM66" s="343">
        <f t="shared" si="49"/>
        <v>4.1805891669355333E-5</v>
      </c>
    </row>
    <row r="67" spans="1:39" s="372" customFormat="1" ht="25.5" customHeight="1" thickBot="1">
      <c r="A67" s="351" t="s">
        <v>173</v>
      </c>
      <c r="B67" s="352"/>
      <c r="C67" s="353"/>
      <c r="D67" s="354"/>
      <c r="E67" s="355"/>
      <c r="F67" s="356">
        <f>SUM(F66,F65,F55,F43,F38)</f>
        <v>100000</v>
      </c>
      <c r="G67" s="357"/>
      <c r="H67" s="358">
        <f>SUM(H66,H65,H55,H43,H38)</f>
        <v>0</v>
      </c>
      <c r="I67" s="359">
        <f>SUM(I66,I65,I55,I43,I38)</f>
        <v>0</v>
      </c>
      <c r="J67" s="360">
        <f>SUM(J66,J65,J55,J43,J38)</f>
        <v>0</v>
      </c>
      <c r="K67" s="361">
        <f>SUM(K66,K65,K55,K43,K38)</f>
        <v>0</v>
      </c>
      <c r="L67" s="362">
        <f>SUM(L66,L65,L55,L43,L38)</f>
        <v>45000</v>
      </c>
      <c r="M67" s="363"/>
      <c r="N67" s="514" t="s">
        <v>173</v>
      </c>
      <c r="O67" s="515"/>
      <c r="P67" s="364"/>
      <c r="Q67" s="365"/>
      <c r="R67" s="366"/>
      <c r="S67" s="367">
        <f>SUM(S66,S65,S55,S43,S38)</f>
        <v>10533.697681818181</v>
      </c>
      <c r="T67" s="368"/>
      <c r="U67" s="369">
        <f>SUM(U66,U65,U55,U43,U38)</f>
        <v>0</v>
      </c>
      <c r="V67" s="370">
        <f>SUM(V66,V65,V55,V43,V38)</f>
        <v>0</v>
      </c>
      <c r="W67" s="370">
        <f>SUM(W66,W65,W55,W43,W38)</f>
        <v>0</v>
      </c>
      <c r="X67" s="367">
        <f>SUM(X66,X65,X55,X43,X38)</f>
        <v>0</v>
      </c>
      <c r="Y67" s="371">
        <f>SUM(Y66,Y65,Y55,Y43,Y38)</f>
        <v>10282.247681818182</v>
      </c>
      <c r="AA67" s="373">
        <f>SUM(AA66,AA65,AA55,AA43,AA38)</f>
        <v>43681</v>
      </c>
      <c r="AB67"/>
      <c r="AC67"/>
      <c r="AD67" s="374">
        <f>SUM(AD59:AD66,AD44:AD54,AD41,AD18:AD36)</f>
        <v>1951.9030027200001</v>
      </c>
      <c r="AE67" s="374">
        <f t="shared" ref="AE67:AH67" si="52">SUM(AE59:AE66,AE44:AE54,AE41,AE18:AE36)</f>
        <v>6923.8227288999997</v>
      </c>
      <c r="AF67" s="374">
        <f t="shared" si="52"/>
        <v>8855.0455939572003</v>
      </c>
      <c r="AG67" s="374">
        <f t="shared" si="52"/>
        <v>11196.008995688004</v>
      </c>
      <c r="AH67" s="374">
        <f t="shared" si="52"/>
        <v>8426.3506339100004</v>
      </c>
      <c r="AI67" s="374">
        <f>SUM(AI59:AI66,AI44:AI54,AI41,AI18:AI36)</f>
        <v>32159.382903340007</v>
      </c>
      <c r="AJ67" s="374">
        <f>SUM(AJ59:AJ66,AJ44:AJ54,AJ41,AJ18:AJ31)</f>
        <v>30487.485681620001</v>
      </c>
      <c r="AK67" s="375">
        <f>SUM(AK18:AK66)</f>
        <v>99999.999540135192</v>
      </c>
      <c r="AL67" s="376">
        <f t="shared" si="48"/>
        <v>0.99999999540135187</v>
      </c>
      <c r="AM67" s="273">
        <f>F67-AK67</f>
        <v>4.5986480836290866E-4</v>
      </c>
    </row>
    <row r="68" spans="1:39" ht="13.9" thickBot="1">
      <c r="A68" s="377"/>
      <c r="B68" s="378"/>
      <c r="C68" s="379"/>
      <c r="D68" s="380"/>
      <c r="E68" s="381"/>
      <c r="F68" s="382"/>
      <c r="G68" s="156"/>
      <c r="H68" s="383"/>
      <c r="I68" s="384"/>
      <c r="J68" s="385"/>
      <c r="K68" s="386"/>
      <c r="L68" s="387"/>
      <c r="M68" s="162"/>
      <c r="N68" s="388"/>
      <c r="O68" s="389"/>
      <c r="P68" s="390"/>
      <c r="Q68" s="391"/>
      <c r="R68" s="392"/>
      <c r="S68" s="393"/>
      <c r="T68" s="164"/>
      <c r="U68" s="394"/>
      <c r="V68" s="395"/>
      <c r="W68" s="396"/>
      <c r="X68" s="393"/>
      <c r="Y68" s="397"/>
      <c r="AA68" s="382"/>
      <c r="AB68"/>
      <c r="AC68"/>
      <c r="AJ68"/>
    </row>
    <row r="69" spans="1:39" ht="22.5" customHeight="1" thickBot="1">
      <c r="A69" s="398" t="s">
        <v>174</v>
      </c>
      <c r="B69" s="399"/>
      <c r="C69" s="400" t="s">
        <v>175</v>
      </c>
      <c r="D69" s="400" t="s">
        <v>176</v>
      </c>
      <c r="E69" s="401" t="s">
        <v>177</v>
      </c>
      <c r="F69" s="402" t="s">
        <v>178</v>
      </c>
      <c r="G69" s="403"/>
      <c r="H69" s="404" t="s">
        <v>179</v>
      </c>
      <c r="I69" s="405" t="s">
        <v>180</v>
      </c>
      <c r="J69" s="406" t="s">
        <v>181</v>
      </c>
      <c r="K69" s="407" t="s">
        <v>182</v>
      </c>
      <c r="L69" s="408" t="s">
        <v>183</v>
      </c>
      <c r="M69" s="409"/>
      <c r="N69" s="516" t="s">
        <v>174</v>
      </c>
      <c r="O69" s="517"/>
      <c r="P69" s="410" t="s">
        <v>175</v>
      </c>
      <c r="Q69" s="410" t="s">
        <v>176</v>
      </c>
      <c r="R69" s="411" t="s">
        <v>177</v>
      </c>
      <c r="S69" s="412" t="s">
        <v>184</v>
      </c>
      <c r="T69" s="413"/>
      <c r="U69" s="414" t="s">
        <v>25</v>
      </c>
      <c r="V69" s="415" t="s">
        <v>26</v>
      </c>
      <c r="W69" s="416" t="s">
        <v>27</v>
      </c>
      <c r="X69" s="416" t="s">
        <v>185</v>
      </c>
      <c r="Y69" s="417"/>
      <c r="AA69"/>
      <c r="AB69"/>
      <c r="AC69"/>
      <c r="AD69" s="418"/>
      <c r="AE69" s="418"/>
      <c r="AF69" s="418"/>
      <c r="AG69" s="418"/>
      <c r="AH69" s="418"/>
      <c r="AI69" s="418"/>
      <c r="AJ69" s="418"/>
      <c r="AK69" s="418"/>
      <c r="AL69" s="418"/>
      <c r="AM69" s="418"/>
    </row>
    <row r="70" spans="1:39" ht="32.450000000000003" customHeight="1">
      <c r="A70" s="419" t="s">
        <v>186</v>
      </c>
      <c r="B70" s="420"/>
      <c r="C70" s="421"/>
      <c r="D70" s="422"/>
      <c r="E70" s="423">
        <f>F70/$F$72</f>
        <v>0</v>
      </c>
      <c r="F70" s="424"/>
      <c r="G70" s="156"/>
      <c r="H70" s="425">
        <v>3191480</v>
      </c>
      <c r="I70" s="426"/>
      <c r="J70" s="425"/>
      <c r="K70" s="427">
        <f t="shared" ref="K70:K71" si="53">SUM(H70:J70)</f>
        <v>3191480</v>
      </c>
      <c r="L70" s="428">
        <f>F70-K70</f>
        <v>-3191480</v>
      </c>
      <c r="M70" s="162"/>
      <c r="N70" s="518" t="s">
        <v>186</v>
      </c>
      <c r="O70" s="519"/>
      <c r="P70" s="519"/>
      <c r="Q70" s="520"/>
      <c r="R70" s="429">
        <f>S70/$S$72</f>
        <v>0</v>
      </c>
      <c r="S70" s="430">
        <f>F70*$J$3</f>
        <v>0</v>
      </c>
      <c r="T70" s="164"/>
      <c r="U70" s="258">
        <f t="shared" ref="U70:W71" si="54">H70*$J$3</f>
        <v>149999.56</v>
      </c>
      <c r="V70" s="259">
        <f t="shared" si="54"/>
        <v>0</v>
      </c>
      <c r="W70" s="234">
        <f t="shared" si="54"/>
        <v>0</v>
      </c>
      <c r="X70" s="431">
        <f t="shared" ref="X70:X71" si="55">SUM(U70:W70)</f>
        <v>149999.56</v>
      </c>
      <c r="Y70" s="432">
        <f t="shared" ref="Y70:Y71" si="56">S70-X70</f>
        <v>-149999.56</v>
      </c>
      <c r="AA70"/>
      <c r="AB70"/>
      <c r="AC70"/>
      <c r="AD70" s="418"/>
      <c r="AE70" s="418"/>
      <c r="AF70" s="418"/>
      <c r="AG70" s="418"/>
      <c r="AH70" s="418"/>
      <c r="AI70" s="418"/>
      <c r="AJ70" s="418"/>
      <c r="AK70" s="418"/>
      <c r="AL70" s="418"/>
      <c r="AM70" s="418"/>
    </row>
    <row r="71" spans="1:39" ht="23.45" customHeight="1" thickBot="1">
      <c r="A71" s="419"/>
      <c r="B71" s="421"/>
      <c r="C71" s="433">
        <v>0</v>
      </c>
      <c r="D71" s="434"/>
      <c r="E71" s="423">
        <f>F71/$F$72</f>
        <v>1</v>
      </c>
      <c r="F71" s="424">
        <f>F67-F70</f>
        <v>100000</v>
      </c>
      <c r="G71" s="156"/>
      <c r="H71" s="435">
        <f>H67-H70</f>
        <v>-3191480</v>
      </c>
      <c r="I71" s="426"/>
      <c r="J71" s="425"/>
      <c r="K71" s="427">
        <f t="shared" si="53"/>
        <v>-3191480</v>
      </c>
      <c r="L71" s="428">
        <f>F71-K71</f>
        <v>3291480</v>
      </c>
      <c r="M71" s="162"/>
      <c r="N71" s="518"/>
      <c r="O71" s="520"/>
      <c r="P71" s="436" t="s">
        <v>187</v>
      </c>
      <c r="Q71" s="437"/>
      <c r="R71" s="429">
        <f>S71/$S$72</f>
        <v>1</v>
      </c>
      <c r="S71" s="430">
        <f>F71*$J$3</f>
        <v>4700</v>
      </c>
      <c r="T71" s="164"/>
      <c r="U71" s="258">
        <f t="shared" si="54"/>
        <v>-149999.56</v>
      </c>
      <c r="V71" s="259">
        <f t="shared" si="54"/>
        <v>0</v>
      </c>
      <c r="W71" s="234">
        <f t="shared" si="54"/>
        <v>0</v>
      </c>
      <c r="X71" s="431">
        <f t="shared" si="55"/>
        <v>-149999.56</v>
      </c>
      <c r="Y71" s="432">
        <f t="shared" si="56"/>
        <v>154699.56</v>
      </c>
      <c r="AA71"/>
      <c r="AB71"/>
      <c r="AC71"/>
      <c r="AD71" s="418"/>
      <c r="AE71" s="418"/>
      <c r="AF71" s="418"/>
      <c r="AG71" s="418"/>
      <c r="AH71" s="418"/>
      <c r="AI71" s="418"/>
      <c r="AJ71" s="418"/>
      <c r="AK71" s="418"/>
      <c r="AL71" s="418"/>
      <c r="AM71" s="418"/>
    </row>
    <row r="72" spans="1:39" s="372" customFormat="1" ht="24" customHeight="1" thickBot="1">
      <c r="A72" s="438" t="s">
        <v>188</v>
      </c>
      <c r="B72" s="422"/>
      <c r="C72" s="439"/>
      <c r="D72" s="439"/>
      <c r="E72" s="440">
        <f>SUM(E70:E71)</f>
        <v>1</v>
      </c>
      <c r="F72" s="441">
        <f>SUM(F70:F71)</f>
        <v>100000</v>
      </c>
      <c r="G72" s="442"/>
      <c r="H72" s="358">
        <f>SUM(H70:H71)</f>
        <v>0</v>
      </c>
      <c r="I72" s="359">
        <f>SUM(I70:I71)</f>
        <v>0</v>
      </c>
      <c r="J72" s="360">
        <f>SUM(J70:J71)</f>
        <v>0</v>
      </c>
      <c r="K72" s="361">
        <f>SUM(K70:K71)</f>
        <v>0</v>
      </c>
      <c r="L72" s="362">
        <f>SUM(L70:L71)</f>
        <v>100000</v>
      </c>
      <c r="M72" s="363"/>
      <c r="N72" s="507" t="s">
        <v>188</v>
      </c>
      <c r="O72" s="508"/>
      <c r="P72" s="508"/>
      <c r="Q72" s="508"/>
      <c r="R72" s="443">
        <f>SUM(R70:R71)</f>
        <v>1</v>
      </c>
      <c r="S72" s="367">
        <f>SUM(S70:S71)</f>
        <v>4700</v>
      </c>
      <c r="T72" s="368"/>
      <c r="U72" s="369">
        <f>SUM(U70:U71)</f>
        <v>0</v>
      </c>
      <c r="V72" s="444">
        <f>SUM(V70:V71)</f>
        <v>0</v>
      </c>
      <c r="W72" s="370">
        <f>SUM(W70:W71)</f>
        <v>0</v>
      </c>
      <c r="X72" s="367">
        <f>SUM(X70:X71)</f>
        <v>0</v>
      </c>
      <c r="Y72" s="371">
        <f>SUM(Y70:Y71)</f>
        <v>4700</v>
      </c>
      <c r="AA72"/>
      <c r="AB72"/>
      <c r="AC72"/>
      <c r="AD72" s="418"/>
      <c r="AE72" s="418"/>
      <c r="AF72" s="418"/>
      <c r="AG72" s="418"/>
      <c r="AH72" s="418"/>
      <c r="AI72" s="418"/>
      <c r="AJ72" s="418"/>
      <c r="AK72" s="418"/>
      <c r="AL72" s="418"/>
      <c r="AM72" s="418"/>
    </row>
    <row r="73" spans="1:39" ht="13.9" thickBot="1">
      <c r="A73" s="162"/>
      <c r="B73" s="439"/>
      <c r="C73" s="445" t="s">
        <v>189</v>
      </c>
      <c r="D73" s="446"/>
      <c r="E73" s="447"/>
      <c r="F73" s="448"/>
      <c r="G73" s="449"/>
      <c r="H73" s="450"/>
      <c r="I73" s="451"/>
      <c r="J73" s="452"/>
      <c r="K73" s="453"/>
      <c r="L73" s="454"/>
      <c r="M73" s="162"/>
      <c r="N73" s="455"/>
      <c r="O73" s="456"/>
      <c r="P73" s="457" t="s">
        <v>189</v>
      </c>
      <c r="Q73" s="458"/>
      <c r="R73" s="459"/>
      <c r="S73" s="460"/>
      <c r="T73" s="164"/>
      <c r="U73" s="461"/>
      <c r="V73" s="165"/>
      <c r="W73" s="462"/>
      <c r="X73" s="460"/>
      <c r="Y73" s="463"/>
      <c r="AA73"/>
      <c r="AB73"/>
      <c r="AC73"/>
      <c r="AJ73"/>
    </row>
    <row r="74" spans="1:39" ht="21" customHeight="1" thickBot="1">
      <c r="A74" s="464" t="s">
        <v>190</v>
      </c>
      <c r="B74" s="465"/>
      <c r="C74" s="466"/>
      <c r="D74" s="466"/>
      <c r="E74" s="466"/>
      <c r="F74" s="467">
        <f>+F72-F67</f>
        <v>0</v>
      </c>
      <c r="G74" s="449"/>
      <c r="H74" s="468">
        <f>+H72-H67</f>
        <v>0</v>
      </c>
      <c r="I74" s="469">
        <f>+I72-I67</f>
        <v>0</v>
      </c>
      <c r="J74" s="470">
        <f>+J72-J67</f>
        <v>0</v>
      </c>
      <c r="K74" s="471">
        <f>+K72-K67</f>
        <v>0</v>
      </c>
      <c r="L74" s="472">
        <f>+L72-L67</f>
        <v>55000</v>
      </c>
      <c r="M74" s="162"/>
      <c r="N74" s="509" t="s">
        <v>190</v>
      </c>
      <c r="O74" s="510"/>
      <c r="P74" s="510"/>
      <c r="Q74" s="510"/>
      <c r="R74" s="510"/>
      <c r="S74" s="473">
        <f>+S72-S67</f>
        <v>-5833.6976818181811</v>
      </c>
      <c r="T74" s="164"/>
      <c r="U74" s="474">
        <f>+U72-U67</f>
        <v>0</v>
      </c>
      <c r="V74" s="475">
        <f>+V72-V67</f>
        <v>0</v>
      </c>
      <c r="W74" s="476">
        <f>+W72-W67</f>
        <v>0</v>
      </c>
      <c r="X74" s="473">
        <f>+X72-X67</f>
        <v>0</v>
      </c>
      <c r="Y74" s="477">
        <f>+Y72-Y67</f>
        <v>-5582.2476818181822</v>
      </c>
      <c r="AA74"/>
      <c r="AB74"/>
      <c r="AC74"/>
      <c r="AD74" s="418"/>
      <c r="AE74" s="418"/>
      <c r="AF74" s="418"/>
      <c r="AG74" s="418"/>
      <c r="AH74" s="418"/>
      <c r="AI74" s="418"/>
      <c r="AJ74" s="418"/>
      <c r="AK74" s="418"/>
      <c r="AL74" s="418"/>
      <c r="AM74" s="418"/>
    </row>
    <row r="75" spans="1:39" ht="12" thickBot="1">
      <c r="A75" s="478"/>
      <c r="B75" s="466"/>
      <c r="C75" s="478"/>
      <c r="D75" s="478"/>
      <c r="E75" s="479"/>
      <c r="F75" s="480"/>
      <c r="AA75"/>
      <c r="AB75"/>
      <c r="AC75"/>
      <c r="AJ75"/>
    </row>
    <row r="76" spans="1:39" ht="11.45">
      <c r="A76" s="478"/>
      <c r="B76" s="478"/>
      <c r="C76" s="478"/>
      <c r="D76" s="478"/>
      <c r="E76" s="479"/>
      <c r="F76" s="480"/>
      <c r="AA76" s="480"/>
      <c r="AB76"/>
      <c r="AC76"/>
      <c r="AJ76"/>
    </row>
    <row r="77" spans="1:39" ht="11.45">
      <c r="A77" s="478"/>
      <c r="B77" s="478"/>
      <c r="C77" s="478"/>
      <c r="D77" s="478"/>
      <c r="E77" s="479"/>
      <c r="F77" s="480"/>
      <c r="AA77" s="480"/>
      <c r="AB77"/>
      <c r="AC77"/>
      <c r="AJ77"/>
    </row>
    <row r="78" spans="1:39" ht="11.45">
      <c r="A78" s="478"/>
      <c r="B78" s="478"/>
      <c r="C78" s="478"/>
      <c r="D78" s="478"/>
      <c r="E78" s="479"/>
      <c r="F78" s="480"/>
      <c r="AA78" s="480"/>
      <c r="AB78"/>
      <c r="AC78"/>
      <c r="AJ78"/>
    </row>
    <row r="79" spans="1:39" ht="11.45">
      <c r="A79" s="478"/>
      <c r="B79" s="478"/>
      <c r="C79" s="478"/>
      <c r="D79" s="478"/>
      <c r="E79" s="479"/>
      <c r="F79" s="480"/>
      <c r="AA79" s="480"/>
      <c r="AB79"/>
      <c r="AC79"/>
      <c r="AJ79"/>
    </row>
    <row r="80" spans="1:39" ht="11.45">
      <c r="A80" s="478"/>
      <c r="B80" s="478"/>
      <c r="C80" s="478"/>
      <c r="D80" s="478"/>
      <c r="E80" s="479"/>
      <c r="F80" s="480"/>
      <c r="AA80" s="480"/>
      <c r="AB80"/>
      <c r="AC80"/>
      <c r="AJ80"/>
    </row>
    <row r="81" spans="1:36" ht="11.45">
      <c r="A81" s="478"/>
      <c r="B81" s="478"/>
      <c r="C81" s="478"/>
      <c r="D81" s="478"/>
      <c r="E81" s="479"/>
      <c r="F81" s="480"/>
      <c r="AA81" s="480"/>
      <c r="AB81"/>
      <c r="AC81"/>
      <c r="AJ81"/>
    </row>
    <row r="82" spans="1:36" ht="11.45">
      <c r="A82" s="478"/>
      <c r="B82" s="478"/>
      <c r="C82" s="478"/>
      <c r="D82" s="478"/>
      <c r="E82" s="479"/>
      <c r="F82" s="480"/>
      <c r="AA82" s="480"/>
      <c r="AB82"/>
      <c r="AC82"/>
      <c r="AJ82"/>
    </row>
    <row r="83" spans="1:36" ht="11.45">
      <c r="A83" s="478"/>
      <c r="B83" s="478"/>
      <c r="C83" s="478"/>
      <c r="D83" s="478"/>
      <c r="E83" s="479"/>
      <c r="F83" s="480"/>
      <c r="AA83" s="480"/>
      <c r="AB83"/>
      <c r="AC83"/>
      <c r="AJ83"/>
    </row>
    <row r="84" spans="1:36" ht="11.45">
      <c r="A84" s="478"/>
      <c r="B84" s="478"/>
      <c r="C84" s="478"/>
      <c r="D84" s="478"/>
      <c r="E84" s="479"/>
      <c r="F84" s="480"/>
      <c r="AA84" s="480"/>
      <c r="AB84"/>
      <c r="AC84"/>
      <c r="AJ84"/>
    </row>
    <row r="85" spans="1:36" ht="11.45">
      <c r="A85" s="478"/>
      <c r="B85" s="478"/>
      <c r="C85" s="478"/>
      <c r="D85" s="478"/>
      <c r="E85" s="479"/>
      <c r="F85" s="480"/>
      <c r="AA85" s="480"/>
      <c r="AB85"/>
      <c r="AC85"/>
      <c r="AJ85"/>
    </row>
    <row r="86" spans="1:36" ht="11.45">
      <c r="A86" s="478"/>
      <c r="B86" s="478"/>
      <c r="C86" s="478"/>
      <c r="D86" s="478"/>
      <c r="E86" s="479"/>
      <c r="F86" s="480"/>
      <c r="AA86" s="480"/>
      <c r="AB86"/>
      <c r="AC86"/>
      <c r="AJ86"/>
    </row>
    <row r="87" spans="1:36" ht="11.45">
      <c r="A87" s="478"/>
      <c r="B87" s="478"/>
      <c r="C87" s="478"/>
      <c r="D87" s="478"/>
      <c r="E87" s="479"/>
      <c r="F87" s="480"/>
      <c r="AA87" s="480"/>
      <c r="AB87"/>
      <c r="AC87"/>
      <c r="AJ87"/>
    </row>
    <row r="88" spans="1:36" ht="11.45">
      <c r="A88" s="478"/>
      <c r="B88" s="478"/>
      <c r="C88" s="478"/>
      <c r="D88" s="478"/>
      <c r="E88" s="479"/>
      <c r="F88" s="480"/>
      <c r="AA88" s="480"/>
      <c r="AB88"/>
      <c r="AC88"/>
      <c r="AJ88"/>
    </row>
    <row r="89" spans="1:36" ht="11.45">
      <c r="A89" s="478"/>
      <c r="B89" s="478"/>
      <c r="C89" s="478"/>
      <c r="D89" s="478"/>
      <c r="E89" s="479"/>
      <c r="F89" s="480"/>
      <c r="AA89" s="480"/>
      <c r="AB89"/>
      <c r="AC89"/>
      <c r="AJ89"/>
    </row>
    <row r="90" spans="1:36" ht="11.45">
      <c r="A90" s="478"/>
      <c r="B90" s="478"/>
      <c r="C90" s="478"/>
      <c r="D90" s="478"/>
      <c r="E90" s="479"/>
      <c r="F90" s="480"/>
      <c r="AA90" s="480"/>
      <c r="AB90"/>
      <c r="AC90"/>
      <c r="AJ90"/>
    </row>
    <row r="91" spans="1:36" ht="11.45">
      <c r="A91" s="478"/>
      <c r="B91" s="478"/>
      <c r="C91" s="478"/>
      <c r="D91" s="478"/>
      <c r="E91" s="479"/>
      <c r="F91" s="480"/>
      <c r="AA91" s="480"/>
      <c r="AB91"/>
      <c r="AC91"/>
      <c r="AJ91"/>
    </row>
    <row r="92" spans="1:36" ht="11.45">
      <c r="A92" s="478"/>
      <c r="B92" s="478"/>
      <c r="C92" s="478"/>
      <c r="D92" s="478"/>
      <c r="E92" s="479"/>
      <c r="F92" s="480"/>
      <c r="AA92" s="480"/>
      <c r="AB92"/>
      <c r="AC92"/>
      <c r="AJ92"/>
    </row>
    <row r="93" spans="1:36" ht="11.45">
      <c r="A93" s="478"/>
      <c r="B93" s="478"/>
      <c r="C93" s="478"/>
      <c r="D93" s="478"/>
      <c r="E93" s="479"/>
      <c r="F93" s="480"/>
      <c r="AA93" s="480"/>
      <c r="AB93"/>
      <c r="AC93"/>
      <c r="AJ93"/>
    </row>
    <row r="94" spans="1:36" ht="11.45">
      <c r="A94" s="478"/>
      <c r="B94" s="478"/>
      <c r="C94" s="478"/>
      <c r="D94" s="478"/>
      <c r="E94" s="479"/>
      <c r="F94" s="480"/>
      <c r="AA94" s="480"/>
      <c r="AB94"/>
      <c r="AC94"/>
      <c r="AJ94"/>
    </row>
    <row r="95" spans="1:36" ht="11.45">
      <c r="A95" s="478"/>
      <c r="B95" s="478"/>
      <c r="C95" s="478"/>
      <c r="D95" s="478"/>
      <c r="E95" s="479"/>
      <c r="F95" s="480"/>
      <c r="AA95" s="480"/>
      <c r="AB95"/>
      <c r="AC95"/>
      <c r="AJ95"/>
    </row>
    <row r="96" spans="1:36" ht="11.45">
      <c r="A96" s="478"/>
      <c r="B96" s="478"/>
      <c r="C96" s="478"/>
      <c r="D96" s="478"/>
      <c r="E96" s="479"/>
      <c r="F96" s="480"/>
      <c r="AA96" s="480"/>
      <c r="AB96"/>
      <c r="AC96"/>
      <c r="AJ96"/>
    </row>
    <row r="97" spans="1:36" ht="11.45">
      <c r="A97" s="478"/>
      <c r="B97" s="478"/>
      <c r="C97" s="478"/>
      <c r="D97" s="478"/>
      <c r="E97" s="479"/>
      <c r="F97" s="480"/>
      <c r="AA97" s="480"/>
      <c r="AB97"/>
      <c r="AC97"/>
      <c r="AJ97"/>
    </row>
    <row r="98" spans="1:36" ht="11.45">
      <c r="A98" s="478"/>
      <c r="B98" s="478"/>
      <c r="C98" s="478"/>
      <c r="D98" s="478"/>
      <c r="E98" s="479"/>
      <c r="F98" s="480"/>
      <c r="AA98" s="480"/>
      <c r="AB98"/>
      <c r="AC98"/>
      <c r="AJ98"/>
    </row>
    <row r="99" spans="1:36" ht="11.45">
      <c r="A99" s="478"/>
      <c r="B99" s="478"/>
      <c r="C99" s="478"/>
      <c r="D99" s="478"/>
      <c r="E99" s="479"/>
      <c r="F99" s="480"/>
      <c r="AA99" s="480"/>
      <c r="AB99"/>
      <c r="AC99"/>
      <c r="AJ99"/>
    </row>
    <row r="100" spans="1:36" ht="11.45">
      <c r="A100" s="478"/>
      <c r="B100" s="478"/>
      <c r="C100" s="478"/>
      <c r="D100" s="478"/>
      <c r="E100" s="479"/>
      <c r="F100" s="480"/>
      <c r="AA100" s="480"/>
      <c r="AB100"/>
      <c r="AC100"/>
      <c r="AJ100"/>
    </row>
    <row r="101" spans="1:36" ht="11.45">
      <c r="A101" s="478"/>
      <c r="B101" s="478"/>
      <c r="C101" s="478"/>
      <c r="D101" s="478"/>
      <c r="E101" s="479"/>
      <c r="F101" s="480"/>
      <c r="AA101" s="480"/>
      <c r="AB101"/>
      <c r="AC101"/>
      <c r="AJ101"/>
    </row>
    <row r="102" spans="1:36" ht="11.45">
      <c r="A102" s="478"/>
      <c r="B102" s="478"/>
      <c r="C102" s="478"/>
      <c r="D102" s="478"/>
      <c r="E102" s="479"/>
      <c r="F102" s="480"/>
      <c r="AA102" s="480"/>
      <c r="AB102"/>
      <c r="AC102"/>
      <c r="AJ102"/>
    </row>
    <row r="103" spans="1:36" ht="11.45">
      <c r="A103" s="478"/>
      <c r="B103" s="478"/>
      <c r="C103" s="478"/>
      <c r="D103" s="478"/>
      <c r="E103" s="479"/>
      <c r="F103" s="480"/>
      <c r="AA103" s="480"/>
      <c r="AB103"/>
      <c r="AC103"/>
      <c r="AJ103"/>
    </row>
    <row r="104" spans="1:36" ht="11.45">
      <c r="A104" s="478"/>
      <c r="B104" s="478"/>
      <c r="C104" s="478"/>
      <c r="D104" s="478"/>
      <c r="E104" s="479"/>
      <c r="F104" s="480"/>
      <c r="AA104" s="480"/>
      <c r="AB104"/>
      <c r="AC104"/>
      <c r="AJ104"/>
    </row>
    <row r="105" spans="1:36" ht="11.45">
      <c r="A105" s="478"/>
      <c r="B105" s="478"/>
      <c r="C105" s="478"/>
      <c r="D105" s="478"/>
      <c r="E105" s="479"/>
      <c r="F105" s="480"/>
      <c r="AA105" s="480"/>
      <c r="AB105"/>
      <c r="AC105"/>
      <c r="AJ105"/>
    </row>
    <row r="106" spans="1:36" ht="11.45">
      <c r="A106" s="478"/>
      <c r="B106" s="478"/>
      <c r="C106" s="478"/>
      <c r="D106" s="478"/>
      <c r="E106" s="479"/>
      <c r="F106" s="480"/>
      <c r="AA106" s="480"/>
      <c r="AB106"/>
      <c r="AC106"/>
      <c r="AJ106"/>
    </row>
    <row r="107" spans="1:36" ht="11.45">
      <c r="A107" s="478"/>
      <c r="B107" s="478"/>
      <c r="C107" s="478"/>
      <c r="D107" s="478"/>
      <c r="E107" s="479"/>
      <c r="F107" s="480"/>
      <c r="AA107" s="480"/>
      <c r="AB107"/>
      <c r="AC107"/>
      <c r="AJ107"/>
    </row>
    <row r="108" spans="1:36" ht="11.45">
      <c r="A108" s="478"/>
      <c r="B108" s="478"/>
      <c r="C108" s="478"/>
      <c r="D108" s="478"/>
      <c r="E108" s="479"/>
      <c r="F108" s="480"/>
      <c r="AA108" s="480"/>
      <c r="AB108" s="480"/>
      <c r="AC108" s="480"/>
      <c r="AJ108"/>
    </row>
    <row r="109" spans="1:36" ht="11.45">
      <c r="A109" s="478"/>
      <c r="B109" s="478"/>
      <c r="C109" s="478"/>
      <c r="D109" s="478"/>
      <c r="E109" s="479"/>
      <c r="F109" s="480"/>
      <c r="AA109" s="480"/>
      <c r="AB109" s="480"/>
      <c r="AC109" s="480"/>
      <c r="AJ109"/>
    </row>
    <row r="110" spans="1:36" ht="11.45">
      <c r="A110" s="478"/>
      <c r="B110" s="478"/>
      <c r="C110" s="478"/>
      <c r="D110" s="478"/>
      <c r="E110" s="479"/>
      <c r="F110" s="480"/>
      <c r="AA110" s="480"/>
      <c r="AB110" s="480"/>
      <c r="AC110" s="480"/>
      <c r="AJ110"/>
    </row>
    <row r="111" spans="1:36" ht="11.45">
      <c r="A111" s="478"/>
      <c r="B111" s="478"/>
      <c r="C111" s="478"/>
      <c r="D111" s="478"/>
      <c r="E111" s="479"/>
      <c r="F111" s="480"/>
      <c r="AA111" s="480"/>
      <c r="AB111" s="480"/>
      <c r="AC111" s="480"/>
      <c r="AJ111"/>
    </row>
    <row r="112" spans="1:36" ht="11.45">
      <c r="A112" s="478"/>
      <c r="B112" s="478"/>
      <c r="C112" s="478"/>
      <c r="D112" s="478"/>
      <c r="E112" s="479"/>
      <c r="F112" s="480"/>
      <c r="AA112" s="480"/>
      <c r="AB112" s="480"/>
      <c r="AC112" s="480"/>
      <c r="AJ112"/>
    </row>
    <row r="113" spans="1:36" ht="11.45">
      <c r="A113" s="478"/>
      <c r="B113" s="478"/>
      <c r="C113" s="478"/>
      <c r="D113" s="478"/>
      <c r="E113" s="479"/>
      <c r="F113" s="480"/>
      <c r="AA113" s="480"/>
      <c r="AB113" s="480"/>
      <c r="AC113" s="480"/>
      <c r="AJ113"/>
    </row>
    <row r="114" spans="1:36" ht="11.45">
      <c r="A114" s="478"/>
      <c r="B114" s="478"/>
      <c r="C114" s="478"/>
      <c r="D114" s="478"/>
      <c r="E114" s="479"/>
      <c r="F114" s="480"/>
      <c r="AA114" s="480"/>
      <c r="AB114" s="480"/>
      <c r="AC114" s="480"/>
      <c r="AJ114"/>
    </row>
    <row r="115" spans="1:36" ht="11.45">
      <c r="A115" s="478"/>
      <c r="B115" s="478"/>
      <c r="C115" s="478"/>
      <c r="D115" s="478"/>
      <c r="E115" s="479"/>
      <c r="F115" s="480"/>
      <c r="AA115" s="480"/>
      <c r="AB115" s="480"/>
      <c r="AC115" s="480"/>
      <c r="AJ115"/>
    </row>
    <row r="116" spans="1:36" ht="11.45">
      <c r="A116" s="478"/>
      <c r="B116" s="478"/>
      <c r="C116" s="478"/>
      <c r="D116" s="478"/>
      <c r="E116" s="479"/>
      <c r="F116" s="480"/>
      <c r="AA116" s="480"/>
      <c r="AB116" s="480"/>
      <c r="AC116" s="480"/>
      <c r="AJ116"/>
    </row>
    <row r="117" spans="1:36" ht="11.45">
      <c r="A117" s="478"/>
      <c r="B117" s="478"/>
      <c r="C117" s="478"/>
      <c r="D117" s="478"/>
      <c r="E117" s="479"/>
      <c r="F117" s="480"/>
      <c r="AA117" s="480"/>
      <c r="AB117" s="480"/>
      <c r="AC117" s="480"/>
      <c r="AJ117"/>
    </row>
    <row r="118" spans="1:36" ht="11.45">
      <c r="A118" s="478"/>
      <c r="B118" s="478"/>
      <c r="C118" s="478"/>
      <c r="D118" s="478"/>
      <c r="E118" s="479"/>
      <c r="F118" s="480"/>
      <c r="AA118" s="480"/>
      <c r="AB118" s="480"/>
      <c r="AC118" s="480"/>
      <c r="AJ118"/>
    </row>
    <row r="119" spans="1:36" ht="11.45">
      <c r="A119" s="478"/>
      <c r="B119" s="478"/>
      <c r="C119" s="478"/>
      <c r="D119" s="478"/>
      <c r="E119" s="479"/>
      <c r="F119" s="480"/>
      <c r="AA119" s="480"/>
      <c r="AB119" s="480"/>
      <c r="AC119" s="480"/>
      <c r="AJ119"/>
    </row>
    <row r="120" spans="1:36" ht="11.45">
      <c r="A120" s="478"/>
      <c r="B120" s="478"/>
      <c r="C120" s="478"/>
      <c r="D120" s="478"/>
      <c r="E120" s="479"/>
      <c r="F120" s="480"/>
      <c r="AA120" s="480"/>
      <c r="AB120" s="480"/>
      <c r="AC120" s="480"/>
      <c r="AJ120"/>
    </row>
    <row r="121" spans="1:36" ht="11.45">
      <c r="A121" s="478"/>
      <c r="B121" s="478"/>
      <c r="C121" s="478"/>
      <c r="D121" s="478"/>
      <c r="E121" s="479"/>
      <c r="F121" s="480"/>
      <c r="AA121" s="480"/>
      <c r="AB121" s="480"/>
      <c r="AC121" s="480"/>
      <c r="AJ121"/>
    </row>
    <row r="122" spans="1:36" ht="11.45">
      <c r="A122" s="478"/>
      <c r="B122" s="478"/>
      <c r="C122" s="478"/>
      <c r="D122" s="478"/>
      <c r="E122" s="479"/>
      <c r="F122" s="480"/>
      <c r="AA122" s="480"/>
      <c r="AB122" s="480"/>
      <c r="AC122" s="480"/>
      <c r="AJ122"/>
    </row>
    <row r="123" spans="1:36" ht="11.45">
      <c r="A123" s="478"/>
      <c r="B123" s="478"/>
      <c r="C123" s="478"/>
      <c r="D123" s="478"/>
      <c r="E123" s="479"/>
      <c r="F123" s="480"/>
      <c r="AA123" s="480"/>
      <c r="AB123" s="480"/>
      <c r="AC123" s="480"/>
      <c r="AJ123"/>
    </row>
    <row r="124" spans="1:36" ht="11.45">
      <c r="A124" s="478"/>
      <c r="B124" s="478"/>
      <c r="C124" s="478"/>
      <c r="D124" s="478"/>
      <c r="E124" s="479"/>
      <c r="F124" s="480"/>
      <c r="AA124" s="480"/>
      <c r="AB124" s="480"/>
      <c r="AC124" s="480"/>
      <c r="AJ124"/>
    </row>
    <row r="125" spans="1:36" ht="11.45">
      <c r="A125" s="478"/>
      <c r="B125" s="478"/>
      <c r="C125" s="478"/>
      <c r="D125" s="478"/>
      <c r="E125" s="479"/>
      <c r="F125" s="480"/>
      <c r="AA125" s="480"/>
      <c r="AB125" s="480"/>
      <c r="AC125" s="480"/>
      <c r="AJ125"/>
    </row>
    <row r="126" spans="1:36" ht="11.45">
      <c r="A126" s="478"/>
      <c r="B126" s="478"/>
      <c r="C126" s="478"/>
      <c r="D126" s="478"/>
      <c r="E126" s="479"/>
      <c r="F126" s="480"/>
      <c r="AA126" s="480"/>
      <c r="AB126" s="480"/>
      <c r="AC126" s="480"/>
      <c r="AJ126"/>
    </row>
    <row r="127" spans="1:36" ht="11.45">
      <c r="A127" s="478"/>
      <c r="B127" s="478"/>
      <c r="C127" s="478"/>
      <c r="D127" s="478"/>
      <c r="E127" s="479"/>
      <c r="F127" s="480"/>
      <c r="AA127" s="480"/>
      <c r="AB127" s="480"/>
      <c r="AC127" s="480"/>
      <c r="AJ127"/>
    </row>
    <row r="128" spans="1:36" ht="11.45">
      <c r="A128" s="478"/>
      <c r="B128" s="478"/>
      <c r="C128" s="478"/>
      <c r="D128" s="478"/>
      <c r="E128" s="479"/>
      <c r="F128" s="480"/>
      <c r="AA128" s="480"/>
      <c r="AB128" s="480"/>
      <c r="AC128" s="480"/>
      <c r="AJ128"/>
    </row>
    <row r="129" spans="1:36" ht="11.45">
      <c r="A129" s="478"/>
      <c r="B129" s="478"/>
      <c r="C129" s="478"/>
      <c r="D129" s="478"/>
      <c r="E129" s="479"/>
      <c r="F129" s="480"/>
      <c r="AA129" s="480"/>
      <c r="AB129" s="480"/>
      <c r="AC129" s="480"/>
      <c r="AJ129"/>
    </row>
    <row r="130" spans="1:36" ht="11.45">
      <c r="A130" s="478"/>
      <c r="B130" s="478"/>
      <c r="C130" s="478"/>
      <c r="D130" s="478"/>
      <c r="E130" s="479"/>
      <c r="F130" s="480"/>
      <c r="AA130" s="480"/>
      <c r="AB130" s="480"/>
      <c r="AC130" s="480"/>
      <c r="AJ130"/>
    </row>
    <row r="131" spans="1:36" ht="11.45">
      <c r="A131" s="478"/>
      <c r="B131" s="478"/>
      <c r="C131" s="478"/>
      <c r="D131" s="478"/>
      <c r="E131" s="479"/>
      <c r="F131" s="480"/>
      <c r="AA131" s="480"/>
      <c r="AB131" s="480"/>
      <c r="AC131" s="480"/>
      <c r="AJ131"/>
    </row>
    <row r="132" spans="1:36" ht="11.45">
      <c r="A132" s="478"/>
      <c r="B132" s="478"/>
      <c r="C132" s="478"/>
      <c r="D132" s="478"/>
      <c r="E132" s="479"/>
      <c r="F132" s="480"/>
      <c r="AA132" s="480"/>
      <c r="AB132" s="480"/>
      <c r="AC132" s="480"/>
      <c r="AJ132"/>
    </row>
    <row r="133" spans="1:36" ht="11.45">
      <c r="A133" s="478"/>
      <c r="B133" s="478"/>
      <c r="C133" s="478"/>
      <c r="D133" s="478"/>
      <c r="E133" s="479"/>
      <c r="F133" s="480"/>
      <c r="AA133" s="480"/>
      <c r="AB133" s="480"/>
      <c r="AC133" s="480"/>
      <c r="AJ133"/>
    </row>
    <row r="134" spans="1:36" ht="11.45">
      <c r="A134" s="478"/>
      <c r="B134" s="478"/>
      <c r="C134" s="478"/>
      <c r="D134" s="478"/>
      <c r="E134" s="479"/>
      <c r="F134" s="480"/>
      <c r="AA134" s="480"/>
      <c r="AB134" s="480"/>
      <c r="AC134" s="480"/>
      <c r="AJ134"/>
    </row>
    <row r="135" spans="1:36" ht="11.45">
      <c r="A135" s="478"/>
      <c r="B135" s="478"/>
      <c r="C135" s="478"/>
      <c r="D135" s="478"/>
      <c r="E135" s="479"/>
      <c r="F135" s="480"/>
      <c r="AA135" s="480"/>
      <c r="AB135" s="480"/>
      <c r="AC135" s="480"/>
      <c r="AJ135"/>
    </row>
    <row r="136" spans="1:36" ht="11.45">
      <c r="A136" s="478"/>
      <c r="B136" s="478"/>
      <c r="C136" s="478"/>
      <c r="D136" s="478"/>
      <c r="E136" s="479"/>
      <c r="F136" s="480"/>
      <c r="AA136" s="480"/>
      <c r="AB136" s="480"/>
      <c r="AC136" s="480"/>
      <c r="AJ136"/>
    </row>
    <row r="137" spans="1:36" ht="11.45">
      <c r="A137" s="478"/>
      <c r="B137" s="478"/>
      <c r="C137" s="478"/>
      <c r="D137" s="478"/>
      <c r="E137" s="479"/>
      <c r="F137" s="480"/>
      <c r="AA137" s="480"/>
      <c r="AB137" s="480"/>
      <c r="AC137" s="480"/>
      <c r="AJ137"/>
    </row>
    <row r="138" spans="1:36" ht="11.45">
      <c r="A138" s="478"/>
      <c r="B138" s="478"/>
      <c r="C138" s="478"/>
      <c r="D138" s="478"/>
      <c r="E138" s="479"/>
      <c r="F138" s="480"/>
      <c r="AA138" s="480"/>
      <c r="AB138" s="480"/>
      <c r="AC138" s="480"/>
      <c r="AJ138"/>
    </row>
    <row r="139" spans="1:36" ht="11.45">
      <c r="A139" s="478"/>
      <c r="B139" s="478"/>
      <c r="C139" s="478"/>
      <c r="D139" s="478"/>
      <c r="E139" s="479"/>
      <c r="F139" s="480"/>
      <c r="AA139" s="480"/>
      <c r="AB139" s="480"/>
      <c r="AC139" s="480"/>
      <c r="AJ139"/>
    </row>
    <row r="140" spans="1:36" ht="11.45">
      <c r="A140" s="478"/>
      <c r="B140" s="478"/>
      <c r="C140" s="478"/>
      <c r="D140" s="478"/>
      <c r="E140" s="479"/>
      <c r="F140" s="480"/>
      <c r="AA140" s="480"/>
      <c r="AB140" s="480"/>
      <c r="AC140" s="480"/>
      <c r="AJ140"/>
    </row>
    <row r="141" spans="1:36" ht="11.45">
      <c r="A141" s="478"/>
      <c r="B141" s="478"/>
      <c r="C141" s="478"/>
      <c r="D141" s="478"/>
      <c r="E141" s="479"/>
      <c r="F141" s="480"/>
      <c r="AA141" s="480"/>
      <c r="AB141" s="480"/>
      <c r="AC141" s="480"/>
      <c r="AJ141"/>
    </row>
    <row r="142" spans="1:36" ht="11.45">
      <c r="A142" s="478"/>
      <c r="B142" s="478"/>
      <c r="C142" s="478"/>
      <c r="D142" s="478"/>
      <c r="E142" s="479"/>
      <c r="F142" s="480"/>
      <c r="AA142" s="480"/>
      <c r="AB142" s="480"/>
      <c r="AC142" s="480"/>
      <c r="AJ142"/>
    </row>
    <row r="143" spans="1:36" ht="11.45">
      <c r="A143" s="478"/>
      <c r="B143" s="478"/>
      <c r="C143" s="478"/>
      <c r="D143" s="478"/>
      <c r="E143" s="479"/>
      <c r="F143" s="480"/>
      <c r="AA143" s="480"/>
      <c r="AB143" s="480"/>
      <c r="AC143" s="480"/>
      <c r="AJ143"/>
    </row>
    <row r="144" spans="1:36" ht="11.45">
      <c r="A144" s="478"/>
      <c r="B144" s="478"/>
      <c r="C144" s="478"/>
      <c r="D144" s="478"/>
      <c r="E144" s="479"/>
      <c r="F144" s="480"/>
      <c r="AA144" s="480"/>
      <c r="AB144" s="480"/>
      <c r="AC144" s="480"/>
      <c r="AJ144"/>
    </row>
    <row r="145" spans="1:36" ht="11.45">
      <c r="A145" s="478"/>
      <c r="B145" s="478"/>
      <c r="C145" s="478"/>
      <c r="D145" s="478"/>
      <c r="E145" s="479"/>
      <c r="F145" s="480"/>
      <c r="AA145" s="480"/>
      <c r="AB145" s="480"/>
      <c r="AC145" s="480"/>
      <c r="AJ145"/>
    </row>
    <row r="146" spans="1:36" ht="11.45">
      <c r="A146" s="478"/>
      <c r="B146" s="478"/>
      <c r="C146" s="478"/>
      <c r="D146" s="478"/>
      <c r="E146" s="479"/>
      <c r="F146" s="480"/>
      <c r="AA146" s="480"/>
      <c r="AB146" s="480"/>
      <c r="AC146" s="480"/>
      <c r="AJ146"/>
    </row>
    <row r="147" spans="1:36" ht="11.45">
      <c r="A147" s="478"/>
      <c r="B147" s="478"/>
      <c r="C147" s="478"/>
      <c r="D147" s="478"/>
      <c r="E147" s="479"/>
      <c r="F147" s="480"/>
      <c r="AA147" s="480"/>
      <c r="AB147" s="480"/>
      <c r="AC147" s="480"/>
      <c r="AJ147"/>
    </row>
    <row r="148" spans="1:36" ht="11.45">
      <c r="A148" s="478"/>
      <c r="B148" s="478"/>
      <c r="C148" s="478"/>
      <c r="D148" s="478"/>
      <c r="E148" s="479"/>
      <c r="F148" s="480"/>
      <c r="AA148" s="480"/>
      <c r="AB148" s="480"/>
      <c r="AC148" s="480"/>
      <c r="AJ148"/>
    </row>
    <row r="149" spans="1:36" ht="11.45">
      <c r="A149" s="478"/>
      <c r="B149" s="478"/>
      <c r="C149" s="478"/>
      <c r="D149" s="478"/>
      <c r="E149" s="479"/>
      <c r="F149" s="480"/>
      <c r="AA149" s="480"/>
      <c r="AB149" s="480"/>
      <c r="AC149" s="480"/>
      <c r="AJ149"/>
    </row>
    <row r="150" spans="1:36" ht="11.45">
      <c r="A150" s="478"/>
      <c r="B150" s="478"/>
      <c r="C150" s="478"/>
      <c r="D150" s="478"/>
      <c r="E150" s="479"/>
      <c r="F150" s="480"/>
      <c r="AA150" s="480"/>
      <c r="AB150" s="480"/>
      <c r="AC150" s="480"/>
      <c r="AJ150"/>
    </row>
    <row r="151" spans="1:36" ht="11.45">
      <c r="A151" s="478"/>
      <c r="B151" s="478"/>
      <c r="C151" s="478"/>
      <c r="D151" s="478"/>
      <c r="E151" s="479"/>
      <c r="F151" s="480"/>
      <c r="AA151" s="480"/>
      <c r="AB151" s="480"/>
      <c r="AC151" s="480"/>
      <c r="AJ151"/>
    </row>
    <row r="152" spans="1:36" ht="11.45">
      <c r="A152" s="478"/>
      <c r="B152" s="478"/>
      <c r="C152" s="478"/>
      <c r="D152" s="478"/>
      <c r="E152" s="479"/>
      <c r="F152" s="480"/>
      <c r="AA152" s="480"/>
      <c r="AB152" s="480"/>
      <c r="AC152" s="480"/>
      <c r="AJ152"/>
    </row>
    <row r="153" spans="1:36" ht="11.45">
      <c r="A153" s="478"/>
      <c r="B153" s="478"/>
      <c r="C153" s="478"/>
      <c r="D153" s="478"/>
      <c r="E153" s="479"/>
      <c r="F153" s="480"/>
      <c r="AA153" s="480"/>
      <c r="AB153" s="480"/>
      <c r="AC153" s="480"/>
      <c r="AJ153"/>
    </row>
    <row r="154" spans="1:36" ht="11.45">
      <c r="A154" s="478"/>
      <c r="B154" s="478"/>
      <c r="C154" s="478"/>
      <c r="D154" s="478"/>
      <c r="E154" s="479"/>
      <c r="F154" s="480"/>
      <c r="AA154" s="480"/>
      <c r="AB154" s="480"/>
      <c r="AC154" s="480"/>
      <c r="AJ154"/>
    </row>
    <row r="155" spans="1:36" ht="11.45">
      <c r="A155" s="478"/>
      <c r="B155" s="478"/>
      <c r="C155" s="478"/>
      <c r="D155" s="478"/>
      <c r="E155" s="479"/>
      <c r="F155" s="480"/>
      <c r="AA155" s="480"/>
      <c r="AB155" s="480"/>
      <c r="AC155" s="480"/>
      <c r="AJ155"/>
    </row>
    <row r="156" spans="1:36" ht="11.45">
      <c r="A156" s="478"/>
      <c r="B156" s="478"/>
      <c r="C156" s="478"/>
      <c r="D156" s="478"/>
      <c r="E156" s="479"/>
      <c r="F156" s="480"/>
      <c r="AA156" s="480"/>
      <c r="AB156" s="480"/>
      <c r="AC156" s="480"/>
      <c r="AJ156"/>
    </row>
    <row r="157" spans="1:36" ht="11.45">
      <c r="A157" s="478"/>
      <c r="B157" s="478"/>
      <c r="C157" s="478"/>
      <c r="D157" s="478"/>
      <c r="E157" s="479"/>
      <c r="F157" s="480"/>
      <c r="AA157" s="480"/>
      <c r="AB157" s="480"/>
      <c r="AC157" s="480"/>
      <c r="AJ157"/>
    </row>
    <row r="158" spans="1:36" ht="11.45">
      <c r="A158" s="478"/>
      <c r="B158" s="478"/>
      <c r="C158" s="478"/>
      <c r="D158" s="478"/>
      <c r="E158" s="479"/>
      <c r="F158" s="480"/>
      <c r="AA158" s="480"/>
      <c r="AB158" s="480"/>
      <c r="AC158" s="480"/>
      <c r="AJ158"/>
    </row>
    <row r="159" spans="1:36" ht="11.45">
      <c r="A159" s="478"/>
      <c r="B159" s="478"/>
      <c r="C159" s="478"/>
      <c r="D159" s="478"/>
      <c r="E159" s="479"/>
      <c r="F159" s="480"/>
      <c r="AA159" s="480"/>
      <c r="AB159" s="480"/>
      <c r="AC159" s="480"/>
      <c r="AJ159"/>
    </row>
    <row r="160" spans="1:36" ht="11.45">
      <c r="A160" s="478"/>
      <c r="B160" s="478"/>
      <c r="C160" s="478"/>
      <c r="D160" s="478"/>
      <c r="E160" s="479"/>
      <c r="F160" s="480"/>
      <c r="AA160" s="480"/>
      <c r="AB160" s="480"/>
      <c r="AC160" s="480"/>
      <c r="AJ160"/>
    </row>
    <row r="161" spans="1:36" ht="11.45">
      <c r="A161" s="478"/>
      <c r="B161" s="478"/>
      <c r="C161" s="478"/>
      <c r="D161" s="478"/>
      <c r="E161" s="479"/>
      <c r="F161" s="480"/>
      <c r="AA161" s="480"/>
      <c r="AB161" s="480"/>
      <c r="AC161" s="480"/>
      <c r="AJ161"/>
    </row>
    <row r="162" spans="1:36" ht="11.45">
      <c r="A162" s="478"/>
      <c r="B162" s="478"/>
      <c r="C162" s="478"/>
      <c r="D162" s="478"/>
      <c r="E162" s="479"/>
      <c r="F162" s="480"/>
      <c r="AA162" s="480"/>
      <c r="AB162" s="480"/>
      <c r="AC162" s="480"/>
      <c r="AJ162"/>
    </row>
    <row r="163" spans="1:36" ht="11.45">
      <c r="A163" s="478"/>
      <c r="B163" s="478"/>
      <c r="C163" s="478"/>
      <c r="D163" s="478"/>
      <c r="E163" s="479"/>
      <c r="F163" s="480"/>
      <c r="AA163" s="480"/>
      <c r="AB163" s="480"/>
      <c r="AC163" s="480"/>
      <c r="AJ163"/>
    </row>
    <row r="164" spans="1:36" ht="11.45">
      <c r="A164" s="478"/>
      <c r="B164" s="478"/>
      <c r="C164" s="478"/>
      <c r="D164" s="478"/>
      <c r="E164" s="479"/>
      <c r="F164" s="480"/>
      <c r="AA164" s="480"/>
      <c r="AB164" s="480"/>
      <c r="AC164" s="480"/>
      <c r="AJ164"/>
    </row>
    <row r="165" spans="1:36" ht="11.45">
      <c r="A165" s="478"/>
      <c r="B165" s="478"/>
      <c r="C165" s="478"/>
      <c r="D165" s="478"/>
      <c r="E165" s="479"/>
      <c r="F165" s="480"/>
      <c r="AA165" s="480"/>
      <c r="AB165" s="480"/>
      <c r="AC165" s="480"/>
      <c r="AJ165"/>
    </row>
    <row r="166" spans="1:36" ht="11.45">
      <c r="A166" s="478"/>
      <c r="B166" s="478"/>
      <c r="C166" s="478"/>
      <c r="D166" s="478"/>
      <c r="E166" s="479"/>
      <c r="F166" s="480"/>
      <c r="AA166" s="480"/>
      <c r="AB166" s="480"/>
      <c r="AC166" s="480"/>
      <c r="AJ166"/>
    </row>
    <row r="167" spans="1:36" ht="11.45">
      <c r="A167" s="478"/>
      <c r="B167" s="478"/>
      <c r="C167" s="478"/>
      <c r="D167" s="478"/>
      <c r="E167" s="479"/>
      <c r="F167" s="480"/>
      <c r="AA167" s="480"/>
      <c r="AB167" s="480"/>
      <c r="AC167" s="480"/>
      <c r="AJ167"/>
    </row>
    <row r="168" spans="1:36" ht="11.45">
      <c r="A168" s="478"/>
      <c r="B168" s="478"/>
      <c r="C168" s="478"/>
      <c r="D168" s="478"/>
      <c r="E168" s="479"/>
      <c r="F168" s="480"/>
      <c r="AA168" s="480"/>
      <c r="AB168" s="480"/>
      <c r="AC168" s="480"/>
      <c r="AJ168"/>
    </row>
    <row r="169" spans="1:36" ht="11.45">
      <c r="A169" s="478"/>
      <c r="B169" s="478"/>
      <c r="C169" s="478"/>
      <c r="D169" s="478"/>
      <c r="E169" s="479"/>
      <c r="F169" s="480"/>
      <c r="AA169" s="480"/>
      <c r="AB169" s="480"/>
      <c r="AC169" s="480"/>
      <c r="AJ169"/>
    </row>
    <row r="170" spans="1:36" ht="11.45">
      <c r="A170" s="478"/>
      <c r="B170" s="478"/>
      <c r="C170" s="478"/>
      <c r="D170" s="478"/>
      <c r="E170" s="479"/>
      <c r="F170" s="480"/>
      <c r="AA170" s="480"/>
      <c r="AB170" s="480"/>
      <c r="AC170" s="480"/>
      <c r="AJ170"/>
    </row>
    <row r="171" spans="1:36" ht="11.45">
      <c r="A171" s="478"/>
      <c r="B171" s="478"/>
      <c r="C171" s="478"/>
      <c r="D171" s="478"/>
      <c r="E171" s="479"/>
      <c r="F171" s="480"/>
      <c r="AA171" s="480"/>
      <c r="AB171" s="480"/>
      <c r="AC171" s="480"/>
      <c r="AJ171"/>
    </row>
    <row r="172" spans="1:36" ht="11.45">
      <c r="A172" s="478"/>
      <c r="B172" s="478"/>
      <c r="C172" s="478"/>
      <c r="D172" s="478"/>
      <c r="E172" s="479"/>
      <c r="F172" s="480"/>
      <c r="AA172" s="480"/>
      <c r="AB172" s="480"/>
      <c r="AC172" s="480"/>
      <c r="AJ172"/>
    </row>
    <row r="173" spans="1:36" ht="11.45">
      <c r="A173" s="478"/>
      <c r="B173" s="478"/>
      <c r="C173" s="478"/>
      <c r="D173" s="478"/>
      <c r="E173" s="479"/>
      <c r="F173" s="480"/>
      <c r="AA173" s="480"/>
      <c r="AB173" s="480"/>
      <c r="AC173" s="480"/>
      <c r="AJ173"/>
    </row>
    <row r="174" spans="1:36" ht="11.45">
      <c r="A174" s="478"/>
      <c r="B174" s="478"/>
      <c r="C174" s="478"/>
      <c r="D174" s="478"/>
      <c r="E174" s="479"/>
      <c r="F174" s="480"/>
      <c r="AA174" s="480"/>
      <c r="AB174" s="480"/>
      <c r="AC174" s="480"/>
      <c r="AJ174"/>
    </row>
    <row r="175" spans="1:36" ht="11.45">
      <c r="A175" s="478"/>
      <c r="B175" s="478"/>
      <c r="C175" s="478"/>
      <c r="D175" s="478"/>
      <c r="E175" s="479"/>
      <c r="F175" s="480"/>
      <c r="AA175" s="480"/>
      <c r="AB175" s="480"/>
      <c r="AC175" s="480"/>
      <c r="AJ175"/>
    </row>
    <row r="176" spans="1:36" ht="11.45">
      <c r="A176" s="478"/>
      <c r="B176" s="478"/>
      <c r="C176" s="478"/>
      <c r="D176" s="478"/>
      <c r="E176" s="479"/>
      <c r="F176" s="480"/>
      <c r="AA176" s="480"/>
      <c r="AB176" s="480"/>
      <c r="AC176" s="480"/>
      <c r="AJ176"/>
    </row>
    <row r="177" spans="1:36" ht="11.45">
      <c r="A177" s="478"/>
      <c r="B177" s="478"/>
      <c r="C177" s="478"/>
      <c r="D177" s="478"/>
      <c r="E177" s="479"/>
      <c r="F177" s="480"/>
      <c r="AA177" s="480"/>
      <c r="AB177" s="480"/>
      <c r="AC177" s="480"/>
      <c r="AJ177"/>
    </row>
    <row r="178" spans="1:36" ht="11.45">
      <c r="A178" s="478"/>
      <c r="B178" s="478"/>
      <c r="C178" s="478"/>
      <c r="D178" s="478"/>
      <c r="E178" s="479"/>
      <c r="F178" s="480"/>
      <c r="AA178" s="480"/>
      <c r="AB178" s="480"/>
      <c r="AC178" s="480"/>
      <c r="AJ178"/>
    </row>
    <row r="179" spans="1:36" ht="11.45">
      <c r="A179" s="478"/>
      <c r="B179" s="478"/>
      <c r="C179" s="478"/>
      <c r="D179" s="478"/>
      <c r="E179" s="479"/>
      <c r="F179" s="480"/>
      <c r="AA179" s="480"/>
      <c r="AB179" s="480"/>
      <c r="AC179" s="480"/>
      <c r="AJ179"/>
    </row>
    <row r="180" spans="1:36" ht="11.45">
      <c r="A180" s="478"/>
      <c r="B180" s="478"/>
      <c r="C180" s="478"/>
      <c r="D180" s="478"/>
      <c r="E180" s="479"/>
      <c r="F180" s="480"/>
      <c r="AA180" s="480"/>
      <c r="AB180" s="480"/>
      <c r="AC180" s="480"/>
      <c r="AJ180"/>
    </row>
    <row r="181" spans="1:36" ht="11.45">
      <c r="A181" s="478"/>
      <c r="B181" s="478"/>
      <c r="C181" s="478"/>
      <c r="D181" s="478"/>
      <c r="E181" s="479"/>
      <c r="F181" s="480"/>
      <c r="AA181" s="480"/>
      <c r="AB181" s="480"/>
      <c r="AC181" s="480"/>
      <c r="AJ181"/>
    </row>
    <row r="182" spans="1:36" ht="11.45">
      <c r="A182" s="478"/>
      <c r="B182" s="478"/>
      <c r="C182" s="478"/>
      <c r="D182" s="478"/>
      <c r="E182" s="479"/>
      <c r="F182" s="480"/>
      <c r="AA182" s="480"/>
      <c r="AB182" s="480"/>
      <c r="AC182" s="480"/>
      <c r="AJ182"/>
    </row>
    <row r="183" spans="1:36" ht="11.45">
      <c r="A183" s="478"/>
      <c r="B183" s="478"/>
      <c r="C183" s="478"/>
      <c r="D183" s="478"/>
      <c r="E183" s="479"/>
      <c r="F183" s="480"/>
      <c r="AA183" s="480"/>
      <c r="AB183" s="480"/>
      <c r="AC183" s="480"/>
      <c r="AJ183"/>
    </row>
    <row r="184" spans="1:36" ht="11.45">
      <c r="A184" s="478"/>
      <c r="B184" s="478"/>
      <c r="C184" s="478"/>
      <c r="D184" s="478"/>
      <c r="E184" s="479"/>
      <c r="F184" s="480"/>
      <c r="AA184" s="480"/>
      <c r="AB184" s="480"/>
      <c r="AC184" s="480"/>
      <c r="AJ184"/>
    </row>
    <row r="185" spans="1:36" ht="11.45">
      <c r="A185" s="478"/>
      <c r="B185" s="478"/>
      <c r="C185" s="478"/>
      <c r="D185" s="478"/>
      <c r="E185" s="479"/>
      <c r="F185" s="480"/>
      <c r="AA185" s="480"/>
      <c r="AB185" s="480"/>
      <c r="AC185" s="480"/>
      <c r="AJ185"/>
    </row>
    <row r="186" spans="1:36" ht="11.45">
      <c r="A186" s="478"/>
      <c r="B186" s="478"/>
      <c r="C186" s="478"/>
      <c r="D186" s="478"/>
      <c r="E186" s="479"/>
      <c r="F186" s="480"/>
      <c r="AA186" s="480"/>
      <c r="AB186" s="480"/>
      <c r="AC186" s="480"/>
      <c r="AJ186"/>
    </row>
    <row r="187" spans="1:36" ht="11.45">
      <c r="A187" s="478"/>
      <c r="B187" s="478"/>
      <c r="C187" s="478"/>
      <c r="D187" s="478"/>
      <c r="E187" s="479"/>
      <c r="F187" s="480"/>
      <c r="AA187" s="480"/>
      <c r="AB187" s="480"/>
      <c r="AC187" s="480"/>
      <c r="AJ187"/>
    </row>
    <row r="188" spans="1:36" ht="11.45">
      <c r="A188" s="478"/>
      <c r="B188" s="478"/>
      <c r="C188" s="478"/>
      <c r="D188" s="478"/>
      <c r="E188" s="479"/>
      <c r="F188" s="480"/>
      <c r="AA188" s="480"/>
      <c r="AB188" s="480"/>
      <c r="AC188" s="480"/>
      <c r="AJ188"/>
    </row>
    <row r="189" spans="1:36" ht="11.45">
      <c r="A189" s="478"/>
      <c r="B189" s="478"/>
      <c r="C189" s="478"/>
      <c r="D189" s="478"/>
      <c r="E189" s="479"/>
      <c r="F189" s="480"/>
      <c r="AA189" s="480"/>
      <c r="AB189" s="480"/>
      <c r="AC189" s="480"/>
      <c r="AJ189"/>
    </row>
    <row r="190" spans="1:36" ht="11.45">
      <c r="A190" s="478"/>
      <c r="B190" s="478"/>
      <c r="C190" s="478"/>
      <c r="D190" s="478"/>
      <c r="E190" s="479"/>
      <c r="F190" s="480"/>
      <c r="AA190" s="480"/>
      <c r="AB190" s="480"/>
      <c r="AC190" s="480"/>
      <c r="AJ190"/>
    </row>
    <row r="191" spans="1:36" ht="11.45">
      <c r="A191" s="478"/>
      <c r="B191" s="478"/>
      <c r="C191" s="478"/>
      <c r="D191" s="478"/>
      <c r="E191" s="479"/>
      <c r="F191" s="480"/>
      <c r="AA191" s="480"/>
      <c r="AB191" s="480"/>
      <c r="AC191" s="480"/>
      <c r="AJ191"/>
    </row>
    <row r="192" spans="1:36" ht="11.45">
      <c r="A192" s="478"/>
      <c r="B192" s="478"/>
      <c r="C192" s="478"/>
      <c r="D192" s="478"/>
      <c r="E192" s="479"/>
      <c r="F192" s="480"/>
      <c r="AA192" s="480"/>
      <c r="AB192" s="480"/>
      <c r="AC192" s="480"/>
      <c r="AJ192"/>
    </row>
    <row r="193" spans="1:36" ht="11.45">
      <c r="A193" s="478"/>
      <c r="B193" s="478"/>
      <c r="C193" s="478"/>
      <c r="D193" s="478"/>
      <c r="E193" s="479"/>
      <c r="F193" s="480"/>
      <c r="AA193" s="480"/>
      <c r="AB193" s="480"/>
      <c r="AC193" s="480"/>
      <c r="AJ193"/>
    </row>
    <row r="194" spans="1:36" ht="11.45">
      <c r="A194" s="478"/>
      <c r="B194" s="478"/>
      <c r="C194" s="478"/>
      <c r="D194" s="478"/>
      <c r="E194" s="479"/>
      <c r="F194" s="480"/>
      <c r="AA194" s="480"/>
      <c r="AB194" s="480"/>
      <c r="AC194" s="480"/>
      <c r="AJ194"/>
    </row>
    <row r="195" spans="1:36" ht="11.45">
      <c r="A195" s="478"/>
      <c r="B195" s="478"/>
      <c r="C195" s="478"/>
      <c r="D195" s="478"/>
      <c r="E195" s="479"/>
      <c r="F195" s="480"/>
      <c r="AA195" s="480"/>
      <c r="AB195" s="480"/>
      <c r="AC195" s="480"/>
      <c r="AJ195"/>
    </row>
    <row r="196" spans="1:36" ht="11.45">
      <c r="A196" s="478"/>
      <c r="B196" s="478"/>
      <c r="C196" s="478"/>
      <c r="D196" s="478"/>
      <c r="E196" s="479"/>
      <c r="F196" s="480"/>
      <c r="AA196" s="480"/>
      <c r="AB196" s="480"/>
      <c r="AC196" s="480"/>
      <c r="AJ196"/>
    </row>
    <row r="197" spans="1:36" ht="11.45">
      <c r="A197" s="478"/>
      <c r="B197" s="478"/>
      <c r="C197" s="478"/>
      <c r="D197" s="478"/>
      <c r="E197" s="479"/>
      <c r="F197" s="480"/>
      <c r="AA197" s="480"/>
      <c r="AB197" s="480"/>
      <c r="AC197" s="480"/>
      <c r="AJ197"/>
    </row>
    <row r="198" spans="1:36" ht="11.45">
      <c r="A198" s="478"/>
      <c r="B198" s="478"/>
      <c r="C198" s="478"/>
      <c r="D198" s="478"/>
      <c r="E198" s="479"/>
      <c r="F198" s="480"/>
      <c r="AA198" s="480"/>
      <c r="AB198" s="480"/>
      <c r="AC198" s="480"/>
      <c r="AJ198"/>
    </row>
    <row r="199" spans="1:36" ht="11.45">
      <c r="A199" s="478"/>
      <c r="B199" s="478"/>
      <c r="C199" s="478"/>
      <c r="D199" s="478"/>
      <c r="E199" s="479"/>
      <c r="F199" s="480"/>
      <c r="AA199" s="480"/>
      <c r="AB199" s="480"/>
      <c r="AC199" s="480"/>
      <c r="AJ199"/>
    </row>
    <row r="200" spans="1:36" ht="11.45">
      <c r="A200" s="478"/>
      <c r="B200" s="478"/>
      <c r="C200" s="478"/>
      <c r="D200" s="478"/>
      <c r="E200" s="479"/>
      <c r="F200" s="480"/>
      <c r="AA200" s="480"/>
      <c r="AB200" s="480"/>
      <c r="AC200" s="480"/>
      <c r="AJ200"/>
    </row>
    <row r="201" spans="1:36" ht="11.45">
      <c r="A201" s="478"/>
      <c r="B201" s="478"/>
      <c r="C201" s="478"/>
      <c r="D201" s="478"/>
      <c r="E201" s="479"/>
      <c r="F201" s="480"/>
      <c r="AA201" s="480"/>
      <c r="AB201" s="480"/>
      <c r="AC201" s="480"/>
      <c r="AJ201"/>
    </row>
    <row r="202" spans="1:36" ht="11.45">
      <c r="A202" s="478"/>
      <c r="B202" s="478"/>
      <c r="C202" s="478"/>
      <c r="D202" s="478"/>
      <c r="E202" s="479"/>
      <c r="F202" s="480"/>
      <c r="AA202" s="480"/>
      <c r="AB202" s="480"/>
      <c r="AC202" s="480"/>
      <c r="AJ202"/>
    </row>
    <row r="203" spans="1:36" ht="11.45">
      <c r="A203" s="478"/>
      <c r="B203" s="478"/>
      <c r="C203" s="478"/>
      <c r="D203" s="478"/>
      <c r="E203" s="479"/>
      <c r="F203" s="480"/>
      <c r="AA203" s="480"/>
      <c r="AB203" s="480"/>
      <c r="AC203" s="480"/>
      <c r="AJ203"/>
    </row>
    <row r="204" spans="1:36" ht="11.45">
      <c r="A204" s="478"/>
      <c r="B204" s="478"/>
      <c r="C204" s="478"/>
      <c r="D204" s="478"/>
      <c r="E204" s="479"/>
      <c r="F204" s="480"/>
      <c r="AA204" s="480"/>
      <c r="AB204" s="480"/>
      <c r="AC204" s="480"/>
      <c r="AJ204"/>
    </row>
    <row r="205" spans="1:36" ht="11.45">
      <c r="A205" s="478"/>
      <c r="B205" s="478"/>
      <c r="C205" s="478"/>
      <c r="D205" s="478"/>
      <c r="E205" s="479"/>
      <c r="F205" s="480"/>
      <c r="AA205" s="480"/>
      <c r="AB205" s="480"/>
      <c r="AC205" s="480"/>
      <c r="AJ205"/>
    </row>
    <row r="206" spans="1:36" ht="11.45">
      <c r="A206" s="478"/>
      <c r="B206" s="478"/>
      <c r="C206" s="478"/>
      <c r="D206" s="478"/>
      <c r="E206" s="479"/>
      <c r="F206" s="480"/>
      <c r="AA206" s="480"/>
      <c r="AB206" s="480"/>
      <c r="AC206" s="480"/>
      <c r="AJ206"/>
    </row>
    <row r="207" spans="1:36" ht="11.45">
      <c r="A207" s="478"/>
      <c r="B207" s="478"/>
      <c r="C207" s="478"/>
      <c r="D207" s="478"/>
      <c r="E207" s="479"/>
      <c r="F207" s="480"/>
      <c r="AA207" s="480"/>
      <c r="AB207" s="480"/>
      <c r="AC207" s="480"/>
      <c r="AJ207"/>
    </row>
    <row r="208" spans="1:36" ht="11.45">
      <c r="A208" s="478"/>
      <c r="B208" s="478"/>
      <c r="C208" s="478"/>
      <c r="D208" s="478"/>
      <c r="E208" s="479"/>
      <c r="F208" s="480"/>
      <c r="AA208" s="480"/>
      <c r="AB208" s="480"/>
      <c r="AC208" s="480"/>
      <c r="AJ208"/>
    </row>
    <row r="209" spans="1:36" ht="11.45">
      <c r="A209" s="478"/>
      <c r="B209" s="478"/>
      <c r="C209" s="478"/>
      <c r="D209" s="478"/>
      <c r="E209" s="479"/>
      <c r="F209" s="480"/>
      <c r="AA209" s="480"/>
      <c r="AB209" s="480"/>
      <c r="AC209" s="480"/>
      <c r="AJ209"/>
    </row>
    <row r="210" spans="1:36" ht="11.45">
      <c r="A210" s="478"/>
      <c r="B210" s="478"/>
      <c r="C210" s="478"/>
      <c r="D210" s="478"/>
      <c r="E210" s="479"/>
      <c r="F210" s="480"/>
      <c r="AA210" s="480"/>
      <c r="AB210" s="480"/>
      <c r="AC210" s="480"/>
      <c r="AJ210"/>
    </row>
    <row r="211" spans="1:36" ht="11.45">
      <c r="A211" s="478"/>
      <c r="B211" s="478"/>
      <c r="C211" s="478"/>
      <c r="D211" s="478"/>
      <c r="E211" s="479"/>
      <c r="F211" s="480"/>
      <c r="AA211" s="480"/>
      <c r="AB211" s="480"/>
      <c r="AC211" s="480"/>
      <c r="AJ211"/>
    </row>
    <row r="212" spans="1:36" ht="11.45">
      <c r="A212" s="478"/>
      <c r="B212" s="478"/>
      <c r="C212" s="478"/>
      <c r="D212" s="478"/>
      <c r="E212" s="479"/>
      <c r="F212" s="480"/>
      <c r="AA212" s="480"/>
      <c r="AB212" s="480"/>
      <c r="AC212" s="480"/>
      <c r="AJ212"/>
    </row>
    <row r="213" spans="1:36" ht="11.45">
      <c r="A213" s="478"/>
      <c r="B213" s="478"/>
      <c r="C213" s="478"/>
      <c r="D213" s="478"/>
      <c r="E213" s="479"/>
      <c r="F213" s="480"/>
      <c r="AA213" s="480"/>
      <c r="AB213" s="480"/>
      <c r="AC213" s="480"/>
      <c r="AJ213"/>
    </row>
    <row r="214" spans="1:36" ht="11.45">
      <c r="A214" s="478"/>
      <c r="B214" s="478"/>
      <c r="C214" s="478"/>
      <c r="D214" s="478"/>
      <c r="E214" s="479"/>
      <c r="F214" s="480"/>
      <c r="AA214" s="480"/>
      <c r="AB214" s="480"/>
      <c r="AC214" s="480"/>
      <c r="AJ214"/>
    </row>
    <row r="215" spans="1:36" ht="11.45">
      <c r="A215" s="478"/>
      <c r="B215" s="478"/>
      <c r="C215" s="478"/>
      <c r="D215" s="478"/>
      <c r="E215" s="479"/>
      <c r="F215" s="480"/>
      <c r="AA215" s="480"/>
      <c r="AB215" s="480"/>
      <c r="AC215" s="480"/>
      <c r="AJ215"/>
    </row>
    <row r="216" spans="1:36" ht="11.45">
      <c r="A216" s="478"/>
      <c r="B216" s="478"/>
      <c r="C216" s="478"/>
      <c r="D216" s="478"/>
      <c r="E216" s="479"/>
      <c r="F216" s="480"/>
      <c r="AA216" s="480"/>
      <c r="AB216" s="480"/>
      <c r="AC216" s="480"/>
      <c r="AJ216"/>
    </row>
    <row r="217" spans="1:36" ht="11.45">
      <c r="A217" s="478"/>
      <c r="B217" s="478"/>
      <c r="C217" s="478"/>
      <c r="D217" s="478"/>
      <c r="E217" s="479"/>
      <c r="F217" s="480"/>
      <c r="AA217" s="480"/>
      <c r="AB217" s="480"/>
      <c r="AC217" s="480"/>
      <c r="AJ217"/>
    </row>
    <row r="218" spans="1:36" ht="11.45">
      <c r="A218" s="478"/>
      <c r="B218" s="478"/>
      <c r="C218" s="478"/>
      <c r="D218" s="478"/>
      <c r="E218" s="479"/>
      <c r="F218" s="480"/>
      <c r="AA218" s="480"/>
      <c r="AB218" s="480"/>
      <c r="AC218" s="480"/>
      <c r="AJ218"/>
    </row>
    <row r="219" spans="1:36" ht="11.45">
      <c r="A219" s="478"/>
      <c r="B219" s="478"/>
      <c r="C219" s="478"/>
      <c r="D219" s="478"/>
      <c r="E219" s="479"/>
      <c r="F219" s="480"/>
      <c r="AA219" s="480"/>
      <c r="AB219" s="480"/>
      <c r="AC219" s="480"/>
      <c r="AJ219"/>
    </row>
    <row r="220" spans="1:36" ht="11.45">
      <c r="A220" s="478"/>
      <c r="B220" s="478"/>
      <c r="C220" s="478"/>
      <c r="D220" s="478"/>
      <c r="E220" s="479"/>
      <c r="F220" s="480"/>
      <c r="AA220" s="480"/>
      <c r="AB220" s="480"/>
      <c r="AC220" s="480"/>
      <c r="AJ220"/>
    </row>
    <row r="221" spans="1:36" ht="11.45">
      <c r="A221" s="478"/>
      <c r="B221" s="478"/>
      <c r="C221" s="478"/>
      <c r="D221" s="478"/>
      <c r="E221" s="479"/>
      <c r="F221" s="480"/>
      <c r="AA221" s="480"/>
      <c r="AB221" s="480"/>
      <c r="AC221" s="480"/>
      <c r="AJ221"/>
    </row>
    <row r="222" spans="1:36" ht="11.45">
      <c r="A222" s="478"/>
      <c r="B222" s="478"/>
      <c r="C222" s="478"/>
      <c r="D222" s="478"/>
      <c r="E222" s="479"/>
      <c r="F222" s="480"/>
      <c r="AA222" s="480"/>
      <c r="AB222" s="480"/>
      <c r="AC222" s="480"/>
      <c r="AJ222"/>
    </row>
    <row r="223" spans="1:36" ht="11.45">
      <c r="A223" s="478"/>
      <c r="B223" s="478"/>
      <c r="C223" s="478"/>
      <c r="D223" s="478"/>
      <c r="E223" s="479"/>
      <c r="F223" s="480"/>
      <c r="AA223" s="480"/>
      <c r="AB223" s="480"/>
      <c r="AC223" s="480"/>
      <c r="AJ223"/>
    </row>
    <row r="224" spans="1:36" ht="11.45">
      <c r="A224" s="478"/>
      <c r="B224" s="478"/>
      <c r="C224" s="478"/>
      <c r="D224" s="478"/>
      <c r="E224" s="479"/>
      <c r="F224" s="480"/>
      <c r="AA224" s="480"/>
      <c r="AB224" s="480"/>
      <c r="AC224" s="480"/>
      <c r="AJ224"/>
    </row>
    <row r="225" spans="1:36" ht="11.45">
      <c r="A225" s="478"/>
      <c r="B225" s="478"/>
      <c r="C225" s="478"/>
      <c r="D225" s="478"/>
      <c r="E225" s="479"/>
      <c r="F225" s="480"/>
      <c r="AA225" s="480"/>
      <c r="AB225" s="480"/>
      <c r="AC225" s="480"/>
      <c r="AJ225"/>
    </row>
    <row r="226" spans="1:36" ht="11.45">
      <c r="A226" s="478"/>
      <c r="B226" s="478"/>
      <c r="C226" s="478"/>
      <c r="D226" s="478"/>
      <c r="E226" s="479"/>
      <c r="F226" s="480"/>
      <c r="AA226" s="480"/>
      <c r="AB226" s="480"/>
      <c r="AC226" s="480"/>
      <c r="AJ226"/>
    </row>
    <row r="227" spans="1:36" ht="11.45">
      <c r="A227" s="478"/>
      <c r="B227" s="478"/>
      <c r="C227" s="478"/>
      <c r="D227" s="478"/>
      <c r="E227" s="479"/>
      <c r="F227" s="480"/>
      <c r="AA227" s="480"/>
      <c r="AB227" s="480"/>
      <c r="AC227" s="480"/>
      <c r="AJ227"/>
    </row>
    <row r="228" spans="1:36" ht="11.45">
      <c r="A228" s="478"/>
      <c r="B228" s="478"/>
      <c r="C228" s="478"/>
      <c r="D228" s="478"/>
      <c r="E228" s="479"/>
      <c r="F228" s="480"/>
      <c r="AA228" s="480"/>
      <c r="AB228" s="480"/>
      <c r="AC228" s="480"/>
      <c r="AJ228"/>
    </row>
    <row r="229" spans="1:36" ht="11.45">
      <c r="A229" s="478"/>
      <c r="B229" s="478"/>
      <c r="C229" s="478"/>
      <c r="D229" s="478"/>
      <c r="E229" s="479"/>
      <c r="F229" s="480"/>
      <c r="AA229" s="480"/>
      <c r="AB229" s="480"/>
      <c r="AC229" s="480"/>
      <c r="AJ229"/>
    </row>
    <row r="230" spans="1:36" ht="11.45">
      <c r="A230" s="478"/>
      <c r="B230" s="478"/>
      <c r="C230" s="478"/>
      <c r="D230" s="478"/>
      <c r="E230" s="479"/>
      <c r="F230" s="480"/>
      <c r="AA230" s="480"/>
      <c r="AB230" s="480"/>
      <c r="AC230" s="480"/>
      <c r="AJ230"/>
    </row>
    <row r="231" spans="1:36" ht="11.45">
      <c r="A231" s="478"/>
      <c r="B231" s="478"/>
      <c r="C231" s="478"/>
      <c r="D231" s="478"/>
      <c r="E231" s="479"/>
      <c r="F231" s="480"/>
      <c r="AA231" s="480"/>
      <c r="AB231" s="480"/>
      <c r="AC231" s="480"/>
      <c r="AJ231"/>
    </row>
    <row r="232" spans="1:36" ht="11.45">
      <c r="A232" s="478"/>
      <c r="B232" s="478"/>
      <c r="C232" s="478"/>
      <c r="D232" s="478"/>
      <c r="E232" s="479"/>
      <c r="F232" s="480"/>
      <c r="AA232" s="480"/>
      <c r="AB232" s="480"/>
      <c r="AC232" s="480"/>
      <c r="AJ232"/>
    </row>
    <row r="233" spans="1:36" ht="11.45">
      <c r="A233" s="478"/>
      <c r="B233" s="478"/>
      <c r="C233" s="478"/>
      <c r="D233" s="478"/>
      <c r="E233" s="479"/>
      <c r="F233" s="480"/>
      <c r="AA233" s="480"/>
      <c r="AB233" s="480"/>
      <c r="AC233" s="480"/>
      <c r="AJ233"/>
    </row>
    <row r="234" spans="1:36" ht="11.45">
      <c r="A234" s="478"/>
      <c r="B234" s="478"/>
      <c r="C234" s="478"/>
      <c r="D234" s="478"/>
      <c r="E234" s="479"/>
      <c r="F234" s="480"/>
      <c r="AA234" s="480"/>
      <c r="AB234" s="480"/>
      <c r="AC234" s="480"/>
      <c r="AJ234"/>
    </row>
    <row r="235" spans="1:36" ht="11.45">
      <c r="A235" s="478"/>
      <c r="B235" s="478"/>
      <c r="C235" s="478"/>
      <c r="D235" s="478"/>
      <c r="E235" s="479"/>
      <c r="F235" s="480"/>
      <c r="AA235" s="480"/>
      <c r="AB235" s="480"/>
      <c r="AC235" s="480"/>
      <c r="AJ235"/>
    </row>
    <row r="236" spans="1:36" ht="11.45">
      <c r="A236" s="478"/>
      <c r="B236" s="478"/>
      <c r="C236" s="478"/>
      <c r="D236" s="478"/>
      <c r="E236" s="479"/>
      <c r="F236" s="480"/>
      <c r="AA236" s="480"/>
      <c r="AB236" s="480"/>
      <c r="AC236" s="480"/>
      <c r="AJ236"/>
    </row>
    <row r="237" spans="1:36" ht="11.45">
      <c r="A237" s="478"/>
      <c r="B237" s="478"/>
      <c r="C237" s="478"/>
      <c r="D237" s="478"/>
      <c r="E237" s="479"/>
      <c r="F237" s="480"/>
      <c r="AA237" s="480"/>
      <c r="AB237" s="480"/>
      <c r="AC237" s="480"/>
      <c r="AJ237"/>
    </row>
    <row r="238" spans="1:36" ht="11.45">
      <c r="A238" s="478"/>
      <c r="B238" s="478"/>
      <c r="C238" s="478"/>
      <c r="D238" s="478"/>
      <c r="E238" s="479"/>
      <c r="F238" s="480"/>
      <c r="AA238" s="480"/>
      <c r="AB238" s="480"/>
      <c r="AC238" s="480"/>
      <c r="AJ238"/>
    </row>
    <row r="239" spans="1:36" ht="11.45">
      <c r="A239" s="478"/>
      <c r="B239" s="478"/>
      <c r="C239" s="478"/>
      <c r="D239" s="478"/>
      <c r="E239" s="479"/>
      <c r="F239" s="480"/>
      <c r="AA239" s="480"/>
      <c r="AB239" s="480"/>
      <c r="AC239" s="480"/>
      <c r="AJ239"/>
    </row>
    <row r="240" spans="1:36" ht="11.45">
      <c r="A240" s="478"/>
      <c r="B240" s="478"/>
      <c r="C240" s="478"/>
      <c r="D240" s="478"/>
      <c r="E240" s="479"/>
      <c r="F240" s="480"/>
      <c r="AA240" s="480"/>
      <c r="AB240" s="480"/>
      <c r="AC240" s="480"/>
      <c r="AJ240"/>
    </row>
    <row r="241" spans="1:36" ht="11.45">
      <c r="A241" s="478"/>
      <c r="B241" s="478"/>
      <c r="C241" s="478"/>
      <c r="D241" s="478"/>
      <c r="E241" s="479"/>
      <c r="F241" s="480"/>
      <c r="AA241" s="480"/>
      <c r="AB241" s="480"/>
      <c r="AC241" s="480"/>
      <c r="AJ241"/>
    </row>
    <row r="242" spans="1:36" ht="11.45">
      <c r="A242" s="478"/>
      <c r="B242" s="478"/>
      <c r="C242" s="478"/>
      <c r="D242" s="478"/>
      <c r="E242" s="479"/>
      <c r="F242" s="480"/>
      <c r="AA242" s="480"/>
      <c r="AB242" s="480"/>
      <c r="AC242" s="480"/>
      <c r="AJ242"/>
    </row>
    <row r="243" spans="1:36" ht="11.45">
      <c r="A243" s="478"/>
      <c r="B243" s="478"/>
      <c r="C243" s="478"/>
      <c r="D243" s="478"/>
      <c r="E243" s="479"/>
      <c r="F243" s="480"/>
      <c r="AA243" s="480"/>
      <c r="AB243" s="480"/>
      <c r="AC243" s="480"/>
      <c r="AJ243"/>
    </row>
    <row r="244" spans="1:36" ht="11.45">
      <c r="A244" s="478"/>
      <c r="B244" s="478"/>
      <c r="C244" s="478"/>
      <c r="D244" s="478"/>
      <c r="E244" s="479"/>
      <c r="F244" s="480"/>
      <c r="AA244" s="480"/>
      <c r="AB244" s="480"/>
      <c r="AC244" s="480"/>
      <c r="AJ244"/>
    </row>
    <row r="245" spans="1:36" ht="11.45">
      <c r="A245" s="478"/>
      <c r="B245" s="478"/>
      <c r="C245" s="478"/>
      <c r="D245" s="478"/>
      <c r="E245" s="479"/>
      <c r="F245" s="480"/>
      <c r="AA245" s="480"/>
      <c r="AB245" s="480"/>
      <c r="AC245" s="480"/>
      <c r="AJ245"/>
    </row>
    <row r="246" spans="1:36" ht="11.45">
      <c r="A246" s="478"/>
      <c r="B246" s="478"/>
      <c r="C246" s="478"/>
      <c r="D246" s="478"/>
      <c r="E246" s="479"/>
      <c r="F246" s="480"/>
      <c r="AA246" s="480"/>
      <c r="AB246" s="480"/>
      <c r="AC246" s="480"/>
      <c r="AJ246"/>
    </row>
    <row r="247" spans="1:36" ht="11.45">
      <c r="A247" s="478"/>
      <c r="B247" s="478"/>
      <c r="C247" s="478"/>
      <c r="D247" s="478"/>
      <c r="E247" s="479"/>
      <c r="F247" s="480"/>
      <c r="AA247" s="480"/>
      <c r="AB247" s="480"/>
      <c r="AC247" s="480"/>
      <c r="AJ247"/>
    </row>
    <row r="248" spans="1:36" ht="11.45">
      <c r="A248" s="478"/>
      <c r="B248" s="478"/>
      <c r="C248" s="478"/>
      <c r="D248" s="478"/>
      <c r="E248" s="479"/>
      <c r="F248" s="480"/>
      <c r="AA248" s="480"/>
      <c r="AB248" s="480"/>
      <c r="AC248" s="480"/>
      <c r="AJ248"/>
    </row>
    <row r="249" spans="1:36" ht="11.45">
      <c r="A249" s="478"/>
      <c r="B249" s="478"/>
      <c r="C249" s="478"/>
      <c r="D249" s="478"/>
      <c r="E249" s="479"/>
      <c r="F249" s="480"/>
      <c r="AA249" s="480"/>
      <c r="AB249" s="480"/>
      <c r="AC249" s="480"/>
      <c r="AJ249"/>
    </row>
    <row r="250" spans="1:36" ht="11.45">
      <c r="A250" s="478"/>
      <c r="B250" s="478"/>
      <c r="C250" s="478"/>
      <c r="D250" s="478"/>
      <c r="E250" s="479"/>
      <c r="F250" s="480"/>
      <c r="AA250" s="480"/>
      <c r="AB250" s="480"/>
      <c r="AC250" s="480"/>
      <c r="AJ250"/>
    </row>
    <row r="251" spans="1:36" ht="11.45">
      <c r="A251" s="478"/>
      <c r="B251" s="478"/>
      <c r="C251" s="478"/>
      <c r="D251" s="478"/>
      <c r="E251" s="479"/>
      <c r="F251" s="480"/>
      <c r="AA251" s="480"/>
      <c r="AB251" s="480"/>
      <c r="AC251" s="480"/>
      <c r="AJ251"/>
    </row>
    <row r="252" spans="1:36" ht="11.45">
      <c r="A252" s="478"/>
      <c r="B252" s="478"/>
      <c r="C252" s="478"/>
      <c r="D252" s="478"/>
      <c r="E252" s="479"/>
      <c r="F252" s="480"/>
      <c r="AA252" s="480"/>
      <c r="AB252" s="480"/>
      <c r="AC252" s="480"/>
      <c r="AJ252"/>
    </row>
    <row r="253" spans="1:36" ht="11.45">
      <c r="A253" s="478"/>
      <c r="B253" s="478"/>
      <c r="C253" s="478"/>
      <c r="D253" s="478"/>
      <c r="E253" s="479"/>
      <c r="F253" s="480"/>
      <c r="AA253" s="480"/>
      <c r="AB253" s="480"/>
      <c r="AC253" s="480"/>
      <c r="AJ253"/>
    </row>
    <row r="254" spans="1:36" ht="11.45">
      <c r="A254" s="478"/>
      <c r="B254" s="478"/>
      <c r="C254" s="478"/>
      <c r="D254" s="478"/>
      <c r="E254" s="479"/>
      <c r="F254" s="480"/>
      <c r="AA254" s="480"/>
      <c r="AB254" s="480"/>
      <c r="AC254" s="480"/>
      <c r="AJ254"/>
    </row>
    <row r="255" spans="1:36" ht="11.45">
      <c r="A255" s="478"/>
      <c r="B255" s="478"/>
      <c r="C255" s="478"/>
      <c r="D255" s="478"/>
      <c r="E255" s="479"/>
      <c r="F255" s="480"/>
      <c r="AA255" s="480"/>
      <c r="AB255" s="480"/>
      <c r="AC255" s="480"/>
      <c r="AJ255"/>
    </row>
    <row r="256" spans="1:36" ht="11.45">
      <c r="A256" s="478"/>
      <c r="B256" s="478"/>
      <c r="C256" s="478"/>
      <c r="D256" s="478"/>
      <c r="E256" s="479"/>
      <c r="F256" s="480"/>
      <c r="AA256" s="480"/>
      <c r="AB256" s="480"/>
      <c r="AC256" s="480"/>
      <c r="AJ256"/>
    </row>
    <row r="257" spans="1:36" ht="11.45">
      <c r="A257" s="478"/>
      <c r="B257" s="478"/>
      <c r="C257" s="478"/>
      <c r="D257" s="478"/>
      <c r="E257" s="479"/>
      <c r="F257" s="480"/>
      <c r="AA257" s="480"/>
      <c r="AB257" s="480"/>
      <c r="AC257" s="480"/>
      <c r="AJ257"/>
    </row>
    <row r="258" spans="1:36" ht="11.45">
      <c r="A258" s="478"/>
      <c r="B258" s="478"/>
      <c r="C258" s="478"/>
      <c r="D258" s="478"/>
      <c r="E258" s="479"/>
      <c r="F258" s="480"/>
      <c r="AA258" s="480"/>
      <c r="AB258" s="480"/>
      <c r="AC258" s="480"/>
      <c r="AJ258"/>
    </row>
    <row r="259" spans="1:36" ht="11.45">
      <c r="A259" s="478"/>
      <c r="B259" s="478"/>
      <c r="C259" s="478"/>
      <c r="D259" s="478"/>
      <c r="E259" s="479"/>
      <c r="F259" s="480"/>
      <c r="AA259" s="480"/>
      <c r="AB259" s="480"/>
      <c r="AC259" s="480"/>
      <c r="AJ259"/>
    </row>
    <row r="260" spans="1:36" ht="11.45">
      <c r="A260" s="478"/>
      <c r="B260" s="478"/>
      <c r="C260" s="478"/>
      <c r="D260" s="478"/>
      <c r="E260" s="479"/>
      <c r="F260" s="480"/>
      <c r="AA260" s="480"/>
      <c r="AB260" s="480"/>
      <c r="AC260" s="480"/>
      <c r="AJ260"/>
    </row>
    <row r="261" spans="1:36" ht="11.45">
      <c r="A261" s="478"/>
      <c r="B261" s="478"/>
      <c r="C261" s="478"/>
      <c r="D261" s="478"/>
      <c r="E261" s="479"/>
      <c r="F261" s="480"/>
      <c r="AA261" s="480"/>
      <c r="AB261" s="480"/>
      <c r="AC261" s="480"/>
      <c r="AJ261"/>
    </row>
    <row r="262" spans="1:36" ht="11.45">
      <c r="A262" s="478"/>
      <c r="B262" s="478"/>
      <c r="C262" s="478"/>
      <c r="D262" s="478"/>
      <c r="E262" s="479"/>
      <c r="F262" s="480"/>
      <c r="AA262" s="480"/>
      <c r="AB262" s="480"/>
      <c r="AC262" s="480"/>
      <c r="AJ262"/>
    </row>
    <row r="263" spans="1:36" ht="11.45">
      <c r="A263" s="478"/>
      <c r="B263" s="478"/>
      <c r="C263" s="478"/>
      <c r="D263" s="478"/>
      <c r="E263" s="479"/>
      <c r="F263" s="480"/>
      <c r="AA263" s="480"/>
      <c r="AB263" s="480"/>
      <c r="AC263" s="480"/>
      <c r="AJ263"/>
    </row>
    <row r="264" spans="1:36" ht="11.45">
      <c r="A264" s="478"/>
      <c r="B264" s="478"/>
      <c r="C264" s="478"/>
      <c r="D264" s="478"/>
      <c r="E264" s="479"/>
      <c r="F264" s="480"/>
      <c r="AA264" s="480"/>
      <c r="AB264" s="480"/>
      <c r="AC264" s="480"/>
      <c r="AJ264"/>
    </row>
    <row r="265" spans="1:36" ht="11.45">
      <c r="A265" s="478"/>
      <c r="B265" s="478"/>
      <c r="C265" s="478"/>
      <c r="D265" s="478"/>
      <c r="E265" s="479"/>
      <c r="F265" s="480"/>
      <c r="AA265" s="480"/>
      <c r="AB265" s="480"/>
      <c r="AC265" s="480"/>
      <c r="AJ265"/>
    </row>
    <row r="266" spans="1:36" ht="11.45">
      <c r="A266" s="478"/>
      <c r="B266" s="478"/>
      <c r="C266" s="478"/>
      <c r="D266" s="478"/>
      <c r="E266" s="479"/>
      <c r="F266" s="480"/>
      <c r="AA266" s="480"/>
      <c r="AB266" s="480"/>
      <c r="AC266" s="480"/>
      <c r="AJ266"/>
    </row>
    <row r="267" spans="1:36" ht="11.45">
      <c r="A267" s="478"/>
      <c r="B267" s="478"/>
      <c r="C267" s="478"/>
      <c r="D267" s="478"/>
      <c r="E267" s="479"/>
      <c r="F267" s="480"/>
      <c r="AA267" s="480"/>
      <c r="AB267" s="480"/>
      <c r="AC267" s="480"/>
      <c r="AJ267"/>
    </row>
    <row r="268" spans="1:36" ht="11.45">
      <c r="A268" s="478"/>
      <c r="B268" s="478"/>
      <c r="C268" s="478"/>
      <c r="D268" s="478"/>
      <c r="E268" s="479"/>
      <c r="F268" s="480"/>
      <c r="AA268" s="480"/>
      <c r="AB268" s="480"/>
      <c r="AC268" s="480"/>
      <c r="AJ268"/>
    </row>
    <row r="269" spans="1:36" ht="11.45">
      <c r="A269" s="478"/>
      <c r="B269" s="478"/>
      <c r="C269" s="478"/>
      <c r="D269" s="478"/>
      <c r="E269" s="479"/>
      <c r="F269" s="480"/>
      <c r="AA269" s="480"/>
      <c r="AB269" s="480"/>
      <c r="AC269" s="480"/>
      <c r="AJ269"/>
    </row>
    <row r="270" spans="1:36" ht="11.45">
      <c r="A270" s="478"/>
      <c r="B270" s="478"/>
      <c r="C270" s="478"/>
      <c r="D270" s="478"/>
      <c r="E270" s="479"/>
      <c r="F270" s="480"/>
      <c r="AA270" s="480"/>
      <c r="AB270" s="480"/>
      <c r="AC270" s="480"/>
      <c r="AJ270"/>
    </row>
    <row r="271" spans="1:36" ht="11.45">
      <c r="A271" s="478"/>
      <c r="B271" s="478"/>
      <c r="C271" s="478"/>
      <c r="D271" s="478"/>
      <c r="E271" s="479"/>
      <c r="F271" s="480"/>
      <c r="AA271" s="480"/>
      <c r="AB271" s="480"/>
      <c r="AC271" s="480"/>
      <c r="AJ271"/>
    </row>
    <row r="272" spans="1:36" ht="11.45">
      <c r="A272" s="478"/>
      <c r="B272" s="478"/>
      <c r="C272" s="478"/>
      <c r="D272" s="478"/>
      <c r="E272" s="479"/>
      <c r="F272" s="480"/>
      <c r="AA272" s="480"/>
      <c r="AB272" s="480"/>
      <c r="AC272" s="480"/>
      <c r="AJ272"/>
    </row>
    <row r="273" spans="1:36" ht="11.45">
      <c r="A273" s="478"/>
      <c r="B273" s="478"/>
      <c r="C273" s="478"/>
      <c r="D273" s="478"/>
      <c r="E273" s="479"/>
      <c r="F273" s="480"/>
      <c r="AA273" s="480"/>
      <c r="AB273" s="480"/>
      <c r="AC273" s="480"/>
      <c r="AJ273"/>
    </row>
    <row r="274" spans="1:36" ht="11.45">
      <c r="A274" s="478"/>
      <c r="B274" s="478"/>
      <c r="C274" s="478"/>
      <c r="D274" s="478"/>
      <c r="E274" s="479"/>
      <c r="F274" s="480"/>
      <c r="AA274" s="480"/>
      <c r="AB274" s="480"/>
      <c r="AC274" s="480"/>
      <c r="AJ274"/>
    </row>
    <row r="275" spans="1:36" ht="11.45">
      <c r="A275" s="478"/>
      <c r="B275" s="478"/>
      <c r="C275" s="478"/>
      <c r="D275" s="478"/>
      <c r="E275" s="479"/>
      <c r="F275" s="480"/>
      <c r="AA275" s="480"/>
      <c r="AB275" s="480"/>
      <c r="AC275" s="480"/>
      <c r="AJ275"/>
    </row>
    <row r="276" spans="1:36" ht="11.45">
      <c r="A276" s="478"/>
      <c r="B276" s="478"/>
      <c r="C276" s="478"/>
      <c r="D276" s="478"/>
      <c r="E276" s="479"/>
      <c r="F276" s="480"/>
      <c r="AA276" s="480"/>
      <c r="AB276" s="480"/>
      <c r="AC276" s="480"/>
      <c r="AJ276"/>
    </row>
    <row r="277" spans="1:36" ht="11.45">
      <c r="A277" s="478"/>
      <c r="B277" s="478"/>
      <c r="C277" s="478"/>
      <c r="D277" s="478"/>
      <c r="E277" s="479"/>
      <c r="F277" s="480"/>
      <c r="AA277" s="480"/>
      <c r="AB277" s="480"/>
      <c r="AC277" s="480"/>
      <c r="AJ277"/>
    </row>
    <row r="278" spans="1:36" ht="11.45">
      <c r="A278" s="478"/>
      <c r="B278" s="478"/>
      <c r="C278" s="478"/>
      <c r="D278" s="478"/>
      <c r="E278" s="479"/>
      <c r="F278" s="480"/>
      <c r="AA278" s="480"/>
      <c r="AB278" s="480"/>
      <c r="AC278" s="480"/>
      <c r="AJ278"/>
    </row>
    <row r="279" spans="1:36" ht="11.45">
      <c r="A279" s="478"/>
      <c r="B279" s="478"/>
      <c r="C279" s="478"/>
      <c r="D279" s="478"/>
      <c r="E279" s="479"/>
      <c r="F279" s="480"/>
      <c r="AA279" s="480"/>
      <c r="AB279" s="480"/>
      <c r="AC279" s="480"/>
      <c r="AJ279"/>
    </row>
    <row r="280" spans="1:36" ht="11.45">
      <c r="A280" s="478"/>
      <c r="B280" s="478"/>
      <c r="C280" s="478"/>
      <c r="D280" s="478"/>
      <c r="E280" s="479"/>
      <c r="F280" s="480"/>
      <c r="AA280" s="480"/>
      <c r="AB280" s="480"/>
      <c r="AC280" s="480"/>
      <c r="AJ280"/>
    </row>
    <row r="281" spans="1:36" ht="11.45">
      <c r="A281" s="478"/>
      <c r="B281" s="478"/>
      <c r="C281" s="478"/>
      <c r="D281" s="478"/>
      <c r="E281" s="479"/>
      <c r="F281" s="480"/>
      <c r="AA281" s="480"/>
      <c r="AB281" s="480"/>
      <c r="AC281" s="480"/>
      <c r="AJ281"/>
    </row>
    <row r="282" spans="1:36" ht="11.45">
      <c r="A282" s="478"/>
      <c r="B282" s="478"/>
      <c r="C282" s="478"/>
      <c r="D282" s="478"/>
      <c r="E282" s="479"/>
      <c r="F282" s="480"/>
      <c r="AA282" s="480"/>
      <c r="AB282" s="480"/>
      <c r="AC282" s="480"/>
      <c r="AJ282"/>
    </row>
    <row r="283" spans="1:36" ht="11.45">
      <c r="A283" s="478"/>
      <c r="B283" s="478"/>
      <c r="C283" s="478"/>
      <c r="D283" s="478"/>
      <c r="E283" s="479"/>
      <c r="F283" s="480"/>
      <c r="AA283" s="480"/>
      <c r="AB283" s="480"/>
      <c r="AC283" s="480"/>
      <c r="AJ283"/>
    </row>
    <row r="284" spans="1:36" ht="11.45">
      <c r="A284" s="478"/>
      <c r="B284" s="478"/>
      <c r="C284" s="478"/>
      <c r="D284" s="478"/>
      <c r="E284" s="479"/>
      <c r="F284" s="480"/>
      <c r="AA284" s="480"/>
      <c r="AB284" s="480"/>
      <c r="AC284" s="480"/>
      <c r="AJ284"/>
    </row>
    <row r="285" spans="1:36" ht="11.45">
      <c r="A285" s="478"/>
      <c r="B285" s="478"/>
      <c r="C285" s="478"/>
      <c r="D285" s="478"/>
      <c r="E285" s="479"/>
      <c r="F285" s="480"/>
      <c r="AA285" s="480"/>
      <c r="AB285" s="480"/>
      <c r="AC285" s="480"/>
      <c r="AJ285"/>
    </row>
    <row r="286" spans="1:36" ht="11.45">
      <c r="A286" s="478"/>
      <c r="B286" s="478"/>
      <c r="C286" s="478"/>
      <c r="D286" s="478"/>
      <c r="E286" s="479"/>
      <c r="F286" s="480"/>
      <c r="AA286" s="480"/>
      <c r="AB286" s="480"/>
      <c r="AC286" s="480"/>
      <c r="AJ286"/>
    </row>
    <row r="287" spans="1:36" ht="11.45">
      <c r="A287" s="478"/>
      <c r="B287" s="478"/>
      <c r="C287" s="478"/>
      <c r="D287" s="478"/>
      <c r="E287" s="479"/>
      <c r="F287" s="480"/>
      <c r="AA287" s="480"/>
      <c r="AB287" s="480"/>
      <c r="AC287" s="480"/>
      <c r="AJ287"/>
    </row>
    <row r="288" spans="1:36" ht="11.45">
      <c r="A288" s="478"/>
      <c r="B288" s="478"/>
      <c r="C288" s="478"/>
      <c r="D288" s="478"/>
      <c r="E288" s="479"/>
      <c r="F288" s="480"/>
      <c r="AA288" s="480"/>
      <c r="AB288" s="480"/>
      <c r="AC288" s="480"/>
      <c r="AJ288"/>
    </row>
    <row r="289" spans="1:36" ht="11.45">
      <c r="A289" s="478"/>
      <c r="B289" s="478"/>
      <c r="C289" s="478"/>
      <c r="D289" s="478"/>
      <c r="E289" s="479"/>
      <c r="F289" s="480"/>
      <c r="AA289" s="480"/>
      <c r="AB289" s="480"/>
      <c r="AC289" s="480"/>
      <c r="AJ289"/>
    </row>
    <row r="290" spans="1:36" ht="11.45">
      <c r="A290" s="478"/>
      <c r="B290" s="478"/>
      <c r="C290" s="478"/>
      <c r="D290" s="478"/>
      <c r="E290" s="479"/>
      <c r="F290" s="480"/>
      <c r="AA290" s="480"/>
      <c r="AB290" s="480"/>
      <c r="AC290" s="480"/>
      <c r="AJ290"/>
    </row>
    <row r="291" spans="1:36" ht="11.45">
      <c r="A291" s="478"/>
      <c r="B291" s="478"/>
      <c r="C291" s="478"/>
      <c r="D291" s="478"/>
      <c r="E291" s="479"/>
      <c r="F291" s="480"/>
      <c r="AA291" s="480"/>
      <c r="AB291" s="480"/>
      <c r="AC291" s="480"/>
      <c r="AJ291"/>
    </row>
    <row r="292" spans="1:36" ht="11.45">
      <c r="B292" s="478"/>
      <c r="AJ292"/>
    </row>
    <row r="293" spans="1:36" ht="11.25" customHeight="1">
      <c r="AJ293"/>
    </row>
    <row r="294" spans="1:36" ht="11.25" customHeight="1">
      <c r="AJ294"/>
    </row>
    <row r="295" spans="1:36" ht="11.25" customHeight="1">
      <c r="AJ295"/>
    </row>
    <row r="296" spans="1:36" ht="11.25" customHeight="1">
      <c r="AJ296"/>
    </row>
    <row r="297" spans="1:36" ht="11.25" customHeight="1">
      <c r="AJ297"/>
    </row>
    <row r="298" spans="1:36" ht="11.25" customHeight="1">
      <c r="AJ298"/>
    </row>
    <row r="299" spans="1:36" ht="11.25" customHeight="1">
      <c r="AJ299"/>
    </row>
    <row r="300" spans="1:36" ht="11.25" customHeight="1">
      <c r="AJ300"/>
    </row>
    <row r="301" spans="1:36" ht="11.25" customHeight="1">
      <c r="AJ301"/>
    </row>
    <row r="302" spans="1:36" ht="11.25" customHeight="1">
      <c r="AJ302"/>
    </row>
    <row r="303" spans="1:36" ht="11.25" customHeight="1">
      <c r="AJ303"/>
    </row>
    <row r="304" spans="1:36" ht="11.25" customHeight="1">
      <c r="AJ304"/>
    </row>
    <row r="305" spans="36:36" ht="11.25" customHeight="1">
      <c r="AJ305"/>
    </row>
    <row r="306" spans="36:36" ht="11.25" customHeight="1">
      <c r="AJ306"/>
    </row>
    <row r="307" spans="36:36" ht="11.25" customHeight="1">
      <c r="AJ307"/>
    </row>
    <row r="308" spans="36:36" ht="11.25" customHeight="1">
      <c r="AJ308"/>
    </row>
    <row r="309" spans="36:36" ht="11.25" customHeight="1">
      <c r="AJ309"/>
    </row>
    <row r="310" spans="36:36" ht="11.25" customHeight="1">
      <c r="AJ310"/>
    </row>
    <row r="311" spans="36:36" ht="11.25" customHeight="1">
      <c r="AJ311"/>
    </row>
    <row r="312" spans="36:36" ht="11.25" customHeight="1">
      <c r="AJ312"/>
    </row>
    <row r="313" spans="36:36" ht="11.25" customHeight="1">
      <c r="AJ313"/>
    </row>
    <row r="314" spans="36:36" ht="11.25" customHeight="1">
      <c r="AJ314"/>
    </row>
    <row r="315" spans="36:36" ht="11.25" customHeight="1">
      <c r="AJ315"/>
    </row>
    <row r="316" spans="36:36" ht="11.25" customHeight="1">
      <c r="AJ316"/>
    </row>
    <row r="317" spans="36:36" ht="11.25" customHeight="1">
      <c r="AJ317"/>
    </row>
    <row r="318" spans="36:36" ht="11.25" customHeight="1">
      <c r="AJ318"/>
    </row>
    <row r="319" spans="36:36" ht="11.25" customHeight="1">
      <c r="AJ319"/>
    </row>
    <row r="320" spans="36:36" ht="11.25" customHeight="1">
      <c r="AJ320"/>
    </row>
    <row r="321" spans="36:36" ht="11.25" customHeight="1">
      <c r="AJ321"/>
    </row>
    <row r="322" spans="36:36" ht="11.25" customHeight="1">
      <c r="AJ322"/>
    </row>
    <row r="323" spans="36:36" ht="11.25" customHeight="1">
      <c r="AJ323"/>
    </row>
    <row r="324" spans="36:36" ht="11.25" customHeight="1">
      <c r="AJ324"/>
    </row>
    <row r="325" spans="36:36" ht="11.25" customHeight="1">
      <c r="AJ325"/>
    </row>
    <row r="326" spans="36:36" ht="11.25" customHeight="1">
      <c r="AJ326"/>
    </row>
    <row r="327" spans="36:36" ht="11.25" customHeight="1">
      <c r="AJ327"/>
    </row>
    <row r="328" spans="36:36" ht="11.25" customHeight="1">
      <c r="AJ328"/>
    </row>
    <row r="329" spans="36:36" ht="11.25" customHeight="1">
      <c r="AJ329"/>
    </row>
    <row r="330" spans="36:36" ht="11.25" customHeight="1">
      <c r="AJ330"/>
    </row>
    <row r="331" spans="36:36" ht="11.25" customHeight="1">
      <c r="AJ331"/>
    </row>
    <row r="332" spans="36:36" ht="11.25" customHeight="1">
      <c r="AJ332"/>
    </row>
    <row r="333" spans="36:36" ht="11.25" customHeight="1">
      <c r="AJ333"/>
    </row>
    <row r="334" spans="36:36" ht="11.25" customHeight="1">
      <c r="AJ334"/>
    </row>
    <row r="335" spans="36:36" ht="11.25" customHeight="1">
      <c r="AJ335"/>
    </row>
    <row r="336" spans="36:36" ht="11.25" customHeight="1">
      <c r="AJ336"/>
    </row>
    <row r="337" spans="36:36" ht="11.25" customHeight="1">
      <c r="AJ337"/>
    </row>
    <row r="338" spans="36:36" ht="11.25" customHeight="1">
      <c r="AJ338"/>
    </row>
    <row r="339" spans="36:36" ht="11.25" customHeight="1">
      <c r="AJ339"/>
    </row>
    <row r="340" spans="36:36" ht="11.25" customHeight="1">
      <c r="AJ340"/>
    </row>
    <row r="341" spans="36:36" ht="11.25" customHeight="1">
      <c r="AJ341"/>
    </row>
    <row r="342" spans="36:36" ht="11.25" customHeight="1">
      <c r="AJ342"/>
    </row>
    <row r="343" spans="36:36" ht="11.25" customHeight="1">
      <c r="AJ343"/>
    </row>
    <row r="344" spans="36:36" ht="11.25" customHeight="1">
      <c r="AJ344"/>
    </row>
    <row r="345" spans="36:36" ht="11.25" customHeight="1">
      <c r="AJ345"/>
    </row>
    <row r="346" spans="36:36" ht="11.25" customHeight="1">
      <c r="AJ346"/>
    </row>
    <row r="347" spans="36:36" ht="11.25" customHeight="1">
      <c r="AJ347"/>
    </row>
    <row r="348" spans="36:36" ht="11.25" customHeight="1">
      <c r="AJ348"/>
    </row>
    <row r="349" spans="36:36" ht="11.25" customHeight="1">
      <c r="AJ349"/>
    </row>
    <row r="350" spans="36:36" ht="11.25" customHeight="1">
      <c r="AJ350"/>
    </row>
    <row r="351" spans="36:36" ht="11.25" customHeight="1">
      <c r="AJ351"/>
    </row>
    <row r="352" spans="36:36" ht="11.25" customHeight="1">
      <c r="AJ352"/>
    </row>
    <row r="353" spans="36:36" ht="11.25" customHeight="1">
      <c r="AJ353"/>
    </row>
    <row r="354" spans="36:36" ht="11.25" customHeight="1">
      <c r="AJ354"/>
    </row>
    <row r="355" spans="36:36" ht="11.25" customHeight="1">
      <c r="AJ355"/>
    </row>
    <row r="356" spans="36:36" ht="11.25" customHeight="1">
      <c r="AJ356"/>
    </row>
    <row r="357" spans="36:36" ht="11.25" customHeight="1">
      <c r="AJ357"/>
    </row>
    <row r="358" spans="36:36" ht="11.25" customHeight="1">
      <c r="AJ358"/>
    </row>
    <row r="359" spans="36:36" ht="11.25" customHeight="1">
      <c r="AJ359"/>
    </row>
    <row r="360" spans="36:36" ht="11.25" customHeight="1">
      <c r="AJ360"/>
    </row>
    <row r="361" spans="36:36" ht="11.25" customHeight="1">
      <c r="AJ361"/>
    </row>
    <row r="362" spans="36:36" ht="11.25" customHeight="1">
      <c r="AJ362"/>
    </row>
    <row r="363" spans="36:36" ht="11.25" customHeight="1">
      <c r="AJ363"/>
    </row>
    <row r="364" spans="36:36" ht="11.25" customHeight="1">
      <c r="AJ364"/>
    </row>
    <row r="365" spans="36:36" ht="11.25" customHeight="1">
      <c r="AJ365"/>
    </row>
    <row r="366" spans="36:36" ht="11.25" customHeight="1">
      <c r="AJ366"/>
    </row>
    <row r="367" spans="36:36" ht="11.25" customHeight="1">
      <c r="AJ367"/>
    </row>
    <row r="368" spans="36:36" ht="11.25" customHeight="1">
      <c r="AJ368"/>
    </row>
    <row r="369" spans="36:36" ht="11.25" customHeight="1">
      <c r="AJ369"/>
    </row>
    <row r="370" spans="36:36" ht="11.25" customHeight="1">
      <c r="AJ370"/>
    </row>
    <row r="371" spans="36:36" ht="11.25" customHeight="1">
      <c r="AJ371"/>
    </row>
    <row r="372" spans="36:36" ht="11.25" customHeight="1">
      <c r="AJ372"/>
    </row>
    <row r="373" spans="36:36" ht="11.25" customHeight="1">
      <c r="AJ373"/>
    </row>
    <row r="374" spans="36:36" ht="11.25" customHeight="1">
      <c r="AJ374"/>
    </row>
    <row r="375" spans="36:36" ht="11.25" customHeight="1">
      <c r="AJ375"/>
    </row>
    <row r="376" spans="36:36" ht="11.25" customHeight="1">
      <c r="AJ376"/>
    </row>
    <row r="377" spans="36:36" ht="11.25" customHeight="1">
      <c r="AJ377"/>
    </row>
    <row r="378" spans="36:36" ht="11.25" customHeight="1">
      <c r="AJ378"/>
    </row>
    <row r="379" spans="36:36" ht="11.25" customHeight="1">
      <c r="AJ379"/>
    </row>
    <row r="380" spans="36:36" ht="11.25" customHeight="1">
      <c r="AJ380"/>
    </row>
    <row r="381" spans="36:36" ht="11.25" customHeight="1">
      <c r="AJ381"/>
    </row>
    <row r="382" spans="36:36" ht="11.25" customHeight="1">
      <c r="AJ382"/>
    </row>
    <row r="383" spans="36:36" ht="11.25" customHeight="1">
      <c r="AJ383"/>
    </row>
    <row r="384" spans="36:36" ht="11.25" customHeight="1">
      <c r="AJ384"/>
    </row>
    <row r="385" spans="36:36" ht="11.25" customHeight="1">
      <c r="AJ385"/>
    </row>
    <row r="386" spans="36:36" ht="11.25" customHeight="1">
      <c r="AJ386"/>
    </row>
    <row r="387" spans="36:36" ht="11.25" customHeight="1">
      <c r="AJ387"/>
    </row>
    <row r="388" spans="36:36" ht="11.25" customHeight="1">
      <c r="AJ388"/>
    </row>
    <row r="389" spans="36:36" ht="11.25" customHeight="1">
      <c r="AJ389"/>
    </row>
    <row r="390" spans="36:36" ht="11.25" customHeight="1">
      <c r="AJ390"/>
    </row>
    <row r="391" spans="36:36" ht="11.25" customHeight="1">
      <c r="AJ391"/>
    </row>
    <row r="392" spans="36:36" ht="11.25" customHeight="1">
      <c r="AJ392"/>
    </row>
    <row r="393" spans="36:36" ht="11.25" customHeight="1">
      <c r="AJ393"/>
    </row>
    <row r="394" spans="36:36" ht="11.25" customHeight="1">
      <c r="AJ394"/>
    </row>
    <row r="395" spans="36:36" ht="11.25" customHeight="1">
      <c r="AJ395"/>
    </row>
    <row r="396" spans="36:36" ht="11.25" customHeight="1">
      <c r="AJ396"/>
    </row>
    <row r="397" spans="36:36" ht="11.25" customHeight="1">
      <c r="AJ397"/>
    </row>
    <row r="398" spans="36:36" ht="11.25" customHeight="1">
      <c r="AJ398"/>
    </row>
    <row r="399" spans="36:36" ht="11.25" customHeight="1">
      <c r="AJ399"/>
    </row>
    <row r="400" spans="36:36" ht="11.25" customHeight="1">
      <c r="AJ400"/>
    </row>
    <row r="401" spans="36:36" ht="11.25" customHeight="1">
      <c r="AJ401"/>
    </row>
    <row r="402" spans="36:36" ht="11.25" customHeight="1">
      <c r="AJ402"/>
    </row>
    <row r="403" spans="36:36" ht="11.25" customHeight="1">
      <c r="AJ403"/>
    </row>
    <row r="404" spans="36:36" ht="11.25" customHeight="1">
      <c r="AJ404"/>
    </row>
    <row r="405" spans="36:36" ht="11.25" customHeight="1">
      <c r="AJ405"/>
    </row>
    <row r="406" spans="36:36" ht="11.25" customHeight="1">
      <c r="AJ406"/>
    </row>
    <row r="407" spans="36:36" ht="11.25" customHeight="1">
      <c r="AJ407"/>
    </row>
    <row r="408" spans="36:36" ht="11.25" customHeight="1">
      <c r="AJ408"/>
    </row>
    <row r="409" spans="36:36" ht="11.25" customHeight="1">
      <c r="AJ409"/>
    </row>
    <row r="410" spans="36:36" ht="11.25" customHeight="1">
      <c r="AJ410"/>
    </row>
    <row r="411" spans="36:36" ht="11.25" customHeight="1">
      <c r="AJ411"/>
    </row>
    <row r="412" spans="36:36" ht="11.25" customHeight="1">
      <c r="AJ412"/>
    </row>
    <row r="413" spans="36:36" ht="11.25" customHeight="1">
      <c r="AJ413"/>
    </row>
    <row r="414" spans="36:36" ht="11.25" customHeight="1">
      <c r="AJ414"/>
    </row>
    <row r="415" spans="36:36" ht="11.25" customHeight="1">
      <c r="AJ415"/>
    </row>
    <row r="416" spans="36:36" ht="11.25" customHeight="1">
      <c r="AJ416"/>
    </row>
    <row r="417" spans="36:36" ht="11.25" customHeight="1">
      <c r="AJ417"/>
    </row>
    <row r="418" spans="36:36" ht="11.25" customHeight="1">
      <c r="AJ418"/>
    </row>
    <row r="419" spans="36:36" ht="11.25" customHeight="1">
      <c r="AJ419"/>
    </row>
    <row r="420" spans="36:36" ht="11.25" customHeight="1">
      <c r="AJ420"/>
    </row>
    <row r="421" spans="36:36" ht="11.25" customHeight="1">
      <c r="AJ421"/>
    </row>
    <row r="422" spans="36:36" ht="11.25" customHeight="1">
      <c r="AJ422"/>
    </row>
    <row r="423" spans="36:36" ht="11.25" customHeight="1">
      <c r="AJ423"/>
    </row>
    <row r="424" spans="36:36" ht="11.25" customHeight="1">
      <c r="AJ424"/>
    </row>
    <row r="425" spans="36:36" ht="11.25" customHeight="1">
      <c r="AJ425"/>
    </row>
    <row r="426" spans="36:36" ht="11.25" customHeight="1">
      <c r="AJ426"/>
    </row>
    <row r="427" spans="36:36" ht="11.25" customHeight="1">
      <c r="AJ427"/>
    </row>
    <row r="428" spans="36:36" ht="11.25" customHeight="1">
      <c r="AJ428"/>
    </row>
    <row r="429" spans="36:36" ht="11.25" customHeight="1">
      <c r="AJ429"/>
    </row>
    <row r="430" spans="36:36" ht="11.25" customHeight="1">
      <c r="AJ430"/>
    </row>
    <row r="431" spans="36:36" ht="11.25" customHeight="1">
      <c r="AJ431"/>
    </row>
    <row r="432" spans="36:36" ht="11.25" customHeight="1">
      <c r="AJ432"/>
    </row>
    <row r="433" spans="36:36" ht="11.25" customHeight="1">
      <c r="AJ433"/>
    </row>
    <row r="434" spans="36:36" ht="11.25" customHeight="1">
      <c r="AJ434"/>
    </row>
    <row r="435" spans="36:36" ht="11.25" customHeight="1">
      <c r="AJ435"/>
    </row>
    <row r="436" spans="36:36" ht="11.25" customHeight="1">
      <c r="AJ436"/>
    </row>
    <row r="437" spans="36:36" ht="11.25" customHeight="1">
      <c r="AJ437"/>
    </row>
    <row r="438" spans="36:36" ht="11.25" customHeight="1">
      <c r="AJ438"/>
    </row>
    <row r="439" spans="36:36" ht="11.25" customHeight="1">
      <c r="AJ439"/>
    </row>
    <row r="440" spans="36:36" ht="11.25" customHeight="1">
      <c r="AJ440"/>
    </row>
    <row r="441" spans="36:36" ht="11.25" customHeight="1">
      <c r="AJ441"/>
    </row>
    <row r="442" spans="36:36" ht="11.25" customHeight="1">
      <c r="AJ442"/>
    </row>
    <row r="443" spans="36:36" ht="11.25" customHeight="1">
      <c r="AJ443"/>
    </row>
    <row r="444" spans="36:36" ht="11.25" customHeight="1">
      <c r="AJ444"/>
    </row>
    <row r="445" spans="36:36" ht="11.25" customHeight="1">
      <c r="AJ445"/>
    </row>
    <row r="446" spans="36:36" ht="11.25" customHeight="1">
      <c r="AJ446"/>
    </row>
    <row r="447" spans="36:36" ht="11.25" customHeight="1">
      <c r="AJ447"/>
    </row>
    <row r="448" spans="36:36" ht="11.25" customHeight="1">
      <c r="AJ448"/>
    </row>
    <row r="449" spans="36:36" ht="11.25" customHeight="1">
      <c r="AJ449"/>
    </row>
    <row r="450" spans="36:36" ht="11.25" customHeight="1">
      <c r="AJ450"/>
    </row>
    <row r="451" spans="36:36" ht="11.25" customHeight="1">
      <c r="AJ451"/>
    </row>
    <row r="452" spans="36:36" ht="11.25" customHeight="1">
      <c r="AJ452"/>
    </row>
    <row r="453" spans="36:36" ht="11.25" customHeight="1">
      <c r="AJ453"/>
    </row>
    <row r="454" spans="36:36" ht="11.25" customHeight="1">
      <c r="AJ454"/>
    </row>
    <row r="455" spans="36:36" ht="11.25" customHeight="1">
      <c r="AJ455"/>
    </row>
    <row r="456" spans="36:36" ht="11.25" customHeight="1">
      <c r="AJ456"/>
    </row>
    <row r="457" spans="36:36" ht="11.25" customHeight="1">
      <c r="AJ457"/>
    </row>
    <row r="458" spans="36:36" ht="11.25" customHeight="1">
      <c r="AJ458"/>
    </row>
    <row r="459" spans="36:36" ht="11.25" customHeight="1">
      <c r="AJ459"/>
    </row>
    <row r="460" spans="36:36" ht="11.25" customHeight="1">
      <c r="AJ460"/>
    </row>
    <row r="461" spans="36:36" ht="11.25" customHeight="1">
      <c r="AJ461"/>
    </row>
    <row r="462" spans="36:36" ht="11.25" customHeight="1">
      <c r="AJ462"/>
    </row>
    <row r="463" spans="36:36" ht="11.25" customHeight="1">
      <c r="AJ463"/>
    </row>
    <row r="464" spans="36:36" ht="11.25" customHeight="1">
      <c r="AJ464"/>
    </row>
    <row r="465" spans="36:36" ht="11.25" customHeight="1">
      <c r="AJ465"/>
    </row>
    <row r="466" spans="36:36" ht="11.25" customHeight="1">
      <c r="AJ466"/>
    </row>
    <row r="467" spans="36:36" ht="11.25" customHeight="1">
      <c r="AJ467"/>
    </row>
    <row r="468" spans="36:36" ht="11.25" customHeight="1">
      <c r="AJ468"/>
    </row>
    <row r="469" spans="36:36" ht="11.25" customHeight="1">
      <c r="AJ469"/>
    </row>
    <row r="470" spans="36:36" ht="11.25" customHeight="1">
      <c r="AJ470"/>
    </row>
    <row r="471" spans="36:36" ht="11.25" customHeight="1">
      <c r="AJ471"/>
    </row>
    <row r="472" spans="36:36" ht="11.25" customHeight="1">
      <c r="AJ472"/>
    </row>
    <row r="473" spans="36:36" ht="11.25" customHeight="1">
      <c r="AJ473"/>
    </row>
    <row r="474" spans="36:36" ht="11.25" customHeight="1">
      <c r="AJ474"/>
    </row>
    <row r="475" spans="36:36" ht="11.25" customHeight="1">
      <c r="AJ475"/>
    </row>
    <row r="476" spans="36:36" ht="11.25" customHeight="1">
      <c r="AJ476"/>
    </row>
    <row r="477" spans="36:36" ht="11.25" customHeight="1">
      <c r="AJ477"/>
    </row>
    <row r="478" spans="36:36" ht="11.25" customHeight="1">
      <c r="AJ478"/>
    </row>
    <row r="479" spans="36:36" ht="11.25" customHeight="1">
      <c r="AJ479"/>
    </row>
    <row r="480" spans="36:36" ht="11.25" customHeight="1">
      <c r="AJ480"/>
    </row>
    <row r="481" spans="36:36" ht="11.25" customHeight="1">
      <c r="AJ481"/>
    </row>
    <row r="482" spans="36:36" ht="11.25" customHeight="1">
      <c r="AJ482"/>
    </row>
    <row r="483" spans="36:36" ht="11.25" customHeight="1">
      <c r="AJ483"/>
    </row>
    <row r="484" spans="36:36" ht="11.25" customHeight="1">
      <c r="AJ484"/>
    </row>
    <row r="485" spans="36:36" ht="11.25" customHeight="1">
      <c r="AJ485"/>
    </row>
    <row r="486" spans="36:36" ht="11.25" customHeight="1">
      <c r="AJ486"/>
    </row>
    <row r="487" spans="36:36" ht="11.25" customHeight="1">
      <c r="AJ487"/>
    </row>
    <row r="488" spans="36:36" ht="11.25" customHeight="1">
      <c r="AJ488"/>
    </row>
    <row r="489" spans="36:36" ht="11.25" customHeight="1">
      <c r="AJ489"/>
    </row>
    <row r="490" spans="36:36" ht="11.25" customHeight="1">
      <c r="AJ490"/>
    </row>
    <row r="491" spans="36:36" ht="11.25" customHeight="1">
      <c r="AJ491"/>
    </row>
    <row r="492" spans="36:36" ht="11.25" customHeight="1">
      <c r="AJ492"/>
    </row>
    <row r="493" spans="36:36" ht="11.25" customHeight="1">
      <c r="AJ493"/>
    </row>
    <row r="494" spans="36:36" ht="11.25" customHeight="1">
      <c r="AJ494"/>
    </row>
    <row r="495" spans="36:36" ht="11.25" customHeight="1">
      <c r="AJ495"/>
    </row>
    <row r="496" spans="36:36" ht="11.25" customHeight="1">
      <c r="AJ496"/>
    </row>
    <row r="497" spans="36:36" ht="11.25" customHeight="1">
      <c r="AJ497"/>
    </row>
    <row r="498" spans="36:36" ht="11.25" customHeight="1">
      <c r="AJ498"/>
    </row>
    <row r="499" spans="36:36" ht="11.25" customHeight="1">
      <c r="AJ499"/>
    </row>
    <row r="500" spans="36:36" ht="11.25" customHeight="1">
      <c r="AJ500"/>
    </row>
    <row r="501" spans="36:36" ht="11.25" customHeight="1">
      <c r="AJ501"/>
    </row>
    <row r="502" spans="36:36" ht="11.25" customHeight="1">
      <c r="AJ502"/>
    </row>
    <row r="503" spans="36:36" ht="11.25" customHeight="1">
      <c r="AJ503"/>
    </row>
    <row r="504" spans="36:36" ht="11.25" customHeight="1">
      <c r="AJ504"/>
    </row>
    <row r="505" spans="36:36" ht="11.25" customHeight="1">
      <c r="AJ505"/>
    </row>
    <row r="506" spans="36:36" ht="11.25" customHeight="1">
      <c r="AJ506"/>
    </row>
    <row r="507" spans="36:36" ht="11.25" customHeight="1">
      <c r="AJ507"/>
    </row>
    <row r="508" spans="36:36" ht="11.25" customHeight="1">
      <c r="AJ508"/>
    </row>
    <row r="509" spans="36:36" ht="11.25" customHeight="1">
      <c r="AJ509"/>
    </row>
    <row r="510" spans="36:36" ht="11.25" customHeight="1">
      <c r="AJ510"/>
    </row>
    <row r="511" spans="36:36" ht="11.25" customHeight="1">
      <c r="AJ511"/>
    </row>
    <row r="512" spans="36:36" ht="11.25" customHeight="1">
      <c r="AJ512"/>
    </row>
    <row r="513" spans="36:36" ht="11.25" customHeight="1">
      <c r="AJ513"/>
    </row>
    <row r="514" spans="36:36" ht="11.25" customHeight="1">
      <c r="AJ514"/>
    </row>
    <row r="515" spans="36:36" ht="11.25" customHeight="1">
      <c r="AJ515"/>
    </row>
    <row r="516" spans="36:36" ht="11.25" customHeight="1">
      <c r="AJ516"/>
    </row>
    <row r="517" spans="36:36" ht="11.25" customHeight="1">
      <c r="AJ517"/>
    </row>
    <row r="518" spans="36:36" ht="11.25" customHeight="1">
      <c r="AJ518"/>
    </row>
    <row r="519" spans="36:36" ht="11.25" customHeight="1">
      <c r="AJ519"/>
    </row>
    <row r="520" spans="36:36" ht="11.25" customHeight="1">
      <c r="AJ520"/>
    </row>
    <row r="521" spans="36:36" ht="11.25" customHeight="1">
      <c r="AJ521"/>
    </row>
    <row r="522" spans="36:36" ht="11.25" customHeight="1">
      <c r="AJ522"/>
    </row>
    <row r="523" spans="36:36" ht="11.25" customHeight="1">
      <c r="AJ523"/>
    </row>
    <row r="524" spans="36:36" ht="11.25" customHeight="1">
      <c r="AJ524"/>
    </row>
    <row r="525" spans="36:36" ht="11.25" customHeight="1">
      <c r="AJ525"/>
    </row>
    <row r="526" spans="36:36" ht="11.25" customHeight="1">
      <c r="AJ526"/>
    </row>
    <row r="527" spans="36:36" ht="11.25" customHeight="1">
      <c r="AJ527"/>
    </row>
    <row r="528" spans="36:36" ht="11.25" customHeight="1">
      <c r="AJ528"/>
    </row>
    <row r="529" spans="36:36" ht="11.25" customHeight="1">
      <c r="AJ529"/>
    </row>
    <row r="530" spans="36:36" ht="11.25" customHeight="1">
      <c r="AJ530"/>
    </row>
    <row r="531" spans="36:36" ht="11.25" customHeight="1">
      <c r="AJ531"/>
    </row>
    <row r="532" spans="36:36" ht="11.25" customHeight="1">
      <c r="AJ532"/>
    </row>
    <row r="533" spans="36:36" ht="11.25" customHeight="1">
      <c r="AJ533"/>
    </row>
    <row r="534" spans="36:36" ht="11.25" customHeight="1">
      <c r="AJ534"/>
    </row>
    <row r="535" spans="36:36" ht="11.25" customHeight="1">
      <c r="AJ535"/>
    </row>
    <row r="536" spans="36:36" ht="11.25" customHeight="1">
      <c r="AJ536"/>
    </row>
    <row r="537" spans="36:36" ht="11.25" customHeight="1">
      <c r="AJ537"/>
    </row>
    <row r="538" spans="36:36" ht="11.25" customHeight="1">
      <c r="AJ538"/>
    </row>
    <row r="539" spans="36:36" ht="11.25" customHeight="1">
      <c r="AJ539"/>
    </row>
    <row r="540" spans="36:36" ht="11.25" customHeight="1">
      <c r="AJ540"/>
    </row>
    <row r="541" spans="36:36" ht="11.25" customHeight="1">
      <c r="AJ541"/>
    </row>
    <row r="542" spans="36:36" ht="11.25" customHeight="1">
      <c r="AJ542"/>
    </row>
    <row r="543" spans="36:36" ht="11.25" customHeight="1">
      <c r="AJ543"/>
    </row>
    <row r="544" spans="36:36" ht="11.25" customHeight="1">
      <c r="AJ544"/>
    </row>
    <row r="545" spans="36:36" ht="11.25" customHeight="1">
      <c r="AJ545"/>
    </row>
    <row r="546" spans="36:36" ht="11.25" customHeight="1">
      <c r="AJ546"/>
    </row>
    <row r="547" spans="36:36" ht="11.25" customHeight="1">
      <c r="AJ547"/>
    </row>
    <row r="548" spans="36:36" ht="11.25" customHeight="1">
      <c r="AJ548"/>
    </row>
    <row r="549" spans="36:36" ht="11.25" customHeight="1">
      <c r="AJ549"/>
    </row>
    <row r="550" spans="36:36" ht="11.25" customHeight="1">
      <c r="AJ550"/>
    </row>
    <row r="551" spans="36:36" ht="11.25" customHeight="1">
      <c r="AJ551"/>
    </row>
    <row r="552" spans="36:36" ht="11.25" customHeight="1">
      <c r="AJ552"/>
    </row>
    <row r="553" spans="36:36" ht="11.25" customHeight="1">
      <c r="AJ553"/>
    </row>
    <row r="554" spans="36:36" ht="11.25" customHeight="1">
      <c r="AJ554"/>
    </row>
    <row r="555" spans="36:36" ht="11.25" customHeight="1">
      <c r="AJ555"/>
    </row>
    <row r="556" spans="36:36" ht="11.25" customHeight="1">
      <c r="AJ556"/>
    </row>
    <row r="557" spans="36:36" ht="11.25" customHeight="1">
      <c r="AJ557"/>
    </row>
    <row r="558" spans="36:36" ht="11.25" customHeight="1">
      <c r="AJ558"/>
    </row>
    <row r="559" spans="36:36" ht="11.25" customHeight="1">
      <c r="AJ559"/>
    </row>
    <row r="560" spans="36:36" ht="11.25" customHeight="1">
      <c r="AJ560"/>
    </row>
    <row r="561" spans="36:36" ht="11.25" customHeight="1">
      <c r="AJ561"/>
    </row>
    <row r="562" spans="36:36" ht="11.25" customHeight="1">
      <c r="AJ562"/>
    </row>
    <row r="563" spans="36:36" ht="11.25" customHeight="1">
      <c r="AJ563"/>
    </row>
    <row r="564" spans="36:36" ht="11.25" customHeight="1">
      <c r="AJ564"/>
    </row>
    <row r="565" spans="36:36" ht="11.25" customHeight="1">
      <c r="AJ565"/>
    </row>
    <row r="566" spans="36:36" ht="11.25" customHeight="1">
      <c r="AJ566"/>
    </row>
    <row r="567" spans="36:36" ht="11.25" customHeight="1">
      <c r="AJ567"/>
    </row>
    <row r="568" spans="36:36" ht="11.25" customHeight="1">
      <c r="AJ568"/>
    </row>
    <row r="569" spans="36:36" ht="11.25" customHeight="1">
      <c r="AJ569"/>
    </row>
    <row r="570" spans="36:36" ht="11.25" customHeight="1">
      <c r="AJ570"/>
    </row>
    <row r="571" spans="36:36" ht="11.25" customHeight="1">
      <c r="AJ571"/>
    </row>
    <row r="572" spans="36:36" ht="11.25" customHeight="1">
      <c r="AJ572"/>
    </row>
    <row r="573" spans="36:36" ht="11.25" customHeight="1">
      <c r="AJ573"/>
    </row>
    <row r="574" spans="36:36" ht="11.25" customHeight="1">
      <c r="AJ574"/>
    </row>
    <row r="575" spans="36:36" ht="11.25" customHeight="1">
      <c r="AJ575"/>
    </row>
    <row r="576" spans="36:36" ht="11.25" customHeight="1">
      <c r="AJ576"/>
    </row>
    <row r="577" spans="36:36" ht="11.25" customHeight="1">
      <c r="AJ577"/>
    </row>
    <row r="578" spans="36:36" ht="11.25" customHeight="1">
      <c r="AJ578"/>
    </row>
    <row r="579" spans="36:36" ht="11.25" customHeight="1">
      <c r="AJ579"/>
    </row>
    <row r="580" spans="36:36" ht="11.25" customHeight="1">
      <c r="AJ580"/>
    </row>
    <row r="581" spans="36:36" ht="11.25" customHeight="1">
      <c r="AJ581"/>
    </row>
    <row r="582" spans="36:36" ht="11.25" customHeight="1">
      <c r="AJ582"/>
    </row>
    <row r="583" spans="36:36" ht="11.25" customHeight="1">
      <c r="AJ583"/>
    </row>
    <row r="584" spans="36:36" ht="11.25" customHeight="1">
      <c r="AJ584"/>
    </row>
    <row r="585" spans="36:36" ht="11.25" customHeight="1">
      <c r="AJ585"/>
    </row>
    <row r="586" spans="36:36" ht="11.25" customHeight="1">
      <c r="AJ586"/>
    </row>
    <row r="587" spans="36:36" ht="11.25" customHeight="1">
      <c r="AJ587"/>
    </row>
    <row r="588" spans="36:36" ht="11.25" customHeight="1">
      <c r="AJ588"/>
    </row>
    <row r="589" spans="36:36" ht="11.25" customHeight="1">
      <c r="AJ589"/>
    </row>
    <row r="590" spans="36:36" ht="11.25" customHeight="1">
      <c r="AJ590"/>
    </row>
    <row r="591" spans="36:36" ht="11.25" customHeight="1">
      <c r="AJ591"/>
    </row>
    <row r="592" spans="36:36" ht="11.25" customHeight="1">
      <c r="AJ592"/>
    </row>
    <row r="593" spans="36:36" ht="11.25" customHeight="1">
      <c r="AJ593"/>
    </row>
    <row r="594" spans="36:36" ht="11.25" customHeight="1">
      <c r="AJ594"/>
    </row>
    <row r="595" spans="36:36" ht="11.25" customHeight="1">
      <c r="AJ595"/>
    </row>
    <row r="596" spans="36:36" ht="11.25" customHeight="1">
      <c r="AJ596"/>
    </row>
    <row r="597" spans="36:36" ht="11.25" customHeight="1">
      <c r="AJ597"/>
    </row>
    <row r="598" spans="36:36" ht="11.25" customHeight="1">
      <c r="AJ598"/>
    </row>
    <row r="599" spans="36:36" ht="11.25" customHeight="1">
      <c r="AJ599"/>
    </row>
    <row r="600" spans="36:36" ht="11.25" customHeight="1">
      <c r="AJ600"/>
    </row>
    <row r="601" spans="36:36" ht="11.25" customHeight="1">
      <c r="AJ601"/>
    </row>
    <row r="602" spans="36:36" ht="11.25" customHeight="1">
      <c r="AJ602"/>
    </row>
    <row r="603" spans="36:36" ht="11.25" customHeight="1">
      <c r="AJ603"/>
    </row>
    <row r="604" spans="36:36" ht="11.25" customHeight="1">
      <c r="AJ604"/>
    </row>
    <row r="605" spans="36:36" ht="11.25" customHeight="1">
      <c r="AJ605"/>
    </row>
    <row r="606" spans="36:36" ht="11.25" customHeight="1">
      <c r="AJ606"/>
    </row>
    <row r="607" spans="36:36" ht="11.25" customHeight="1">
      <c r="AJ607"/>
    </row>
    <row r="608" spans="36:36" ht="11.25" customHeight="1">
      <c r="AJ608"/>
    </row>
    <row r="609" spans="36:36" ht="11.25" customHeight="1">
      <c r="AJ609"/>
    </row>
    <row r="610" spans="36:36" ht="11.25" customHeight="1">
      <c r="AJ610"/>
    </row>
    <row r="611" spans="36:36" ht="11.25" customHeight="1">
      <c r="AJ611"/>
    </row>
    <row r="612" spans="36:36" ht="11.25" customHeight="1">
      <c r="AJ612"/>
    </row>
    <row r="613" spans="36:36" ht="11.25" customHeight="1">
      <c r="AJ613"/>
    </row>
    <row r="614" spans="36:36" ht="11.25" customHeight="1">
      <c r="AJ614"/>
    </row>
    <row r="615" spans="36:36" ht="11.25" customHeight="1">
      <c r="AJ615"/>
    </row>
    <row r="616" spans="36:36" ht="11.25" customHeight="1">
      <c r="AJ616"/>
    </row>
    <row r="617" spans="36:36" ht="11.25" customHeight="1">
      <c r="AJ617"/>
    </row>
    <row r="618" spans="36:36" ht="11.25" customHeight="1">
      <c r="AJ618"/>
    </row>
    <row r="619" spans="36:36" ht="11.25" customHeight="1">
      <c r="AJ619"/>
    </row>
    <row r="620" spans="36:36" ht="11.25" customHeight="1">
      <c r="AJ620"/>
    </row>
    <row r="621" spans="36:36" ht="11.25" customHeight="1">
      <c r="AJ621"/>
    </row>
    <row r="622" spans="36:36" ht="11.25" customHeight="1">
      <c r="AJ622"/>
    </row>
    <row r="623" spans="36:36" ht="11.25" customHeight="1">
      <c r="AJ623"/>
    </row>
    <row r="624" spans="36:36" ht="11.25" customHeight="1">
      <c r="AJ624"/>
    </row>
    <row r="625" spans="36:36" ht="11.25" customHeight="1">
      <c r="AJ625"/>
    </row>
    <row r="626" spans="36:36" ht="11.25" customHeight="1">
      <c r="AJ626"/>
    </row>
    <row r="627" spans="36:36" ht="11.25" customHeight="1">
      <c r="AJ627"/>
    </row>
    <row r="628" spans="36:36" ht="11.25" customHeight="1">
      <c r="AJ628"/>
    </row>
    <row r="629" spans="36:36" ht="11.25" customHeight="1">
      <c r="AJ629"/>
    </row>
    <row r="630" spans="36:36" ht="11.25" customHeight="1">
      <c r="AJ630"/>
    </row>
    <row r="631" spans="36:36" ht="11.25" customHeight="1">
      <c r="AJ631"/>
    </row>
    <row r="632" spans="36:36" ht="11.25" customHeight="1">
      <c r="AJ632"/>
    </row>
    <row r="633" spans="36:36" ht="11.25" customHeight="1">
      <c r="AJ633"/>
    </row>
    <row r="634" spans="36:36" ht="11.25" customHeight="1">
      <c r="AJ634"/>
    </row>
    <row r="635" spans="36:36" ht="11.25" customHeight="1">
      <c r="AJ635"/>
    </row>
    <row r="636" spans="36:36" ht="11.25" customHeight="1">
      <c r="AJ636"/>
    </row>
    <row r="637" spans="36:36" ht="11.25" customHeight="1">
      <c r="AJ637"/>
    </row>
    <row r="638" spans="36:36" ht="11.25" customHeight="1">
      <c r="AJ638"/>
    </row>
    <row r="639" spans="36:36" ht="11.25" customHeight="1">
      <c r="AJ639"/>
    </row>
    <row r="640" spans="36:36" ht="11.25" customHeight="1">
      <c r="AJ640"/>
    </row>
    <row r="641" spans="36:36" ht="11.25" customHeight="1">
      <c r="AJ641"/>
    </row>
    <row r="642" spans="36:36" ht="11.25" customHeight="1">
      <c r="AJ642"/>
    </row>
    <row r="643" spans="36:36" ht="11.25" customHeight="1">
      <c r="AJ643"/>
    </row>
    <row r="644" spans="36:36" ht="11.25" customHeight="1">
      <c r="AJ644"/>
    </row>
    <row r="645" spans="36:36" ht="11.25" customHeight="1">
      <c r="AJ645"/>
    </row>
    <row r="646" spans="36:36" ht="11.25" customHeight="1">
      <c r="AJ646"/>
    </row>
    <row r="647" spans="36:36" ht="11.25" customHeight="1">
      <c r="AJ647"/>
    </row>
    <row r="648" spans="36:36" ht="11.25" customHeight="1">
      <c r="AJ648"/>
    </row>
    <row r="649" spans="36:36" ht="11.25" customHeight="1">
      <c r="AJ649"/>
    </row>
    <row r="650" spans="36:36" ht="11.25" customHeight="1">
      <c r="AJ650"/>
    </row>
    <row r="651" spans="36:36" ht="11.25" customHeight="1">
      <c r="AJ651"/>
    </row>
    <row r="652" spans="36:36" ht="11.25" customHeight="1">
      <c r="AJ652"/>
    </row>
    <row r="653" spans="36:36" ht="11.25" customHeight="1">
      <c r="AJ653"/>
    </row>
    <row r="654" spans="36:36" ht="11.25" customHeight="1">
      <c r="AJ654"/>
    </row>
    <row r="655" spans="36:36" ht="11.25" customHeight="1">
      <c r="AJ655"/>
    </row>
    <row r="656" spans="36:36" ht="11.25" customHeight="1">
      <c r="AJ656"/>
    </row>
    <row r="657" spans="36:36" ht="11.25" customHeight="1">
      <c r="AJ657"/>
    </row>
    <row r="658" spans="36:36" ht="11.25" customHeight="1">
      <c r="AJ658"/>
    </row>
    <row r="659" spans="36:36" ht="11.25" customHeight="1">
      <c r="AJ659"/>
    </row>
    <row r="660" spans="36:36" ht="11.25" customHeight="1">
      <c r="AJ660"/>
    </row>
    <row r="661" spans="36:36" ht="11.25" customHeight="1">
      <c r="AJ661"/>
    </row>
    <row r="662" spans="36:36" ht="11.25" customHeight="1">
      <c r="AJ662"/>
    </row>
    <row r="663" spans="36:36" ht="11.25" customHeight="1">
      <c r="AJ663"/>
    </row>
    <row r="664" spans="36:36" ht="11.25" customHeight="1">
      <c r="AJ664"/>
    </row>
    <row r="665" spans="36:36" ht="11.25" customHeight="1">
      <c r="AJ665"/>
    </row>
    <row r="666" spans="36:36" ht="11.25" customHeight="1">
      <c r="AJ666"/>
    </row>
    <row r="667" spans="36:36" ht="11.25" customHeight="1">
      <c r="AJ667"/>
    </row>
    <row r="668" spans="36:36" ht="11.25" customHeight="1">
      <c r="AJ668"/>
    </row>
    <row r="669" spans="36:36" ht="11.25" customHeight="1">
      <c r="AJ669"/>
    </row>
    <row r="670" spans="36:36" ht="11.25" customHeight="1">
      <c r="AJ670"/>
    </row>
    <row r="671" spans="36:36" ht="11.25" customHeight="1">
      <c r="AJ671"/>
    </row>
    <row r="672" spans="36:36" ht="11.25" customHeight="1">
      <c r="AJ672"/>
    </row>
    <row r="673" spans="36:36" ht="11.25" customHeight="1">
      <c r="AJ673"/>
    </row>
    <row r="674" spans="36:36" ht="11.25" customHeight="1">
      <c r="AJ674"/>
    </row>
    <row r="675" spans="36:36" ht="11.25" customHeight="1">
      <c r="AJ675"/>
    </row>
    <row r="676" spans="36:36" ht="11.25" customHeight="1">
      <c r="AJ676"/>
    </row>
    <row r="677" spans="36:36" ht="11.25" customHeight="1">
      <c r="AJ677"/>
    </row>
    <row r="678" spans="36:36" ht="11.25" customHeight="1">
      <c r="AJ678"/>
    </row>
    <row r="679" spans="36:36" ht="11.25" customHeight="1">
      <c r="AJ679"/>
    </row>
    <row r="680" spans="36:36" ht="11.25" customHeight="1">
      <c r="AJ680"/>
    </row>
    <row r="681" spans="36:36" ht="11.25" customHeight="1">
      <c r="AJ681"/>
    </row>
    <row r="682" spans="36:36" ht="11.25" customHeight="1">
      <c r="AJ682"/>
    </row>
    <row r="683" spans="36:36" ht="11.25" customHeight="1">
      <c r="AJ683"/>
    </row>
    <row r="684" spans="36:36" ht="11.25" customHeight="1">
      <c r="AJ684"/>
    </row>
    <row r="685" spans="36:36" ht="11.25" customHeight="1">
      <c r="AJ685"/>
    </row>
    <row r="686" spans="36:36" ht="11.25" customHeight="1">
      <c r="AJ686"/>
    </row>
    <row r="687" spans="36:36" ht="11.25" customHeight="1">
      <c r="AJ687"/>
    </row>
    <row r="688" spans="36:36" ht="11.25" customHeight="1">
      <c r="AJ688"/>
    </row>
    <row r="689" spans="36:36" ht="11.25" customHeight="1">
      <c r="AJ689"/>
    </row>
    <row r="690" spans="36:36" ht="11.25" customHeight="1">
      <c r="AJ690"/>
    </row>
    <row r="691" spans="36:36" ht="11.25" customHeight="1">
      <c r="AJ691"/>
    </row>
    <row r="692" spans="36:36" ht="11.25" customHeight="1">
      <c r="AJ692"/>
    </row>
    <row r="693" spans="36:36" ht="11.25" customHeight="1">
      <c r="AJ693"/>
    </row>
    <row r="694" spans="36:36" ht="11.25" customHeight="1">
      <c r="AJ694"/>
    </row>
    <row r="695" spans="36:36" ht="11.25" customHeight="1">
      <c r="AJ695"/>
    </row>
    <row r="696" spans="36:36" ht="11.25" customHeight="1">
      <c r="AJ696"/>
    </row>
    <row r="697" spans="36:36" ht="11.25" customHeight="1">
      <c r="AJ697"/>
    </row>
    <row r="698" spans="36:36" ht="11.25" customHeight="1">
      <c r="AJ698"/>
    </row>
    <row r="699" spans="36:36" ht="11.25" customHeight="1">
      <c r="AJ699"/>
    </row>
    <row r="700" spans="36:36" ht="11.25" customHeight="1">
      <c r="AJ700"/>
    </row>
    <row r="701" spans="36:36" ht="11.25" customHeight="1">
      <c r="AJ701"/>
    </row>
    <row r="702" spans="36:36" ht="11.25" customHeight="1">
      <c r="AJ702"/>
    </row>
    <row r="703" spans="36:36" ht="11.25" customHeight="1">
      <c r="AJ703"/>
    </row>
    <row r="704" spans="36:36" ht="11.25" customHeight="1">
      <c r="AJ704"/>
    </row>
    <row r="705" spans="36:36" ht="11.25" customHeight="1">
      <c r="AJ705"/>
    </row>
    <row r="706" spans="36:36" ht="11.25" customHeight="1">
      <c r="AJ706"/>
    </row>
    <row r="707" spans="36:36" ht="11.25" customHeight="1">
      <c r="AJ707"/>
    </row>
    <row r="708" spans="36:36" ht="11.25" customHeight="1">
      <c r="AJ708"/>
    </row>
    <row r="709" spans="36:36" ht="11.25" customHeight="1">
      <c r="AJ709"/>
    </row>
    <row r="710" spans="36:36" ht="11.25" customHeight="1">
      <c r="AJ710"/>
    </row>
    <row r="711" spans="36:36" ht="11.25" customHeight="1">
      <c r="AJ711"/>
    </row>
    <row r="712" spans="36:36" ht="11.25" customHeight="1">
      <c r="AJ712"/>
    </row>
    <row r="713" spans="36:36" ht="11.25" customHeight="1">
      <c r="AJ713"/>
    </row>
    <row r="714" spans="36:36" ht="11.25" customHeight="1">
      <c r="AJ714"/>
    </row>
    <row r="715" spans="36:36" ht="11.25" customHeight="1">
      <c r="AJ715"/>
    </row>
    <row r="716" spans="36:36" ht="11.25" customHeight="1">
      <c r="AJ716"/>
    </row>
    <row r="717" spans="36:36" ht="11.25" customHeight="1">
      <c r="AJ717"/>
    </row>
    <row r="718" spans="36:36" ht="11.25" customHeight="1">
      <c r="AJ718"/>
    </row>
    <row r="719" spans="36:36" ht="11.25" customHeight="1">
      <c r="AJ719"/>
    </row>
    <row r="720" spans="36:36" ht="11.25" customHeight="1">
      <c r="AJ720"/>
    </row>
    <row r="721" spans="36:36" ht="11.25" customHeight="1">
      <c r="AJ721"/>
    </row>
    <row r="722" spans="36:36" ht="11.25" customHeight="1">
      <c r="AJ722"/>
    </row>
    <row r="723" spans="36:36" ht="11.25" customHeight="1">
      <c r="AJ723"/>
    </row>
    <row r="724" spans="36:36" ht="11.25" customHeight="1">
      <c r="AJ724"/>
    </row>
    <row r="725" spans="36:36" ht="11.25" customHeight="1">
      <c r="AJ725"/>
    </row>
    <row r="726" spans="36:36" ht="11.25" customHeight="1">
      <c r="AJ726"/>
    </row>
    <row r="727" spans="36:36" ht="11.25" customHeight="1">
      <c r="AJ727"/>
    </row>
    <row r="728" spans="36:36" ht="11.25" customHeight="1">
      <c r="AJ728"/>
    </row>
    <row r="729" spans="36:36" ht="11.25" customHeight="1">
      <c r="AJ729"/>
    </row>
    <row r="730" spans="36:36" ht="11.25" customHeight="1">
      <c r="AJ730"/>
    </row>
    <row r="731" spans="36:36" ht="11.25" customHeight="1">
      <c r="AJ731"/>
    </row>
    <row r="732" spans="36:36" ht="11.25" customHeight="1">
      <c r="AJ732"/>
    </row>
    <row r="733" spans="36:36" ht="11.25" customHeight="1">
      <c r="AJ733"/>
    </row>
    <row r="734" spans="36:36" ht="11.25" customHeight="1">
      <c r="AJ734"/>
    </row>
    <row r="735" spans="36:36" ht="11.25" customHeight="1">
      <c r="AJ735"/>
    </row>
    <row r="736" spans="36:36" ht="11.25" customHeight="1">
      <c r="AJ736"/>
    </row>
    <row r="737" spans="36:36" ht="11.25" customHeight="1">
      <c r="AJ737"/>
    </row>
    <row r="738" spans="36:36" ht="11.25" customHeight="1">
      <c r="AJ738"/>
    </row>
    <row r="739" spans="36:36" ht="11.25" customHeight="1">
      <c r="AJ739"/>
    </row>
    <row r="740" spans="36:36" ht="11.25" customHeight="1">
      <c r="AJ740"/>
    </row>
    <row r="741" spans="36:36" ht="11.25" customHeight="1">
      <c r="AJ741"/>
    </row>
    <row r="742" spans="36:36" ht="11.25" customHeight="1">
      <c r="AJ742"/>
    </row>
    <row r="743" spans="36:36" ht="11.25" customHeight="1">
      <c r="AJ743"/>
    </row>
    <row r="744" spans="36:36" ht="11.25" customHeight="1">
      <c r="AJ744"/>
    </row>
    <row r="745" spans="36:36" ht="11.25" customHeight="1">
      <c r="AJ745"/>
    </row>
    <row r="746" spans="36:36" ht="11.25" customHeight="1">
      <c r="AJ746"/>
    </row>
    <row r="747" spans="36:36" ht="11.25" customHeight="1">
      <c r="AJ747"/>
    </row>
    <row r="748" spans="36:36" ht="11.25" customHeight="1">
      <c r="AJ748"/>
    </row>
    <row r="749" spans="36:36" ht="11.25" customHeight="1">
      <c r="AJ749"/>
    </row>
    <row r="750" spans="36:36" ht="11.25" customHeight="1">
      <c r="AJ750"/>
    </row>
    <row r="751" spans="36:36" ht="11.25" customHeight="1">
      <c r="AJ751"/>
    </row>
    <row r="752" spans="36:36" ht="11.25" customHeight="1">
      <c r="AJ752"/>
    </row>
    <row r="753" spans="36:36" ht="11.25" customHeight="1">
      <c r="AJ753"/>
    </row>
    <row r="754" spans="36:36" ht="11.25" customHeight="1">
      <c r="AJ754"/>
    </row>
    <row r="755" spans="36:36" ht="11.25" customHeight="1">
      <c r="AJ755"/>
    </row>
    <row r="756" spans="36:36" ht="11.25" customHeight="1">
      <c r="AJ756"/>
    </row>
    <row r="757" spans="36:36" ht="11.25" customHeight="1">
      <c r="AJ757"/>
    </row>
    <row r="758" spans="36:36" ht="11.25" customHeight="1">
      <c r="AJ758"/>
    </row>
    <row r="759" spans="36:36" ht="11.25" customHeight="1">
      <c r="AJ759"/>
    </row>
    <row r="760" spans="36:36" ht="11.25" customHeight="1">
      <c r="AJ760"/>
    </row>
    <row r="761" spans="36:36" ht="11.25" customHeight="1">
      <c r="AJ761"/>
    </row>
    <row r="762" spans="36:36" ht="11.25" customHeight="1">
      <c r="AJ762"/>
    </row>
    <row r="763" spans="36:36" ht="11.25" customHeight="1">
      <c r="AJ763"/>
    </row>
    <row r="764" spans="36:36" ht="11.25" customHeight="1">
      <c r="AJ764"/>
    </row>
    <row r="765" spans="36:36" ht="11.25" customHeight="1">
      <c r="AJ765"/>
    </row>
    <row r="766" spans="36:36" ht="11.25" customHeight="1">
      <c r="AJ766"/>
    </row>
    <row r="767" spans="36:36" ht="11.25" customHeight="1">
      <c r="AJ767"/>
    </row>
    <row r="768" spans="36:36" ht="11.25" customHeight="1">
      <c r="AJ768"/>
    </row>
    <row r="769" spans="36:36" ht="11.25" customHeight="1">
      <c r="AJ769"/>
    </row>
    <row r="770" spans="36:36" ht="11.25" customHeight="1">
      <c r="AJ770"/>
    </row>
    <row r="771" spans="36:36" ht="11.25" customHeight="1">
      <c r="AJ771"/>
    </row>
    <row r="772" spans="36:36" ht="11.25" customHeight="1">
      <c r="AJ772"/>
    </row>
    <row r="773" spans="36:36" ht="11.25" customHeight="1">
      <c r="AJ773"/>
    </row>
    <row r="774" spans="36:36" ht="11.25" customHeight="1">
      <c r="AJ774"/>
    </row>
    <row r="775" spans="36:36" ht="11.25" customHeight="1">
      <c r="AJ775"/>
    </row>
    <row r="776" spans="36:36" ht="11.25" customHeight="1">
      <c r="AJ776"/>
    </row>
    <row r="777" spans="36:36" ht="11.25" customHeight="1">
      <c r="AJ777"/>
    </row>
    <row r="778" spans="36:36" ht="11.25" customHeight="1">
      <c r="AJ778"/>
    </row>
    <row r="779" spans="36:36" ht="11.25" customHeight="1">
      <c r="AJ779"/>
    </row>
    <row r="780" spans="36:36" ht="11.25" customHeight="1">
      <c r="AJ780"/>
    </row>
    <row r="781" spans="36:36" ht="11.25" customHeight="1">
      <c r="AJ781"/>
    </row>
    <row r="782" spans="36:36" ht="11.25" customHeight="1">
      <c r="AJ782"/>
    </row>
    <row r="783" spans="36:36" ht="11.25" customHeight="1">
      <c r="AJ783"/>
    </row>
    <row r="784" spans="36:36" ht="11.25" customHeight="1">
      <c r="AJ784"/>
    </row>
    <row r="785" spans="36:36" ht="11.25" customHeight="1">
      <c r="AJ785"/>
    </row>
    <row r="786" spans="36:36" ht="11.25" customHeight="1">
      <c r="AJ786"/>
    </row>
    <row r="787" spans="36:36" ht="11.25" customHeight="1">
      <c r="AJ787"/>
    </row>
    <row r="788" spans="36:36" ht="11.25" customHeight="1">
      <c r="AJ788"/>
    </row>
    <row r="789" spans="36:36" ht="11.25" customHeight="1">
      <c r="AJ789"/>
    </row>
    <row r="790" spans="36:36" ht="11.25" customHeight="1">
      <c r="AJ790"/>
    </row>
    <row r="791" spans="36:36" ht="11.25" customHeight="1">
      <c r="AJ791"/>
    </row>
    <row r="792" spans="36:36" ht="11.25" customHeight="1">
      <c r="AJ792"/>
    </row>
    <row r="793" spans="36:36" ht="11.25" customHeight="1">
      <c r="AJ793"/>
    </row>
    <row r="794" spans="36:36" ht="11.25" customHeight="1">
      <c r="AJ794"/>
    </row>
    <row r="795" spans="36:36" ht="11.25" customHeight="1">
      <c r="AJ795"/>
    </row>
    <row r="796" spans="36:36" ht="11.25" customHeight="1">
      <c r="AJ796"/>
    </row>
    <row r="797" spans="36:36" ht="11.25" customHeight="1">
      <c r="AJ797"/>
    </row>
    <row r="798" spans="36:36" ht="11.25" customHeight="1">
      <c r="AJ798"/>
    </row>
    <row r="799" spans="36:36" ht="11.25" customHeight="1">
      <c r="AJ799"/>
    </row>
    <row r="800" spans="36:36" ht="11.25" customHeight="1">
      <c r="AJ800"/>
    </row>
    <row r="801" spans="36:36" ht="11.25" customHeight="1">
      <c r="AJ801"/>
    </row>
    <row r="802" spans="36:36" ht="11.25" customHeight="1">
      <c r="AJ802"/>
    </row>
    <row r="803" spans="36:36" ht="11.25" customHeight="1">
      <c r="AJ803"/>
    </row>
    <row r="804" spans="36:36" ht="11.25" customHeight="1">
      <c r="AJ804"/>
    </row>
    <row r="805" spans="36:36" ht="11.25" customHeight="1">
      <c r="AJ805"/>
    </row>
    <row r="806" spans="36:36" ht="11.25" customHeight="1">
      <c r="AJ806"/>
    </row>
    <row r="807" spans="36:36" ht="11.25" customHeight="1">
      <c r="AJ807"/>
    </row>
    <row r="808" spans="36:36" ht="11.25" customHeight="1">
      <c r="AJ808"/>
    </row>
    <row r="809" spans="36:36" ht="11.25" customHeight="1">
      <c r="AJ809"/>
    </row>
    <row r="810" spans="36:36" ht="11.25" customHeight="1">
      <c r="AJ810"/>
    </row>
    <row r="811" spans="36:36" ht="11.25" customHeight="1">
      <c r="AJ811"/>
    </row>
    <row r="812" spans="36:36" ht="11.25" customHeight="1">
      <c r="AJ812"/>
    </row>
    <row r="813" spans="36:36" ht="11.25" customHeight="1">
      <c r="AJ813"/>
    </row>
    <row r="814" spans="36:36" ht="11.25" customHeight="1">
      <c r="AJ814"/>
    </row>
    <row r="815" spans="36:36" ht="11.25" customHeight="1">
      <c r="AJ815"/>
    </row>
    <row r="816" spans="36:36" ht="11.25" customHeight="1">
      <c r="AJ816"/>
    </row>
    <row r="817" spans="36:36" ht="11.25" customHeight="1">
      <c r="AJ817"/>
    </row>
    <row r="818" spans="36:36" ht="11.25" customHeight="1">
      <c r="AJ818"/>
    </row>
    <row r="819" spans="36:36" ht="11.25" customHeight="1">
      <c r="AJ819"/>
    </row>
    <row r="820" spans="36:36" ht="11.25" customHeight="1">
      <c r="AJ820"/>
    </row>
    <row r="821" spans="36:36" ht="11.25" customHeight="1">
      <c r="AJ821"/>
    </row>
    <row r="822" spans="36:36" ht="11.25" customHeight="1">
      <c r="AJ822"/>
    </row>
    <row r="823" spans="36:36" ht="11.25" customHeight="1">
      <c r="AJ823"/>
    </row>
    <row r="824" spans="36:36" ht="11.25" customHeight="1">
      <c r="AJ824"/>
    </row>
    <row r="825" spans="36:36" ht="11.25" customHeight="1">
      <c r="AJ825"/>
    </row>
    <row r="826" spans="36:36" ht="11.25" customHeight="1">
      <c r="AJ826"/>
    </row>
    <row r="827" spans="36:36" ht="11.25" customHeight="1">
      <c r="AJ827"/>
    </row>
    <row r="828" spans="36:36" ht="11.25" customHeight="1">
      <c r="AJ828"/>
    </row>
    <row r="829" spans="36:36" ht="11.25" customHeight="1">
      <c r="AJ829"/>
    </row>
    <row r="830" spans="36:36" ht="11.25" customHeight="1">
      <c r="AJ830"/>
    </row>
    <row r="831" spans="36:36" ht="11.25" customHeight="1">
      <c r="AJ831"/>
    </row>
    <row r="832" spans="36:36" ht="11.25" customHeight="1">
      <c r="AJ832"/>
    </row>
    <row r="833" spans="36:36" ht="11.25" customHeight="1">
      <c r="AJ833"/>
    </row>
    <row r="834" spans="36:36" ht="11.25" customHeight="1">
      <c r="AJ834"/>
    </row>
    <row r="835" spans="36:36" ht="11.25" customHeight="1">
      <c r="AJ835"/>
    </row>
    <row r="836" spans="36:36" ht="11.25" customHeight="1">
      <c r="AJ836"/>
    </row>
    <row r="837" spans="36:36" ht="11.25" customHeight="1">
      <c r="AJ837"/>
    </row>
    <row r="838" spans="36:36" ht="11.25" customHeight="1">
      <c r="AJ838"/>
    </row>
    <row r="839" spans="36:36" ht="11.25" customHeight="1">
      <c r="AJ839"/>
    </row>
    <row r="840" spans="36:36" ht="11.25" customHeight="1">
      <c r="AJ840"/>
    </row>
    <row r="841" spans="36:36" ht="11.25" customHeight="1">
      <c r="AJ841"/>
    </row>
    <row r="842" spans="36:36" ht="11.25" customHeight="1">
      <c r="AJ842"/>
    </row>
    <row r="843" spans="36:36" ht="11.25" customHeight="1">
      <c r="AJ843"/>
    </row>
    <row r="844" spans="36:36" ht="11.25" customHeight="1">
      <c r="AJ844"/>
    </row>
    <row r="845" spans="36:36" ht="11.25" customHeight="1">
      <c r="AJ845"/>
    </row>
    <row r="846" spans="36:36" ht="11.25" customHeight="1">
      <c r="AJ846"/>
    </row>
    <row r="847" spans="36:36" ht="11.25" customHeight="1">
      <c r="AJ847"/>
    </row>
    <row r="848" spans="36:36" ht="11.25" customHeight="1">
      <c r="AJ848"/>
    </row>
    <row r="849" spans="36:36" ht="11.25" customHeight="1">
      <c r="AJ849"/>
    </row>
    <row r="850" spans="36:36" ht="11.25" customHeight="1">
      <c r="AJ850"/>
    </row>
    <row r="851" spans="36:36" ht="11.25" customHeight="1">
      <c r="AJ851"/>
    </row>
    <row r="852" spans="36:36" ht="11.25" customHeight="1">
      <c r="AJ852"/>
    </row>
    <row r="853" spans="36:36" ht="11.25" customHeight="1">
      <c r="AJ853"/>
    </row>
    <row r="854" spans="36:36" ht="11.25" customHeight="1">
      <c r="AJ854"/>
    </row>
    <row r="855" spans="36:36" ht="11.25" customHeight="1">
      <c r="AJ855"/>
    </row>
    <row r="856" spans="36:36" ht="11.25" customHeight="1">
      <c r="AJ856"/>
    </row>
    <row r="857" spans="36:36" ht="11.25" customHeight="1">
      <c r="AJ857"/>
    </row>
    <row r="858" spans="36:36" ht="11.25" customHeight="1">
      <c r="AJ858"/>
    </row>
    <row r="859" spans="36:36" ht="11.25" customHeight="1">
      <c r="AJ859"/>
    </row>
    <row r="860" spans="36:36" ht="11.25" customHeight="1">
      <c r="AJ860"/>
    </row>
    <row r="861" spans="36:36" ht="11.25" customHeight="1">
      <c r="AJ861"/>
    </row>
    <row r="862" spans="36:36" ht="11.25" customHeight="1">
      <c r="AJ862"/>
    </row>
    <row r="863" spans="36:36" ht="11.25" customHeight="1">
      <c r="AJ863"/>
    </row>
    <row r="864" spans="36:36" ht="11.25" customHeight="1">
      <c r="AJ864"/>
    </row>
    <row r="865" spans="36:36" ht="11.25" customHeight="1">
      <c r="AJ865"/>
    </row>
    <row r="866" spans="36:36" ht="11.25" customHeight="1">
      <c r="AJ866"/>
    </row>
    <row r="867" spans="36:36" ht="11.25" customHeight="1">
      <c r="AJ867"/>
    </row>
    <row r="868" spans="36:36" ht="11.25" customHeight="1">
      <c r="AJ868"/>
    </row>
    <row r="869" spans="36:36" ht="11.25" customHeight="1">
      <c r="AJ869"/>
    </row>
    <row r="870" spans="36:36" ht="11.25" customHeight="1">
      <c r="AJ870"/>
    </row>
    <row r="871" spans="36:36" ht="11.25" customHeight="1">
      <c r="AJ871"/>
    </row>
    <row r="872" spans="36:36" ht="11.25" customHeight="1">
      <c r="AJ872"/>
    </row>
    <row r="873" spans="36:36" ht="11.25" customHeight="1">
      <c r="AJ873"/>
    </row>
    <row r="874" spans="36:36" ht="11.25" customHeight="1">
      <c r="AJ874"/>
    </row>
    <row r="875" spans="36:36" ht="11.25" customHeight="1">
      <c r="AJ875"/>
    </row>
    <row r="876" spans="36:36" ht="11.25" customHeight="1">
      <c r="AJ876"/>
    </row>
    <row r="877" spans="36:36" ht="11.25" customHeight="1">
      <c r="AJ877"/>
    </row>
    <row r="878" spans="36:36" ht="11.25" customHeight="1">
      <c r="AJ878"/>
    </row>
    <row r="879" spans="36:36" ht="11.25" customHeight="1">
      <c r="AJ879"/>
    </row>
    <row r="880" spans="36:36" ht="11.25" customHeight="1">
      <c r="AJ880"/>
    </row>
    <row r="881" spans="36:36" ht="11.25" customHeight="1">
      <c r="AJ881"/>
    </row>
    <row r="882" spans="36:36" ht="11.25" customHeight="1">
      <c r="AJ882"/>
    </row>
    <row r="883" spans="36:36" ht="11.25" customHeight="1">
      <c r="AJ883"/>
    </row>
    <row r="884" spans="36:36" ht="11.25" customHeight="1">
      <c r="AJ884"/>
    </row>
    <row r="885" spans="36:36" ht="11.25" customHeight="1">
      <c r="AJ885"/>
    </row>
    <row r="886" spans="36:36" ht="11.25" customHeight="1">
      <c r="AJ886"/>
    </row>
    <row r="887" spans="36:36" ht="11.25" customHeight="1">
      <c r="AJ887"/>
    </row>
    <row r="888" spans="36:36" ht="11.25" customHeight="1">
      <c r="AJ888"/>
    </row>
    <row r="889" spans="36:36" ht="11.25" customHeight="1">
      <c r="AJ889"/>
    </row>
    <row r="890" spans="36:36" ht="11.25" customHeight="1">
      <c r="AJ890"/>
    </row>
    <row r="891" spans="36:36" ht="11.25" customHeight="1">
      <c r="AJ891"/>
    </row>
    <row r="892" spans="36:36" ht="11.25" customHeight="1">
      <c r="AJ892"/>
    </row>
    <row r="893" spans="36:36" ht="11.25" customHeight="1">
      <c r="AJ893"/>
    </row>
    <row r="894" spans="36:36" ht="11.25" customHeight="1">
      <c r="AJ894"/>
    </row>
    <row r="895" spans="36:36" ht="11.25" customHeight="1">
      <c r="AJ895"/>
    </row>
    <row r="896" spans="36:36" ht="11.25" customHeight="1">
      <c r="AJ896"/>
    </row>
    <row r="897" spans="36:36" ht="11.25" customHeight="1">
      <c r="AJ897"/>
    </row>
    <row r="898" spans="36:36" ht="11.25" customHeight="1">
      <c r="AJ898"/>
    </row>
    <row r="899" spans="36:36" ht="11.25" customHeight="1">
      <c r="AJ899"/>
    </row>
    <row r="900" spans="36:36" ht="11.25" customHeight="1">
      <c r="AJ900"/>
    </row>
    <row r="901" spans="36:36" ht="11.25" customHeight="1">
      <c r="AJ901"/>
    </row>
    <row r="902" spans="36:36" ht="11.25" customHeight="1">
      <c r="AJ902"/>
    </row>
    <row r="903" spans="36:36" ht="11.25" customHeight="1">
      <c r="AJ903"/>
    </row>
    <row r="904" spans="36:36" ht="11.25" customHeight="1">
      <c r="AJ904"/>
    </row>
    <row r="905" spans="36:36" ht="11.25" customHeight="1">
      <c r="AJ905"/>
    </row>
    <row r="906" spans="36:36" ht="11.25" customHeight="1">
      <c r="AJ906"/>
    </row>
    <row r="907" spans="36:36" ht="11.25" customHeight="1">
      <c r="AJ907"/>
    </row>
    <row r="908" spans="36:36" ht="11.25" customHeight="1">
      <c r="AJ908"/>
    </row>
    <row r="909" spans="36:36" ht="11.25" customHeight="1">
      <c r="AJ909"/>
    </row>
    <row r="910" spans="36:36" ht="11.25" customHeight="1">
      <c r="AJ910"/>
    </row>
    <row r="911" spans="36:36" ht="11.25" customHeight="1">
      <c r="AJ911"/>
    </row>
    <row r="912" spans="36:36" ht="11.25" customHeight="1">
      <c r="AJ912"/>
    </row>
    <row r="913" spans="36:36" ht="11.25" customHeight="1">
      <c r="AJ913"/>
    </row>
    <row r="914" spans="36:36" ht="11.25" customHeight="1">
      <c r="AJ914"/>
    </row>
    <row r="915" spans="36:36" ht="11.25" customHeight="1">
      <c r="AJ915"/>
    </row>
    <row r="916" spans="36:36" ht="11.25" customHeight="1">
      <c r="AJ916"/>
    </row>
    <row r="917" spans="36:36" ht="11.25" customHeight="1">
      <c r="AJ917"/>
    </row>
    <row r="918" spans="36:36" ht="11.25" customHeight="1">
      <c r="AJ918"/>
    </row>
    <row r="919" spans="36:36" ht="11.25" customHeight="1">
      <c r="AJ919"/>
    </row>
    <row r="920" spans="36:36" ht="11.25" customHeight="1">
      <c r="AJ920"/>
    </row>
    <row r="921" spans="36:36" ht="11.25" customHeight="1">
      <c r="AJ921"/>
    </row>
    <row r="922" spans="36:36" ht="11.25" customHeight="1">
      <c r="AJ922"/>
    </row>
    <row r="923" spans="36:36" ht="11.25" customHeight="1">
      <c r="AJ923"/>
    </row>
    <row r="924" spans="36:36" ht="11.25" customHeight="1">
      <c r="AJ924"/>
    </row>
    <row r="925" spans="36:36" ht="11.25" customHeight="1">
      <c r="AJ925"/>
    </row>
    <row r="926" spans="36:36" ht="11.25" customHeight="1">
      <c r="AJ926"/>
    </row>
    <row r="927" spans="36:36" ht="11.25" customHeight="1">
      <c r="AJ927"/>
    </row>
    <row r="928" spans="36:36" ht="11.25" customHeight="1">
      <c r="AJ928"/>
    </row>
    <row r="929" spans="36:36" ht="11.25" customHeight="1">
      <c r="AJ929"/>
    </row>
    <row r="930" spans="36:36" ht="11.25" customHeight="1">
      <c r="AJ930"/>
    </row>
    <row r="931" spans="36:36" ht="11.25" customHeight="1">
      <c r="AJ931"/>
    </row>
    <row r="932" spans="36:36" ht="11.25" customHeight="1">
      <c r="AJ932"/>
    </row>
    <row r="933" spans="36:36" ht="11.25" customHeight="1">
      <c r="AJ933"/>
    </row>
    <row r="934" spans="36:36" ht="11.25" customHeight="1">
      <c r="AJ934"/>
    </row>
    <row r="935" spans="36:36" ht="11.25" customHeight="1">
      <c r="AJ935"/>
    </row>
    <row r="936" spans="36:36" ht="11.25" customHeight="1">
      <c r="AJ936"/>
    </row>
    <row r="937" spans="36:36" ht="11.25" customHeight="1">
      <c r="AJ937"/>
    </row>
    <row r="938" spans="36:36" ht="11.25" customHeight="1">
      <c r="AJ938"/>
    </row>
    <row r="939" spans="36:36" ht="11.25" customHeight="1">
      <c r="AJ939"/>
    </row>
    <row r="940" spans="36:36" ht="11.25" customHeight="1">
      <c r="AJ940"/>
    </row>
    <row r="941" spans="36:36" ht="11.25" customHeight="1">
      <c r="AJ941"/>
    </row>
    <row r="942" spans="36:36" ht="11.25" customHeight="1">
      <c r="AJ942"/>
    </row>
    <row r="943" spans="36:36" ht="11.25" customHeight="1">
      <c r="AJ943"/>
    </row>
    <row r="944" spans="36:36" ht="11.25" customHeight="1">
      <c r="AJ944"/>
    </row>
    <row r="945" spans="36:36" ht="11.25" customHeight="1">
      <c r="AJ945"/>
    </row>
    <row r="946" spans="36:36" ht="11.25" customHeight="1">
      <c r="AJ946"/>
    </row>
    <row r="947" spans="36:36" ht="11.25" customHeight="1">
      <c r="AJ947"/>
    </row>
    <row r="948" spans="36:36" ht="11.25" customHeight="1">
      <c r="AJ948"/>
    </row>
    <row r="949" spans="36:36" ht="11.25" customHeight="1">
      <c r="AJ949"/>
    </row>
    <row r="950" spans="36:36" ht="11.25" customHeight="1">
      <c r="AJ950"/>
    </row>
    <row r="951" spans="36:36" ht="11.25" customHeight="1">
      <c r="AJ951"/>
    </row>
    <row r="952" spans="36:36" ht="11.25" customHeight="1">
      <c r="AJ952"/>
    </row>
    <row r="953" spans="36:36" ht="11.25" customHeight="1">
      <c r="AJ953"/>
    </row>
    <row r="954" spans="36:36" ht="11.25" customHeight="1">
      <c r="AJ954"/>
    </row>
    <row r="955" spans="36:36" ht="11.25" customHeight="1">
      <c r="AJ955"/>
    </row>
    <row r="956" spans="36:36" ht="11.25" customHeight="1">
      <c r="AJ956"/>
    </row>
    <row r="957" spans="36:36" ht="11.25" customHeight="1">
      <c r="AJ957"/>
    </row>
    <row r="958" spans="36:36" ht="11.25" customHeight="1">
      <c r="AJ958"/>
    </row>
    <row r="959" spans="36:36" ht="11.25" customHeight="1">
      <c r="AJ959"/>
    </row>
    <row r="960" spans="36:36" ht="11.25" customHeight="1">
      <c r="AJ960"/>
    </row>
    <row r="961" spans="36:36" ht="11.25" customHeight="1">
      <c r="AJ961"/>
    </row>
    <row r="962" spans="36:36" ht="11.25" customHeight="1">
      <c r="AJ962"/>
    </row>
    <row r="963" spans="36:36" ht="11.25" customHeight="1">
      <c r="AJ963"/>
    </row>
    <row r="964" spans="36:36" ht="11.25" customHeight="1">
      <c r="AJ964"/>
    </row>
    <row r="965" spans="36:36" ht="11.25" customHeight="1">
      <c r="AJ965"/>
    </row>
    <row r="966" spans="36:36" ht="11.25" customHeight="1">
      <c r="AJ966"/>
    </row>
    <row r="967" spans="36:36" ht="11.25" customHeight="1">
      <c r="AJ967"/>
    </row>
    <row r="968" spans="36:36" ht="11.25" customHeight="1">
      <c r="AJ968"/>
    </row>
    <row r="969" spans="36:36" ht="11.25" customHeight="1">
      <c r="AJ969"/>
    </row>
    <row r="970" spans="36:36" ht="11.25" customHeight="1">
      <c r="AJ970"/>
    </row>
    <row r="971" spans="36:36" ht="11.25" customHeight="1">
      <c r="AJ971"/>
    </row>
    <row r="972" spans="36:36" ht="11.25" customHeight="1">
      <c r="AJ972"/>
    </row>
    <row r="973" spans="36:36" ht="11.25" customHeight="1">
      <c r="AJ973"/>
    </row>
    <row r="974" spans="36:36" ht="11.25" customHeight="1">
      <c r="AJ974"/>
    </row>
    <row r="975" spans="36:36" ht="11.25" customHeight="1">
      <c r="AJ975"/>
    </row>
    <row r="976" spans="36:36" ht="11.25" customHeight="1">
      <c r="AJ976"/>
    </row>
    <row r="977" spans="36:36" ht="11.25" customHeight="1">
      <c r="AJ977"/>
    </row>
    <row r="978" spans="36:36" ht="11.25" customHeight="1">
      <c r="AJ978"/>
    </row>
    <row r="979" spans="36:36" ht="11.25" customHeight="1">
      <c r="AJ979"/>
    </row>
    <row r="980" spans="36:36" ht="11.25" customHeight="1">
      <c r="AJ980"/>
    </row>
    <row r="981" spans="36:36" ht="11.25" customHeight="1">
      <c r="AJ981"/>
    </row>
    <row r="982" spans="36:36" ht="11.25" customHeight="1">
      <c r="AJ982"/>
    </row>
    <row r="983" spans="36:36" ht="11.25" customHeight="1">
      <c r="AJ983"/>
    </row>
    <row r="984" spans="36:36" ht="11.25" customHeight="1">
      <c r="AJ984"/>
    </row>
    <row r="985" spans="36:36" ht="11.25" customHeight="1">
      <c r="AJ985"/>
    </row>
    <row r="986" spans="36:36" ht="11.25" customHeight="1">
      <c r="AJ986"/>
    </row>
    <row r="987" spans="36:36" ht="11.25" customHeight="1">
      <c r="AJ987"/>
    </row>
    <row r="988" spans="36:36" ht="11.25" customHeight="1">
      <c r="AJ988"/>
    </row>
    <row r="989" spans="36:36" ht="11.25" customHeight="1">
      <c r="AJ989"/>
    </row>
    <row r="990" spans="36:36" ht="11.25" customHeight="1">
      <c r="AJ990"/>
    </row>
    <row r="991" spans="36:36" ht="11.25" customHeight="1">
      <c r="AJ991"/>
    </row>
    <row r="992" spans="36:36" ht="11.25" customHeight="1">
      <c r="AJ992"/>
    </row>
    <row r="993" spans="36:36" ht="11.25" customHeight="1">
      <c r="AJ993"/>
    </row>
    <row r="994" spans="36:36" ht="11.25" customHeight="1">
      <c r="AJ994"/>
    </row>
    <row r="995" spans="36:36" ht="11.25" customHeight="1">
      <c r="AJ995"/>
    </row>
    <row r="996" spans="36:36" ht="11.25" customHeight="1">
      <c r="AJ996"/>
    </row>
    <row r="997" spans="36:36" ht="11.25" customHeight="1">
      <c r="AJ997"/>
    </row>
    <row r="998" spans="36:36" ht="11.25" customHeight="1">
      <c r="AJ998"/>
    </row>
    <row r="999" spans="36:36" ht="11.25" customHeight="1">
      <c r="AJ999"/>
    </row>
    <row r="1000" spans="36:36" ht="11.25" customHeight="1">
      <c r="AJ1000"/>
    </row>
    <row r="1001" spans="36:36" ht="11.25" customHeight="1">
      <c r="AJ1001"/>
    </row>
    <row r="1002" spans="36:36" ht="11.25" customHeight="1">
      <c r="AJ1002"/>
    </row>
    <row r="1003" spans="36:36" ht="11.25" customHeight="1">
      <c r="AJ1003"/>
    </row>
    <row r="1004" spans="36:36" ht="11.25" customHeight="1">
      <c r="AJ1004"/>
    </row>
    <row r="1005" spans="36:36" ht="11.25" customHeight="1">
      <c r="AJ1005"/>
    </row>
    <row r="1006" spans="36:36" ht="11.25" customHeight="1">
      <c r="AJ1006"/>
    </row>
    <row r="1007" spans="36:36" ht="11.25" customHeight="1">
      <c r="AJ1007"/>
    </row>
    <row r="1008" spans="36:36" ht="11.25" customHeight="1">
      <c r="AJ1008"/>
    </row>
    <row r="1009" spans="36:36" ht="11.25" customHeight="1">
      <c r="AJ1009"/>
    </row>
    <row r="1010" spans="36:36" ht="11.25" customHeight="1">
      <c r="AJ1010"/>
    </row>
    <row r="1011" spans="36:36" ht="11.25" customHeight="1">
      <c r="AJ1011"/>
    </row>
    <row r="1012" spans="36:36" ht="11.25" customHeight="1">
      <c r="AJ1012"/>
    </row>
    <row r="1013" spans="36:36" ht="11.25" customHeight="1">
      <c r="AJ1013"/>
    </row>
    <row r="1014" spans="36:36" ht="11.25" customHeight="1">
      <c r="AJ1014"/>
    </row>
    <row r="1015" spans="36:36" ht="11.25" customHeight="1">
      <c r="AJ1015"/>
    </row>
    <row r="1016" spans="36:36" ht="11.25" customHeight="1">
      <c r="AJ1016"/>
    </row>
    <row r="1017" spans="36:36" ht="11.25" customHeight="1">
      <c r="AJ1017"/>
    </row>
    <row r="1018" spans="36:36" ht="11.25" customHeight="1">
      <c r="AJ1018"/>
    </row>
    <row r="1019" spans="36:36" ht="11.25" customHeight="1">
      <c r="AJ1019"/>
    </row>
    <row r="1020" spans="36:36" ht="11.25" customHeight="1">
      <c r="AJ1020"/>
    </row>
    <row r="1021" spans="36:36" ht="11.25" customHeight="1">
      <c r="AJ1021"/>
    </row>
    <row r="1022" spans="36:36" ht="11.25" customHeight="1">
      <c r="AJ1022"/>
    </row>
    <row r="1023" spans="36:36" ht="11.25" customHeight="1">
      <c r="AJ1023"/>
    </row>
    <row r="1024" spans="36:36" ht="11.25" customHeight="1">
      <c r="AJ1024"/>
    </row>
    <row r="1025" spans="36:36" ht="11.25" customHeight="1">
      <c r="AJ1025"/>
    </row>
    <row r="1026" spans="36:36" ht="11.25" customHeight="1">
      <c r="AJ1026"/>
    </row>
    <row r="1027" spans="36:36" ht="11.25" customHeight="1">
      <c r="AJ1027"/>
    </row>
    <row r="1028" spans="36:36" ht="11.25" customHeight="1">
      <c r="AJ1028"/>
    </row>
    <row r="1029" spans="36:36" ht="11.25" customHeight="1">
      <c r="AJ1029"/>
    </row>
    <row r="1030" spans="36:36" ht="11.25" customHeight="1">
      <c r="AJ1030"/>
    </row>
    <row r="1031" spans="36:36" ht="11.25" customHeight="1">
      <c r="AJ1031"/>
    </row>
    <row r="1032" spans="36:36" ht="11.25" customHeight="1">
      <c r="AJ1032"/>
    </row>
    <row r="1033" spans="36:36" ht="11.25" customHeight="1">
      <c r="AJ1033"/>
    </row>
    <row r="1034" spans="36:36" ht="11.25" customHeight="1">
      <c r="AJ1034"/>
    </row>
    <row r="1035" spans="36:36" ht="11.25" customHeight="1">
      <c r="AJ1035"/>
    </row>
    <row r="1036" spans="36:36" ht="11.25" customHeight="1">
      <c r="AJ1036"/>
    </row>
    <row r="1037" spans="36:36" ht="11.25" customHeight="1">
      <c r="AJ1037"/>
    </row>
    <row r="1038" spans="36:36" ht="11.25" customHeight="1">
      <c r="AJ1038"/>
    </row>
    <row r="1039" spans="36:36" ht="11.25" customHeight="1">
      <c r="AJ1039"/>
    </row>
    <row r="1040" spans="36:36" ht="11.25" customHeight="1">
      <c r="AJ1040"/>
    </row>
    <row r="1041" spans="36:36" ht="11.25" customHeight="1">
      <c r="AJ1041"/>
    </row>
    <row r="1042" spans="36:36" ht="11.25" customHeight="1">
      <c r="AJ1042"/>
    </row>
    <row r="1043" spans="36:36" ht="11.25" customHeight="1">
      <c r="AJ1043"/>
    </row>
    <row r="1044" spans="36:36" ht="11.25" customHeight="1">
      <c r="AJ1044"/>
    </row>
    <row r="1045" spans="36:36" ht="11.25" customHeight="1">
      <c r="AJ1045"/>
    </row>
    <row r="1046" spans="36:36" ht="11.25" customHeight="1">
      <c r="AJ1046"/>
    </row>
    <row r="1047" spans="36:36" ht="11.25" customHeight="1">
      <c r="AJ1047"/>
    </row>
    <row r="1048" spans="36:36" ht="11.25" customHeight="1">
      <c r="AJ1048"/>
    </row>
    <row r="1049" spans="36:36" ht="11.25" customHeight="1">
      <c r="AJ1049"/>
    </row>
    <row r="1050" spans="36:36" ht="11.25" customHeight="1">
      <c r="AJ1050"/>
    </row>
    <row r="1051" spans="36:36" ht="11.25" customHeight="1">
      <c r="AJ1051"/>
    </row>
    <row r="1052" spans="36:36" ht="11.25" customHeight="1">
      <c r="AJ1052"/>
    </row>
    <row r="1053" spans="36:36" ht="11.25" customHeight="1">
      <c r="AJ1053"/>
    </row>
    <row r="1054" spans="36:36" ht="11.25" customHeight="1">
      <c r="AJ1054"/>
    </row>
    <row r="1055" spans="36:36" ht="11.25" customHeight="1">
      <c r="AJ1055"/>
    </row>
    <row r="1056" spans="36:36" ht="11.25" customHeight="1">
      <c r="AJ1056"/>
    </row>
    <row r="1057" spans="36:36" ht="11.25" customHeight="1">
      <c r="AJ1057"/>
    </row>
    <row r="1058" spans="36:36" ht="11.25" customHeight="1">
      <c r="AJ1058"/>
    </row>
    <row r="1059" spans="36:36" ht="11.25" customHeight="1">
      <c r="AJ1059"/>
    </row>
    <row r="1060" spans="36:36" ht="11.25" customHeight="1">
      <c r="AJ1060"/>
    </row>
    <row r="1061" spans="36:36" ht="11.25" customHeight="1">
      <c r="AJ1061"/>
    </row>
    <row r="1062" spans="36:36" ht="11.25" customHeight="1">
      <c r="AJ1062"/>
    </row>
    <row r="1063" spans="36:36" ht="11.25" customHeight="1">
      <c r="AJ1063"/>
    </row>
    <row r="1064" spans="36:36" ht="11.25" customHeight="1">
      <c r="AJ1064"/>
    </row>
    <row r="1065" spans="36:36" ht="11.25" customHeight="1">
      <c r="AJ1065"/>
    </row>
    <row r="1066" spans="36:36" ht="11.25" customHeight="1">
      <c r="AJ1066"/>
    </row>
    <row r="1067" spans="36:36" ht="11.25" customHeight="1">
      <c r="AJ1067"/>
    </row>
    <row r="1068" spans="36:36" ht="11.25" customHeight="1">
      <c r="AJ1068"/>
    </row>
    <row r="1069" spans="36:36" ht="11.25" customHeight="1">
      <c r="AJ1069"/>
    </row>
    <row r="1070" spans="36:36" ht="11.25" customHeight="1">
      <c r="AJ1070"/>
    </row>
    <row r="1071" spans="36:36" ht="11.25" customHeight="1">
      <c r="AJ1071"/>
    </row>
    <row r="1072" spans="36:36" ht="11.25" customHeight="1">
      <c r="AJ1072"/>
    </row>
    <row r="1073" spans="36:36" ht="11.25" customHeight="1">
      <c r="AJ1073"/>
    </row>
    <row r="1074" spans="36:36" ht="11.25" customHeight="1">
      <c r="AJ1074"/>
    </row>
    <row r="1075" spans="36:36" ht="11.25" customHeight="1">
      <c r="AJ1075"/>
    </row>
    <row r="1076" spans="36:36" ht="11.25" customHeight="1">
      <c r="AJ1076"/>
    </row>
    <row r="1077" spans="36:36" ht="11.25" customHeight="1">
      <c r="AJ1077"/>
    </row>
    <row r="1078" spans="36:36" ht="11.25" customHeight="1">
      <c r="AJ1078"/>
    </row>
    <row r="1079" spans="36:36" ht="11.25" customHeight="1">
      <c r="AJ1079"/>
    </row>
    <row r="1080" spans="36:36" ht="11.25" customHeight="1">
      <c r="AJ1080"/>
    </row>
    <row r="1081" spans="36:36" ht="11.25" customHeight="1">
      <c r="AJ1081"/>
    </row>
    <row r="1082" spans="36:36" ht="11.25" customHeight="1">
      <c r="AJ1082"/>
    </row>
    <row r="1083" spans="36:36" ht="11.25" customHeight="1">
      <c r="AJ1083"/>
    </row>
    <row r="1084" spans="36:36" ht="11.25" customHeight="1">
      <c r="AJ1084"/>
    </row>
    <row r="1085" spans="36:36" ht="11.25" customHeight="1">
      <c r="AJ1085"/>
    </row>
    <row r="1086" spans="36:36" ht="11.25" customHeight="1">
      <c r="AJ1086"/>
    </row>
    <row r="1087" spans="36:36" ht="11.25" customHeight="1">
      <c r="AJ1087"/>
    </row>
    <row r="1088" spans="36:36" ht="11.25" customHeight="1">
      <c r="AJ1088"/>
    </row>
    <row r="1089" spans="36:36" ht="11.25" customHeight="1">
      <c r="AJ1089"/>
    </row>
    <row r="1090" spans="36:36" ht="11.25" customHeight="1">
      <c r="AJ1090"/>
    </row>
    <row r="1091" spans="36:36" ht="11.25" customHeight="1">
      <c r="AJ1091"/>
    </row>
    <row r="1092" spans="36:36" ht="11.25" customHeight="1">
      <c r="AJ1092"/>
    </row>
    <row r="1093" spans="36:36" ht="11.25" customHeight="1">
      <c r="AJ1093"/>
    </row>
    <row r="1094" spans="36:36" ht="11.25" customHeight="1">
      <c r="AJ1094"/>
    </row>
    <row r="1095" spans="36:36" ht="11.25" customHeight="1">
      <c r="AJ1095"/>
    </row>
    <row r="1096" spans="36:36" ht="11.25" customHeight="1">
      <c r="AJ1096"/>
    </row>
    <row r="1097" spans="36:36" ht="11.25" customHeight="1">
      <c r="AJ1097"/>
    </row>
    <row r="1098" spans="36:36" ht="11.25" customHeight="1">
      <c r="AJ1098"/>
    </row>
    <row r="1099" spans="36:36" ht="11.25" customHeight="1">
      <c r="AJ1099"/>
    </row>
    <row r="1100" spans="36:36" ht="11.25" customHeight="1">
      <c r="AJ1100"/>
    </row>
    <row r="1101" spans="36:36" ht="11.25" customHeight="1">
      <c r="AJ1101"/>
    </row>
    <row r="1102" spans="36:36" ht="11.25" customHeight="1">
      <c r="AJ1102"/>
    </row>
    <row r="1103" spans="36:36" ht="11.25" customHeight="1">
      <c r="AJ1103"/>
    </row>
    <row r="1104" spans="36:36" ht="11.25" customHeight="1">
      <c r="AJ1104"/>
    </row>
    <row r="1105" spans="36:36" ht="11.25" customHeight="1">
      <c r="AJ1105"/>
    </row>
    <row r="1106" spans="36:36" ht="11.25" customHeight="1">
      <c r="AJ1106"/>
    </row>
    <row r="1107" spans="36:36" ht="11.25" customHeight="1">
      <c r="AJ1107"/>
    </row>
    <row r="1108" spans="36:36" ht="11.25" customHeight="1">
      <c r="AJ1108"/>
    </row>
    <row r="1109" spans="36:36" ht="11.25" customHeight="1">
      <c r="AJ1109"/>
    </row>
    <row r="1110" spans="36:36" ht="11.25" customHeight="1">
      <c r="AJ1110"/>
    </row>
    <row r="1111" spans="36:36" ht="11.25" customHeight="1">
      <c r="AJ1111"/>
    </row>
    <row r="1112" spans="36:36" ht="11.25" customHeight="1">
      <c r="AJ1112"/>
    </row>
    <row r="1113" spans="36:36" ht="11.25" customHeight="1">
      <c r="AJ1113"/>
    </row>
    <row r="1114" spans="36:36" ht="11.25" customHeight="1">
      <c r="AJ1114"/>
    </row>
    <row r="1115" spans="36:36" ht="11.25" customHeight="1">
      <c r="AJ1115"/>
    </row>
    <row r="1116" spans="36:36" ht="11.25" customHeight="1">
      <c r="AJ1116"/>
    </row>
    <row r="1117" spans="36:36" ht="11.25" customHeight="1">
      <c r="AJ1117"/>
    </row>
    <row r="1118" spans="36:36" ht="11.25" customHeight="1">
      <c r="AJ1118"/>
    </row>
    <row r="1119" spans="36:36" ht="11.25" customHeight="1">
      <c r="AJ1119"/>
    </row>
    <row r="1120" spans="36:36" ht="11.25" customHeight="1">
      <c r="AJ1120"/>
    </row>
    <row r="1121" spans="36:36" ht="11.25" customHeight="1">
      <c r="AJ1121"/>
    </row>
    <row r="1122" spans="36:36" ht="11.25" customHeight="1">
      <c r="AJ1122"/>
    </row>
    <row r="1123" spans="36:36" ht="11.25" customHeight="1">
      <c r="AJ1123"/>
    </row>
    <row r="1124" spans="36:36" ht="11.25" customHeight="1">
      <c r="AJ1124"/>
    </row>
    <row r="1125" spans="36:36" ht="11.25" customHeight="1">
      <c r="AJ1125"/>
    </row>
    <row r="1126" spans="36:36" ht="11.25" customHeight="1">
      <c r="AJ1126"/>
    </row>
    <row r="1127" spans="36:36" ht="11.25" customHeight="1">
      <c r="AJ1127"/>
    </row>
    <row r="1128" spans="36:36" ht="11.25" customHeight="1">
      <c r="AJ1128"/>
    </row>
    <row r="1129" spans="36:36" ht="11.25" customHeight="1">
      <c r="AJ1129"/>
    </row>
    <row r="1130" spans="36:36" ht="11.25" customHeight="1">
      <c r="AJ1130"/>
    </row>
    <row r="1131" spans="36:36" ht="11.25" customHeight="1">
      <c r="AJ1131"/>
    </row>
    <row r="1132" spans="36:36" ht="11.25" customHeight="1">
      <c r="AJ1132"/>
    </row>
    <row r="1133" spans="36:36" ht="11.25" customHeight="1">
      <c r="AJ1133"/>
    </row>
    <row r="1134" spans="36:36" ht="11.25" customHeight="1">
      <c r="AJ1134"/>
    </row>
    <row r="1135" spans="36:36" ht="11.25" customHeight="1">
      <c r="AJ1135"/>
    </row>
    <row r="1136" spans="36:36" ht="11.25" customHeight="1">
      <c r="AJ1136"/>
    </row>
    <row r="1137" spans="36:36" ht="11.25" customHeight="1">
      <c r="AJ1137"/>
    </row>
    <row r="1138" spans="36:36" ht="11.25" customHeight="1">
      <c r="AJ1138"/>
    </row>
    <row r="1139" spans="36:36" ht="11.25" customHeight="1">
      <c r="AJ1139"/>
    </row>
    <row r="1140" spans="36:36" ht="11.25" customHeight="1">
      <c r="AJ1140"/>
    </row>
    <row r="1141" spans="36:36" ht="11.25" customHeight="1">
      <c r="AJ1141"/>
    </row>
    <row r="1142" spans="36:36" ht="11.25" customHeight="1">
      <c r="AJ1142"/>
    </row>
    <row r="1143" spans="36:36" ht="11.25" customHeight="1">
      <c r="AJ1143"/>
    </row>
    <row r="1144" spans="36:36" ht="11.25" customHeight="1">
      <c r="AJ1144"/>
    </row>
    <row r="1145" spans="36:36" ht="11.25" customHeight="1">
      <c r="AJ1145"/>
    </row>
    <row r="1146" spans="36:36" ht="11.25" customHeight="1">
      <c r="AJ1146"/>
    </row>
    <row r="1147" spans="36:36" ht="11.25" customHeight="1">
      <c r="AJ1147"/>
    </row>
    <row r="1148" spans="36:36" ht="11.25" customHeight="1">
      <c r="AJ1148"/>
    </row>
    <row r="1149" spans="36:36" ht="11.25" customHeight="1">
      <c r="AJ1149"/>
    </row>
    <row r="1150" spans="36:36" ht="11.25" customHeight="1">
      <c r="AJ1150"/>
    </row>
    <row r="1151" spans="36:36" ht="11.25" customHeight="1">
      <c r="AJ1151"/>
    </row>
    <row r="1152" spans="36:36" ht="11.25" customHeight="1">
      <c r="AJ1152"/>
    </row>
    <row r="1153" spans="36:36" ht="11.25" customHeight="1">
      <c r="AJ1153"/>
    </row>
    <row r="1154" spans="36:36" ht="11.25" customHeight="1">
      <c r="AJ1154"/>
    </row>
    <row r="1155" spans="36:36" ht="11.25" customHeight="1">
      <c r="AJ1155"/>
    </row>
    <row r="1156" spans="36:36" ht="11.25" customHeight="1">
      <c r="AJ1156"/>
    </row>
    <row r="1157" spans="36:36" ht="11.25" customHeight="1">
      <c r="AJ1157"/>
    </row>
    <row r="1158" spans="36:36" ht="11.25" customHeight="1">
      <c r="AJ1158"/>
    </row>
    <row r="1159" spans="36:36" ht="11.25" customHeight="1">
      <c r="AJ1159"/>
    </row>
    <row r="1160" spans="36:36" ht="11.25" customHeight="1">
      <c r="AJ1160"/>
    </row>
    <row r="1161" spans="36:36" ht="11.25" customHeight="1">
      <c r="AJ1161"/>
    </row>
    <row r="1162" spans="36:36" ht="11.25" customHeight="1">
      <c r="AJ1162"/>
    </row>
    <row r="1163" spans="36:36" ht="11.25" customHeight="1">
      <c r="AJ1163"/>
    </row>
    <row r="1164" spans="36:36" ht="11.25" customHeight="1">
      <c r="AJ1164"/>
    </row>
    <row r="1165" spans="36:36" ht="11.25" customHeight="1">
      <c r="AJ1165"/>
    </row>
    <row r="1166" spans="36:36" ht="11.25" customHeight="1">
      <c r="AJ1166"/>
    </row>
    <row r="1167" spans="36:36" ht="11.25" customHeight="1">
      <c r="AJ1167"/>
    </row>
    <row r="1168" spans="36:36" ht="11.25" customHeight="1">
      <c r="AJ1168"/>
    </row>
    <row r="1169" spans="36:36" ht="11.25" customHeight="1">
      <c r="AJ1169"/>
    </row>
    <row r="1170" spans="36:36" ht="11.25" customHeight="1">
      <c r="AJ1170"/>
    </row>
    <row r="1171" spans="36:36" ht="11.25" customHeight="1">
      <c r="AJ1171"/>
    </row>
    <row r="1172" spans="36:36" ht="11.25" customHeight="1">
      <c r="AJ1172"/>
    </row>
    <row r="1173" spans="36:36" ht="11.25" customHeight="1">
      <c r="AJ1173"/>
    </row>
    <row r="1174" spans="36:36" ht="11.25" customHeight="1">
      <c r="AJ1174"/>
    </row>
    <row r="1175" spans="36:36" ht="11.25" customHeight="1">
      <c r="AJ1175"/>
    </row>
    <row r="1176" spans="36:36" ht="11.25" customHeight="1">
      <c r="AJ1176"/>
    </row>
    <row r="1177" spans="36:36" ht="11.25" customHeight="1">
      <c r="AJ1177"/>
    </row>
    <row r="1178" spans="36:36" ht="11.25" customHeight="1">
      <c r="AJ1178"/>
    </row>
    <row r="1179" spans="36:36" ht="11.25" customHeight="1">
      <c r="AJ1179"/>
    </row>
    <row r="1180" spans="36:36" ht="11.25" customHeight="1">
      <c r="AJ1180"/>
    </row>
    <row r="1181" spans="36:36" ht="11.25" customHeight="1">
      <c r="AJ1181"/>
    </row>
    <row r="1182" spans="36:36" ht="11.25" customHeight="1">
      <c r="AJ1182"/>
    </row>
    <row r="1183" spans="36:36" ht="11.25" customHeight="1">
      <c r="AJ1183"/>
    </row>
    <row r="1184" spans="36:36" ht="11.25" customHeight="1">
      <c r="AJ1184"/>
    </row>
    <row r="1185" spans="36:36" ht="11.25" customHeight="1">
      <c r="AJ1185"/>
    </row>
    <row r="1186" spans="36:36" ht="11.25" customHeight="1">
      <c r="AJ1186"/>
    </row>
    <row r="1187" spans="36:36" ht="11.25" customHeight="1">
      <c r="AJ1187"/>
    </row>
    <row r="1188" spans="36:36" ht="11.25" customHeight="1">
      <c r="AJ1188"/>
    </row>
    <row r="1189" spans="36:36" ht="11.25" customHeight="1">
      <c r="AJ1189"/>
    </row>
    <row r="1190" spans="36:36" ht="11.25" customHeight="1">
      <c r="AJ1190"/>
    </row>
    <row r="1191" spans="36:36" ht="11.25" customHeight="1">
      <c r="AJ1191"/>
    </row>
    <row r="1192" spans="36:36" ht="11.25" customHeight="1">
      <c r="AJ1192"/>
    </row>
    <row r="1193" spans="36:36" ht="11.25" customHeight="1">
      <c r="AJ1193"/>
    </row>
    <row r="1194" spans="36:36" ht="11.25" customHeight="1">
      <c r="AJ1194"/>
    </row>
    <row r="1195" spans="36:36" ht="11.25" customHeight="1">
      <c r="AJ1195"/>
    </row>
    <row r="1196" spans="36:36" ht="11.25" customHeight="1">
      <c r="AJ1196"/>
    </row>
    <row r="1197" spans="36:36" ht="11.25" customHeight="1">
      <c r="AJ1197"/>
    </row>
    <row r="1198" spans="36:36" ht="11.25" customHeight="1">
      <c r="AJ1198"/>
    </row>
    <row r="1199" spans="36:36" ht="11.25" customHeight="1">
      <c r="AJ1199"/>
    </row>
    <row r="1200" spans="36:36" ht="11.25" customHeight="1">
      <c r="AJ1200"/>
    </row>
    <row r="1201" spans="36:36" ht="11.25" customHeight="1">
      <c r="AJ1201"/>
    </row>
    <row r="1202" spans="36:36" ht="11.25" customHeight="1">
      <c r="AJ1202"/>
    </row>
    <row r="1203" spans="36:36" ht="11.25" customHeight="1">
      <c r="AJ1203"/>
    </row>
    <row r="1204" spans="36:36" ht="11.25" customHeight="1">
      <c r="AJ1204"/>
    </row>
    <row r="1205" spans="36:36" ht="11.25" customHeight="1">
      <c r="AJ1205"/>
    </row>
    <row r="1206" spans="36:36" ht="11.25" customHeight="1">
      <c r="AJ1206"/>
    </row>
    <row r="1207" spans="36:36" ht="11.25" customHeight="1">
      <c r="AJ1207"/>
    </row>
    <row r="1208" spans="36:36" ht="11.25" customHeight="1">
      <c r="AJ1208"/>
    </row>
    <row r="1209" spans="36:36" ht="11.25" customHeight="1">
      <c r="AJ1209"/>
    </row>
    <row r="1210" spans="36:36" ht="11.25" customHeight="1">
      <c r="AJ1210"/>
    </row>
    <row r="1211" spans="36:36" ht="11.25" customHeight="1">
      <c r="AJ1211"/>
    </row>
    <row r="1212" spans="36:36" ht="11.25" customHeight="1">
      <c r="AJ1212"/>
    </row>
    <row r="1213" spans="36:36" ht="11.25" customHeight="1">
      <c r="AJ1213"/>
    </row>
    <row r="1214" spans="36:36" ht="11.25" customHeight="1">
      <c r="AJ1214"/>
    </row>
    <row r="1215" spans="36:36" ht="11.25" customHeight="1">
      <c r="AJ1215"/>
    </row>
    <row r="1216" spans="36:36" ht="11.25" customHeight="1">
      <c r="AJ1216"/>
    </row>
    <row r="1217" spans="36:36" ht="11.25" customHeight="1">
      <c r="AJ1217"/>
    </row>
    <row r="1218" spans="36:36" ht="11.25" customHeight="1">
      <c r="AJ1218"/>
    </row>
    <row r="1219" spans="36:36" ht="11.25" customHeight="1">
      <c r="AJ1219"/>
    </row>
    <row r="1220" spans="36:36" ht="11.25" customHeight="1">
      <c r="AJ1220"/>
    </row>
    <row r="1221" spans="36:36" ht="11.25" customHeight="1">
      <c r="AJ1221"/>
    </row>
    <row r="1222" spans="36:36" ht="11.25" customHeight="1">
      <c r="AJ1222"/>
    </row>
    <row r="1223" spans="36:36" ht="11.25" customHeight="1">
      <c r="AJ1223"/>
    </row>
    <row r="1224" spans="36:36" ht="11.25" customHeight="1">
      <c r="AJ1224"/>
    </row>
    <row r="1225" spans="36:36" ht="11.25" customHeight="1">
      <c r="AJ1225"/>
    </row>
    <row r="1226" spans="36:36" ht="11.25" customHeight="1">
      <c r="AJ1226"/>
    </row>
    <row r="1227" spans="36:36" ht="11.25" customHeight="1">
      <c r="AJ1227"/>
    </row>
    <row r="1228" spans="36:36" ht="11.25" customHeight="1">
      <c r="AJ1228"/>
    </row>
    <row r="1229" spans="36:36" ht="11.25" customHeight="1">
      <c r="AJ1229"/>
    </row>
    <row r="1230" spans="36:36" ht="11.25" customHeight="1">
      <c r="AJ1230"/>
    </row>
    <row r="1231" spans="36:36" ht="11.25" customHeight="1">
      <c r="AJ1231"/>
    </row>
    <row r="1232" spans="36:36" ht="11.25" customHeight="1">
      <c r="AJ1232"/>
    </row>
    <row r="1233" spans="36:36" ht="11.25" customHeight="1">
      <c r="AJ1233"/>
    </row>
    <row r="1234" spans="36:36" ht="11.25" customHeight="1">
      <c r="AJ1234"/>
    </row>
    <row r="1235" spans="36:36" ht="11.25" customHeight="1">
      <c r="AJ1235"/>
    </row>
    <row r="1236" spans="36:36" ht="11.25" customHeight="1">
      <c r="AJ1236"/>
    </row>
    <row r="1237" spans="36:36" ht="11.25" customHeight="1">
      <c r="AJ1237"/>
    </row>
    <row r="1238" spans="36:36" ht="11.25" customHeight="1">
      <c r="AJ1238"/>
    </row>
    <row r="1239" spans="36:36" ht="11.25" customHeight="1">
      <c r="AJ1239"/>
    </row>
    <row r="1240" spans="36:36" ht="11.25" customHeight="1">
      <c r="AJ1240"/>
    </row>
    <row r="1241" spans="36:36" ht="11.25" customHeight="1">
      <c r="AJ1241"/>
    </row>
    <row r="1242" spans="36:36" ht="11.25" customHeight="1">
      <c r="AJ1242"/>
    </row>
    <row r="1243" spans="36:36" ht="11.25" customHeight="1">
      <c r="AJ1243"/>
    </row>
    <row r="1244" spans="36:36" ht="11.25" customHeight="1">
      <c r="AJ1244"/>
    </row>
    <row r="1245" spans="36:36" ht="11.25" customHeight="1">
      <c r="AJ1245"/>
    </row>
    <row r="1246" spans="36:36" ht="11.25" customHeight="1">
      <c r="AJ1246"/>
    </row>
    <row r="1247" spans="36:36" ht="11.25" customHeight="1">
      <c r="AJ1247"/>
    </row>
    <row r="1248" spans="36:36" ht="11.25" customHeight="1">
      <c r="AJ1248"/>
    </row>
    <row r="1249" spans="36:36" ht="11.25" customHeight="1">
      <c r="AJ1249"/>
    </row>
    <row r="1250" spans="36:36" ht="11.25" customHeight="1">
      <c r="AJ1250"/>
    </row>
    <row r="1251" spans="36:36" ht="11.25" customHeight="1">
      <c r="AJ1251"/>
    </row>
    <row r="1252" spans="36:36" ht="11.25" customHeight="1">
      <c r="AJ1252"/>
    </row>
    <row r="1253" spans="36:36" ht="11.25" customHeight="1">
      <c r="AJ1253"/>
    </row>
    <row r="1254" spans="36:36" ht="11.25" customHeight="1">
      <c r="AJ1254"/>
    </row>
    <row r="1255" spans="36:36" ht="11.25" customHeight="1">
      <c r="AJ1255"/>
    </row>
    <row r="1256" spans="36:36" ht="11.25" customHeight="1">
      <c r="AJ1256"/>
    </row>
    <row r="1257" spans="36:36" ht="11.25" customHeight="1">
      <c r="AJ1257"/>
    </row>
    <row r="1258" spans="36:36" ht="11.25" customHeight="1">
      <c r="AJ1258"/>
    </row>
    <row r="1259" spans="36:36" ht="11.25" customHeight="1">
      <c r="AJ1259"/>
    </row>
    <row r="1260" spans="36:36" ht="11.25" customHeight="1">
      <c r="AJ1260"/>
    </row>
    <row r="1261" spans="36:36" ht="11.25" customHeight="1">
      <c r="AJ1261"/>
    </row>
    <row r="1262" spans="36:36" ht="11.25" customHeight="1">
      <c r="AJ1262"/>
    </row>
    <row r="1263" spans="36:36" ht="11.25" customHeight="1">
      <c r="AJ1263"/>
    </row>
    <row r="1264" spans="36:36" ht="11.25" customHeight="1">
      <c r="AJ1264"/>
    </row>
    <row r="1265" spans="36:36" ht="11.25" customHeight="1">
      <c r="AJ1265"/>
    </row>
    <row r="1266" spans="36:36" ht="11.25" customHeight="1">
      <c r="AJ1266"/>
    </row>
    <row r="1267" spans="36:36" ht="11.25" customHeight="1">
      <c r="AJ1267"/>
    </row>
    <row r="1268" spans="36:36" ht="11.25" customHeight="1">
      <c r="AJ1268"/>
    </row>
    <row r="1269" spans="36:36" ht="11.25" customHeight="1">
      <c r="AJ1269"/>
    </row>
    <row r="1270" spans="36:36" ht="11.25" customHeight="1">
      <c r="AJ1270"/>
    </row>
    <row r="1271" spans="36:36" ht="11.25" customHeight="1">
      <c r="AJ1271"/>
    </row>
    <row r="1272" spans="36:36" ht="11.25" customHeight="1">
      <c r="AJ1272"/>
    </row>
    <row r="1273" spans="36:36" ht="11.25" customHeight="1">
      <c r="AJ1273"/>
    </row>
    <row r="1274" spans="36:36" ht="11.25" customHeight="1">
      <c r="AJ1274"/>
    </row>
    <row r="1275" spans="36:36" ht="11.25" customHeight="1">
      <c r="AJ1275"/>
    </row>
    <row r="1276" spans="36:36" ht="11.25" customHeight="1">
      <c r="AJ1276"/>
    </row>
    <row r="1277" spans="36:36" ht="11.25" customHeight="1">
      <c r="AJ1277"/>
    </row>
    <row r="1278" spans="36:36" ht="11.25" customHeight="1">
      <c r="AJ1278"/>
    </row>
    <row r="1279" spans="36:36" ht="11.25" customHeight="1">
      <c r="AJ1279"/>
    </row>
    <row r="1280" spans="36:36" ht="11.25" customHeight="1">
      <c r="AJ1280"/>
    </row>
    <row r="1281" spans="36:36" ht="11.25" customHeight="1">
      <c r="AJ1281"/>
    </row>
    <row r="1282" spans="36:36" ht="11.25" customHeight="1">
      <c r="AJ1282"/>
    </row>
    <row r="1283" spans="36:36" ht="11.25" customHeight="1">
      <c r="AJ1283"/>
    </row>
    <row r="1284" spans="36:36" ht="11.25" customHeight="1">
      <c r="AJ1284"/>
    </row>
    <row r="1285" spans="36:36" ht="11.25" customHeight="1">
      <c r="AJ1285"/>
    </row>
    <row r="1286" spans="36:36" ht="11.25" customHeight="1">
      <c r="AJ1286"/>
    </row>
    <row r="1287" spans="36:36" ht="11.25" customHeight="1">
      <c r="AJ1287"/>
    </row>
    <row r="1288" spans="36:36" ht="11.25" customHeight="1">
      <c r="AJ1288"/>
    </row>
    <row r="1289" spans="36:36" ht="11.25" customHeight="1">
      <c r="AJ1289"/>
    </row>
    <row r="1290" spans="36:36" ht="11.25" customHeight="1">
      <c r="AJ1290"/>
    </row>
    <row r="1291" spans="36:36" ht="11.25" customHeight="1">
      <c r="AJ1291"/>
    </row>
    <row r="1292" spans="36:36" ht="11.25" customHeight="1">
      <c r="AJ1292"/>
    </row>
    <row r="1293" spans="36:36" ht="11.25" customHeight="1">
      <c r="AJ1293"/>
    </row>
    <row r="1294" spans="36:36" ht="11.25" customHeight="1">
      <c r="AJ1294"/>
    </row>
    <row r="1295" spans="36:36" ht="11.25" customHeight="1">
      <c r="AJ1295"/>
    </row>
    <row r="1296" spans="36:36" ht="11.25" customHeight="1">
      <c r="AJ1296"/>
    </row>
    <row r="1297" spans="36:36" ht="11.25" customHeight="1">
      <c r="AJ1297"/>
    </row>
    <row r="1298" spans="36:36" ht="11.25" customHeight="1">
      <c r="AJ1298"/>
    </row>
    <row r="1299" spans="36:36" ht="11.25" customHeight="1">
      <c r="AJ1299"/>
    </row>
    <row r="1300" spans="36:36" ht="11.25" customHeight="1">
      <c r="AJ1300"/>
    </row>
    <row r="1301" spans="36:36" ht="11.25" customHeight="1">
      <c r="AJ1301"/>
    </row>
    <row r="1302" spans="36:36" ht="11.25" customHeight="1">
      <c r="AJ1302"/>
    </row>
    <row r="1303" spans="36:36" ht="11.25" customHeight="1">
      <c r="AJ1303"/>
    </row>
    <row r="1304" spans="36:36" ht="11.25" customHeight="1">
      <c r="AJ1304"/>
    </row>
    <row r="1305" spans="36:36" ht="11.25" customHeight="1">
      <c r="AJ1305"/>
    </row>
    <row r="1306" spans="36:36" ht="11.25" customHeight="1">
      <c r="AJ1306"/>
    </row>
    <row r="1307" spans="36:36" ht="11.25" customHeight="1">
      <c r="AJ1307"/>
    </row>
    <row r="1308" spans="36:36" ht="11.25" customHeight="1">
      <c r="AJ1308"/>
    </row>
    <row r="1309" spans="36:36" ht="11.25" customHeight="1">
      <c r="AJ1309"/>
    </row>
    <row r="1310" spans="36:36" ht="11.25" customHeight="1">
      <c r="AJ1310"/>
    </row>
    <row r="1311" spans="36:36" ht="11.25" customHeight="1">
      <c r="AJ1311"/>
    </row>
    <row r="1312" spans="36:36" ht="11.25" customHeight="1">
      <c r="AJ1312"/>
    </row>
    <row r="1313" spans="36:36" ht="11.25" customHeight="1">
      <c r="AJ1313"/>
    </row>
    <row r="1314" spans="36:36" ht="11.25" customHeight="1">
      <c r="AJ1314"/>
    </row>
    <row r="1315" spans="36:36" ht="11.25" customHeight="1">
      <c r="AJ1315"/>
    </row>
    <row r="1316" spans="36:36" ht="11.25" customHeight="1">
      <c r="AJ1316"/>
    </row>
    <row r="1317" spans="36:36" ht="11.25" customHeight="1">
      <c r="AJ1317"/>
    </row>
    <row r="1318" spans="36:36" ht="11.25" customHeight="1">
      <c r="AJ1318"/>
    </row>
    <row r="1319" spans="36:36" ht="11.25" customHeight="1">
      <c r="AJ1319"/>
    </row>
    <row r="1320" spans="36:36" ht="11.25" customHeight="1">
      <c r="AJ1320"/>
    </row>
    <row r="1321" spans="36:36" ht="11.25" customHeight="1">
      <c r="AJ1321"/>
    </row>
    <row r="1322" spans="36:36" ht="11.25" customHeight="1">
      <c r="AJ1322"/>
    </row>
    <row r="1323" spans="36:36" ht="11.25" customHeight="1">
      <c r="AJ1323"/>
    </row>
    <row r="1324" spans="36:36" ht="11.25" customHeight="1">
      <c r="AJ1324"/>
    </row>
    <row r="1325" spans="36:36" ht="11.25" customHeight="1">
      <c r="AJ1325"/>
    </row>
    <row r="1326" spans="36:36" ht="11.25" customHeight="1">
      <c r="AJ1326"/>
    </row>
    <row r="1327" spans="36:36" ht="11.25" customHeight="1">
      <c r="AJ1327"/>
    </row>
    <row r="1328" spans="36:36" ht="11.25" customHeight="1">
      <c r="AJ1328"/>
    </row>
    <row r="1329" spans="36:36" ht="11.25" customHeight="1">
      <c r="AJ1329"/>
    </row>
    <row r="1330" spans="36:36" ht="11.25" customHeight="1">
      <c r="AJ1330"/>
    </row>
    <row r="1331" spans="36:36" ht="11.25" customHeight="1">
      <c r="AJ1331"/>
    </row>
    <row r="1332" spans="36:36" ht="11.25" customHeight="1">
      <c r="AJ1332"/>
    </row>
    <row r="1333" spans="36:36" ht="11.25" customHeight="1">
      <c r="AJ1333"/>
    </row>
    <row r="1334" spans="36:36" ht="11.25" customHeight="1">
      <c r="AJ1334"/>
    </row>
    <row r="1335" spans="36:36" ht="11.25" customHeight="1">
      <c r="AJ1335"/>
    </row>
    <row r="1336" spans="36:36" ht="11.25" customHeight="1">
      <c r="AJ1336"/>
    </row>
    <row r="1337" spans="36:36" ht="11.25" customHeight="1">
      <c r="AJ1337"/>
    </row>
    <row r="1338" spans="36:36" ht="11.25" customHeight="1">
      <c r="AJ1338"/>
    </row>
    <row r="1339" spans="36:36" ht="11.25" customHeight="1">
      <c r="AJ1339"/>
    </row>
    <row r="1340" spans="36:36" ht="11.25" customHeight="1">
      <c r="AJ1340"/>
    </row>
    <row r="1341" spans="36:36" ht="11.25" customHeight="1">
      <c r="AJ1341"/>
    </row>
    <row r="1342" spans="36:36" ht="11.25" customHeight="1">
      <c r="AJ1342"/>
    </row>
    <row r="1343" spans="36:36" ht="11.25" customHeight="1">
      <c r="AJ1343"/>
    </row>
    <row r="1344" spans="36:36" ht="11.25" customHeight="1">
      <c r="AJ1344"/>
    </row>
    <row r="1345" spans="36:36" ht="11.25" customHeight="1">
      <c r="AJ1345"/>
    </row>
    <row r="1346" spans="36:36" ht="11.25" customHeight="1">
      <c r="AJ1346"/>
    </row>
    <row r="1347" spans="36:36" ht="11.25" customHeight="1">
      <c r="AJ1347"/>
    </row>
    <row r="1348" spans="36:36" ht="11.25" customHeight="1">
      <c r="AJ1348"/>
    </row>
    <row r="1349" spans="36:36" ht="11.25" customHeight="1">
      <c r="AJ1349"/>
    </row>
    <row r="1350" spans="36:36" ht="11.25" customHeight="1">
      <c r="AJ1350"/>
    </row>
    <row r="1351" spans="36:36" ht="11.25" customHeight="1">
      <c r="AJ1351"/>
    </row>
    <row r="1352" spans="36:36" ht="11.25" customHeight="1">
      <c r="AJ1352"/>
    </row>
    <row r="1353" spans="36:36" ht="11.25" customHeight="1">
      <c r="AJ1353"/>
    </row>
    <row r="1354" spans="36:36" ht="11.25" customHeight="1">
      <c r="AJ1354"/>
    </row>
    <row r="1355" spans="36:36" ht="11.25" customHeight="1">
      <c r="AJ1355"/>
    </row>
    <row r="1356" spans="36:36" ht="11.25" customHeight="1">
      <c r="AJ1356"/>
    </row>
    <row r="1357" spans="36:36" ht="11.25" customHeight="1">
      <c r="AJ1357"/>
    </row>
    <row r="1358" spans="36:36" ht="11.25" customHeight="1">
      <c r="AJ1358"/>
    </row>
    <row r="1359" spans="36:36" ht="11.25" customHeight="1">
      <c r="AJ1359"/>
    </row>
    <row r="1360" spans="36:36" ht="11.25" customHeight="1">
      <c r="AJ1360"/>
    </row>
    <row r="1361" spans="36:36" ht="11.25" customHeight="1">
      <c r="AJ1361"/>
    </row>
    <row r="1362" spans="36:36" ht="11.25" customHeight="1">
      <c r="AJ1362"/>
    </row>
    <row r="1363" spans="36:36" ht="11.25" customHeight="1">
      <c r="AJ1363"/>
    </row>
    <row r="1364" spans="36:36" ht="11.25" customHeight="1">
      <c r="AJ1364"/>
    </row>
    <row r="1365" spans="36:36" ht="11.25" customHeight="1">
      <c r="AJ1365"/>
    </row>
    <row r="1366" spans="36:36" ht="11.25" customHeight="1">
      <c r="AJ1366"/>
    </row>
    <row r="1367" spans="36:36" ht="11.25" customHeight="1">
      <c r="AJ1367"/>
    </row>
    <row r="1368" spans="36:36" ht="11.25" customHeight="1">
      <c r="AJ1368"/>
    </row>
    <row r="1369" spans="36:36" ht="11.25" customHeight="1">
      <c r="AJ1369"/>
    </row>
    <row r="1370" spans="36:36" ht="11.25" customHeight="1">
      <c r="AJ1370"/>
    </row>
    <row r="1371" spans="36:36" ht="11.25" customHeight="1">
      <c r="AJ1371"/>
    </row>
    <row r="1372" spans="36:36" ht="11.25" customHeight="1">
      <c r="AJ1372"/>
    </row>
    <row r="1373" spans="36:36" ht="11.25" customHeight="1">
      <c r="AJ1373"/>
    </row>
    <row r="1374" spans="36:36" ht="11.25" customHeight="1">
      <c r="AJ1374"/>
    </row>
    <row r="1375" spans="36:36" ht="11.25" customHeight="1">
      <c r="AJ1375"/>
    </row>
    <row r="1376" spans="36:36" ht="11.25" customHeight="1">
      <c r="AJ1376"/>
    </row>
    <row r="1377" spans="36:36" ht="11.25" customHeight="1">
      <c r="AJ1377"/>
    </row>
    <row r="1378" spans="36:36" ht="11.25" customHeight="1">
      <c r="AJ1378"/>
    </row>
    <row r="1379" spans="36:36" ht="11.25" customHeight="1">
      <c r="AJ1379"/>
    </row>
    <row r="1380" spans="36:36" ht="11.25" customHeight="1">
      <c r="AJ1380"/>
    </row>
    <row r="1381" spans="36:36" ht="11.25" customHeight="1">
      <c r="AJ1381"/>
    </row>
    <row r="1382" spans="36:36" ht="11.25" customHeight="1">
      <c r="AJ1382"/>
    </row>
    <row r="1383" spans="36:36" ht="11.25" customHeight="1">
      <c r="AJ1383"/>
    </row>
    <row r="1384" spans="36:36" ht="11.25" customHeight="1">
      <c r="AJ1384"/>
    </row>
    <row r="1385" spans="36:36" ht="11.25" customHeight="1">
      <c r="AJ1385"/>
    </row>
    <row r="1386" spans="36:36" ht="11.25" customHeight="1">
      <c r="AJ1386"/>
    </row>
    <row r="1387" spans="36:36" ht="11.25" customHeight="1">
      <c r="AJ1387"/>
    </row>
    <row r="1388" spans="36:36" ht="11.25" customHeight="1">
      <c r="AJ1388"/>
    </row>
    <row r="1389" spans="36:36" ht="11.25" customHeight="1">
      <c r="AJ1389"/>
    </row>
    <row r="1390" spans="36:36" ht="11.25" customHeight="1">
      <c r="AJ1390"/>
    </row>
    <row r="1391" spans="36:36" ht="11.25" customHeight="1">
      <c r="AJ1391"/>
    </row>
    <row r="1392" spans="36:36" ht="11.25" customHeight="1">
      <c r="AJ1392"/>
    </row>
    <row r="1393" spans="36:36" ht="11.25" customHeight="1">
      <c r="AJ1393"/>
    </row>
    <row r="1394" spans="36:36" ht="11.25" customHeight="1">
      <c r="AJ1394"/>
    </row>
    <row r="1395" spans="36:36" ht="11.25" customHeight="1">
      <c r="AJ1395"/>
    </row>
    <row r="1396" spans="36:36" ht="11.25" customHeight="1">
      <c r="AJ1396"/>
    </row>
    <row r="1397" spans="36:36" ht="11.25" customHeight="1">
      <c r="AJ1397"/>
    </row>
    <row r="1398" spans="36:36" ht="11.25" customHeight="1">
      <c r="AJ1398"/>
    </row>
    <row r="1399" spans="36:36" ht="11.25" customHeight="1">
      <c r="AJ1399"/>
    </row>
    <row r="1400" spans="36:36" ht="11.25" customHeight="1">
      <c r="AJ1400"/>
    </row>
    <row r="1401" spans="36:36" ht="11.25" customHeight="1">
      <c r="AJ1401"/>
    </row>
    <row r="1402" spans="36:36" ht="11.25" customHeight="1">
      <c r="AJ1402"/>
    </row>
    <row r="1403" spans="36:36" ht="11.25" customHeight="1">
      <c r="AJ1403"/>
    </row>
    <row r="1404" spans="36:36" ht="11.25" customHeight="1">
      <c r="AJ1404"/>
    </row>
    <row r="1405" spans="36:36" ht="11.25" customHeight="1">
      <c r="AJ1405"/>
    </row>
    <row r="1406" spans="36:36" ht="11.25" customHeight="1">
      <c r="AJ1406"/>
    </row>
    <row r="1407" spans="36:36" ht="11.25" customHeight="1">
      <c r="AJ1407"/>
    </row>
    <row r="1408" spans="36:36" ht="11.25" customHeight="1">
      <c r="AJ1408"/>
    </row>
    <row r="1409" spans="36:36" ht="11.25" customHeight="1">
      <c r="AJ1409"/>
    </row>
    <row r="1410" spans="36:36" ht="11.25" customHeight="1">
      <c r="AJ1410"/>
    </row>
    <row r="1411" spans="36:36" ht="11.25" customHeight="1">
      <c r="AJ1411"/>
    </row>
    <row r="1412" spans="36:36" ht="11.25" customHeight="1">
      <c r="AJ1412"/>
    </row>
    <row r="1413" spans="36:36" ht="11.25" customHeight="1">
      <c r="AJ1413"/>
    </row>
    <row r="1414" spans="36:36" ht="11.25" customHeight="1">
      <c r="AJ1414"/>
    </row>
    <row r="1415" spans="36:36" ht="11.25" customHeight="1">
      <c r="AJ1415"/>
    </row>
    <row r="1416" spans="36:36" ht="11.25" customHeight="1">
      <c r="AJ1416"/>
    </row>
    <row r="1417" spans="36:36" ht="11.25" customHeight="1">
      <c r="AJ1417"/>
    </row>
    <row r="1418" spans="36:36" ht="11.25" customHeight="1">
      <c r="AJ1418"/>
    </row>
    <row r="1419" spans="36:36" ht="11.25" customHeight="1">
      <c r="AJ1419"/>
    </row>
    <row r="1420" spans="36:36" ht="11.25" customHeight="1">
      <c r="AJ1420"/>
    </row>
    <row r="1421" spans="36:36" ht="11.25" customHeight="1">
      <c r="AJ1421"/>
    </row>
    <row r="1422" spans="36:36" ht="11.25" customHeight="1">
      <c r="AJ1422"/>
    </row>
    <row r="1423" spans="36:36" ht="11.25" customHeight="1">
      <c r="AJ1423"/>
    </row>
    <row r="1424" spans="36:36" ht="11.25" customHeight="1">
      <c r="AJ1424"/>
    </row>
    <row r="1425" spans="36:36" ht="11.25" customHeight="1">
      <c r="AJ1425"/>
    </row>
    <row r="1426" spans="36:36" ht="11.25" customHeight="1">
      <c r="AJ1426"/>
    </row>
    <row r="1427" spans="36:36" ht="11.25" customHeight="1">
      <c r="AJ1427"/>
    </row>
    <row r="1428" spans="36:36" ht="11.25" customHeight="1">
      <c r="AJ1428"/>
    </row>
    <row r="1429" spans="36:36" ht="11.25" customHeight="1">
      <c r="AJ1429"/>
    </row>
    <row r="1430" spans="36:36" ht="11.25" customHeight="1">
      <c r="AJ1430"/>
    </row>
    <row r="1431" spans="36:36" ht="11.25" customHeight="1">
      <c r="AJ1431"/>
    </row>
    <row r="1432" spans="36:36" ht="11.25" customHeight="1">
      <c r="AJ1432"/>
    </row>
    <row r="1433" spans="36:36" ht="11.25" customHeight="1">
      <c r="AJ1433"/>
    </row>
    <row r="1434" spans="36:36" ht="11.25" customHeight="1">
      <c r="AJ1434"/>
    </row>
    <row r="1435" spans="36:36" ht="11.25" customHeight="1">
      <c r="AJ1435"/>
    </row>
    <row r="1436" spans="36:36" ht="11.25" customHeight="1">
      <c r="AJ1436"/>
    </row>
    <row r="1437" spans="36:36" ht="11.25" customHeight="1">
      <c r="AJ1437"/>
    </row>
    <row r="1438" spans="36:36" ht="11.25" customHeight="1">
      <c r="AJ1438"/>
    </row>
    <row r="1439" spans="36:36" ht="11.25" customHeight="1">
      <c r="AJ1439"/>
    </row>
    <row r="1440" spans="36:36" ht="11.25" customHeight="1">
      <c r="AJ1440"/>
    </row>
    <row r="1441" spans="36:36" ht="11.25" customHeight="1">
      <c r="AJ1441"/>
    </row>
    <row r="1442" spans="36:36" ht="11.25" customHeight="1">
      <c r="AJ1442"/>
    </row>
    <row r="1443" spans="36:36" ht="11.25" customHeight="1">
      <c r="AJ1443"/>
    </row>
    <row r="1444" spans="36:36" ht="11.25" customHeight="1">
      <c r="AJ1444"/>
    </row>
    <row r="1445" spans="36:36" ht="11.25" customHeight="1">
      <c r="AJ1445"/>
    </row>
    <row r="1446" spans="36:36" ht="11.25" customHeight="1">
      <c r="AJ1446"/>
    </row>
    <row r="1447" spans="36:36" ht="11.25" customHeight="1">
      <c r="AJ1447"/>
    </row>
    <row r="1448" spans="36:36" ht="11.25" customHeight="1">
      <c r="AJ1448"/>
    </row>
    <row r="1449" spans="36:36" ht="11.25" customHeight="1">
      <c r="AJ1449"/>
    </row>
    <row r="1450" spans="36:36" ht="11.25" customHeight="1">
      <c r="AJ1450"/>
    </row>
    <row r="1451" spans="36:36" ht="11.25" customHeight="1">
      <c r="AJ1451"/>
    </row>
    <row r="1452" spans="36:36" ht="11.25" customHeight="1">
      <c r="AJ1452"/>
    </row>
    <row r="1453" spans="36:36" ht="11.25" customHeight="1">
      <c r="AJ1453"/>
    </row>
    <row r="1454" spans="36:36" ht="11.25" customHeight="1">
      <c r="AJ1454"/>
    </row>
    <row r="1455" spans="36:36" ht="11.25" customHeight="1">
      <c r="AJ1455"/>
    </row>
    <row r="1456" spans="36:36" ht="11.25" customHeight="1">
      <c r="AJ1456"/>
    </row>
    <row r="1457" spans="36:36" ht="11.25" customHeight="1">
      <c r="AJ1457"/>
    </row>
    <row r="1458" spans="36:36" ht="11.25" customHeight="1">
      <c r="AJ1458"/>
    </row>
    <row r="1459" spans="36:36" ht="11.25" customHeight="1">
      <c r="AJ1459"/>
    </row>
    <row r="1460" spans="36:36" ht="11.25" customHeight="1">
      <c r="AJ1460"/>
    </row>
    <row r="1461" spans="36:36" ht="11.25" customHeight="1">
      <c r="AJ1461"/>
    </row>
    <row r="1462" spans="36:36" ht="11.25" customHeight="1">
      <c r="AJ1462"/>
    </row>
    <row r="1463" spans="36:36" ht="11.25" customHeight="1">
      <c r="AJ1463"/>
    </row>
    <row r="1464" spans="36:36" ht="11.25" customHeight="1">
      <c r="AJ1464"/>
    </row>
    <row r="1465" spans="36:36" ht="11.25" customHeight="1">
      <c r="AJ1465"/>
    </row>
    <row r="1466" spans="36:36" ht="11.25" customHeight="1">
      <c r="AJ1466"/>
    </row>
    <row r="1467" spans="36:36" ht="11.25" customHeight="1">
      <c r="AJ1467"/>
    </row>
    <row r="1468" spans="36:36" ht="11.25" customHeight="1">
      <c r="AJ1468"/>
    </row>
    <row r="1469" spans="36:36" ht="11.25" customHeight="1">
      <c r="AJ1469"/>
    </row>
    <row r="1470" spans="36:36" ht="11.25" customHeight="1">
      <c r="AJ1470"/>
    </row>
    <row r="1471" spans="36:36" ht="11.25" customHeight="1">
      <c r="AJ1471"/>
    </row>
    <row r="1472" spans="36:36" ht="11.25" customHeight="1">
      <c r="AJ1472"/>
    </row>
    <row r="1473" spans="36:36" ht="11.25" customHeight="1">
      <c r="AJ1473"/>
    </row>
    <row r="1474" spans="36:36" ht="11.25" customHeight="1">
      <c r="AJ1474"/>
    </row>
    <row r="1475" spans="36:36" ht="11.25" customHeight="1">
      <c r="AJ1475"/>
    </row>
    <row r="1476" spans="36:36" ht="11.25" customHeight="1">
      <c r="AJ1476"/>
    </row>
    <row r="1477" spans="36:36" ht="11.25" customHeight="1">
      <c r="AJ1477"/>
    </row>
    <row r="1478" spans="36:36" ht="11.25" customHeight="1">
      <c r="AJ1478"/>
    </row>
    <row r="1479" spans="36:36" ht="11.25" customHeight="1">
      <c r="AJ1479"/>
    </row>
    <row r="1480" spans="36:36" ht="11.25" customHeight="1">
      <c r="AJ1480"/>
    </row>
    <row r="1481" spans="36:36" ht="11.25" customHeight="1">
      <c r="AJ1481"/>
    </row>
    <row r="1482" spans="36:36" ht="11.25" customHeight="1">
      <c r="AJ1482"/>
    </row>
    <row r="1483" spans="36:36" ht="11.25" customHeight="1">
      <c r="AJ1483"/>
    </row>
    <row r="1484" spans="36:36" ht="11.25" customHeight="1">
      <c r="AJ1484"/>
    </row>
    <row r="1485" spans="36:36" ht="11.25" customHeight="1">
      <c r="AJ1485"/>
    </row>
    <row r="1486" spans="36:36" ht="11.25" customHeight="1">
      <c r="AJ1486"/>
    </row>
    <row r="1487" spans="36:36" ht="11.25" customHeight="1">
      <c r="AJ1487"/>
    </row>
    <row r="1488" spans="36:36" ht="11.25" customHeight="1">
      <c r="AJ1488"/>
    </row>
    <row r="1489" spans="36:36" ht="11.25" customHeight="1">
      <c r="AJ1489"/>
    </row>
    <row r="1490" spans="36:36" ht="11.25" customHeight="1">
      <c r="AJ1490"/>
    </row>
    <row r="1491" spans="36:36" ht="11.25" customHeight="1">
      <c r="AJ1491"/>
    </row>
    <row r="1492" spans="36:36" ht="11.25" customHeight="1">
      <c r="AJ1492"/>
    </row>
    <row r="1493" spans="36:36" ht="11.25" customHeight="1">
      <c r="AJ1493"/>
    </row>
    <row r="1494" spans="36:36" ht="11.25" customHeight="1">
      <c r="AJ1494"/>
    </row>
    <row r="1495" spans="36:36" ht="11.25" customHeight="1">
      <c r="AJ1495"/>
    </row>
    <row r="1496" spans="36:36" ht="11.25" customHeight="1">
      <c r="AJ1496"/>
    </row>
    <row r="1497" spans="36:36" ht="11.25" customHeight="1">
      <c r="AJ1497"/>
    </row>
    <row r="1498" spans="36:36" ht="11.25" customHeight="1">
      <c r="AJ1498"/>
    </row>
    <row r="1499" spans="36:36" ht="11.25" customHeight="1">
      <c r="AJ1499"/>
    </row>
    <row r="1500" spans="36:36" ht="11.25" customHeight="1">
      <c r="AJ1500"/>
    </row>
    <row r="1501" spans="36:36" ht="11.25" customHeight="1">
      <c r="AJ1501"/>
    </row>
    <row r="1502" spans="36:36" ht="11.25" customHeight="1">
      <c r="AJ1502"/>
    </row>
    <row r="1503" spans="36:36" ht="11.25" customHeight="1">
      <c r="AJ1503"/>
    </row>
    <row r="1504" spans="36:36" ht="11.25" customHeight="1">
      <c r="AJ1504"/>
    </row>
    <row r="1505" spans="36:36" ht="11.25" customHeight="1">
      <c r="AJ1505"/>
    </row>
    <row r="1506" spans="36:36" ht="11.25" customHeight="1">
      <c r="AJ1506"/>
    </row>
    <row r="1507" spans="36:36" ht="11.25" customHeight="1">
      <c r="AJ1507"/>
    </row>
    <row r="1508" spans="36:36" ht="11.25" customHeight="1">
      <c r="AJ1508"/>
    </row>
    <row r="1509" spans="36:36" ht="11.25" customHeight="1">
      <c r="AJ1509"/>
    </row>
    <row r="1510" spans="36:36" ht="11.25" customHeight="1">
      <c r="AJ1510"/>
    </row>
    <row r="1511" spans="36:36" ht="11.25" customHeight="1">
      <c r="AJ1511"/>
    </row>
    <row r="1512" spans="36:36" ht="11.25" customHeight="1">
      <c r="AJ1512"/>
    </row>
    <row r="1513" spans="36:36" ht="11.25" customHeight="1">
      <c r="AJ1513"/>
    </row>
    <row r="1514" spans="36:36" ht="11.25" customHeight="1">
      <c r="AJ1514"/>
    </row>
    <row r="1515" spans="36:36" ht="11.25" customHeight="1">
      <c r="AJ1515"/>
    </row>
    <row r="1516" spans="36:36" ht="11.25" customHeight="1">
      <c r="AJ1516"/>
    </row>
    <row r="1517" spans="36:36" ht="11.25" customHeight="1">
      <c r="AJ1517"/>
    </row>
    <row r="1518" spans="36:36" ht="11.25" customHeight="1">
      <c r="AJ1518"/>
    </row>
    <row r="1519" spans="36:36" ht="11.25" customHeight="1">
      <c r="AJ1519"/>
    </row>
    <row r="1520" spans="36:36" ht="11.25" customHeight="1">
      <c r="AJ1520"/>
    </row>
    <row r="1521" spans="36:36" ht="11.25" customHeight="1">
      <c r="AJ1521"/>
    </row>
    <row r="1522" spans="36:36" ht="11.25" customHeight="1">
      <c r="AJ1522"/>
    </row>
    <row r="1523" spans="36:36" ht="11.25" customHeight="1">
      <c r="AJ1523"/>
    </row>
    <row r="1524" spans="36:36" ht="11.25" customHeight="1">
      <c r="AJ1524"/>
    </row>
    <row r="1525" spans="36:36" ht="11.25" customHeight="1">
      <c r="AJ1525"/>
    </row>
    <row r="1526" spans="36:36" ht="11.25" customHeight="1">
      <c r="AJ1526"/>
    </row>
    <row r="1527" spans="36:36" ht="11.25" customHeight="1">
      <c r="AJ1527"/>
    </row>
    <row r="1528" spans="36:36" ht="11.25" customHeight="1">
      <c r="AJ1528"/>
    </row>
    <row r="1529" spans="36:36" ht="11.25" customHeight="1">
      <c r="AJ1529"/>
    </row>
    <row r="1530" spans="36:36" ht="11.25" customHeight="1">
      <c r="AJ1530"/>
    </row>
    <row r="1531" spans="36:36" ht="11.25" customHeight="1">
      <c r="AJ1531"/>
    </row>
    <row r="1532" spans="36:36" ht="11.25" customHeight="1">
      <c r="AJ1532"/>
    </row>
    <row r="1533" spans="36:36" ht="11.25" customHeight="1">
      <c r="AJ1533"/>
    </row>
    <row r="1534" spans="36:36" ht="11.25" customHeight="1">
      <c r="AJ1534"/>
    </row>
    <row r="1535" spans="36:36" ht="11.25" customHeight="1">
      <c r="AJ1535"/>
    </row>
    <row r="1536" spans="36:36" ht="11.25" customHeight="1">
      <c r="AJ1536"/>
    </row>
    <row r="1537" spans="36:36" ht="11.25" customHeight="1">
      <c r="AJ1537"/>
    </row>
    <row r="1538" spans="36:36" ht="11.25" customHeight="1">
      <c r="AJ1538"/>
    </row>
    <row r="1539" spans="36:36" ht="11.25" customHeight="1">
      <c r="AJ1539"/>
    </row>
    <row r="1540" spans="36:36" ht="11.25" customHeight="1">
      <c r="AJ1540"/>
    </row>
    <row r="1541" spans="36:36" ht="11.25" customHeight="1">
      <c r="AJ1541"/>
    </row>
    <row r="1542" spans="36:36" ht="11.25" customHeight="1">
      <c r="AJ1542"/>
    </row>
    <row r="1543" spans="36:36" ht="11.25" customHeight="1">
      <c r="AJ1543"/>
    </row>
    <row r="1544" spans="36:36" ht="11.25" customHeight="1">
      <c r="AJ1544"/>
    </row>
    <row r="1545" spans="36:36" ht="11.25" customHeight="1">
      <c r="AJ1545"/>
    </row>
    <row r="1546" spans="36:36" ht="11.25" customHeight="1">
      <c r="AJ1546"/>
    </row>
    <row r="1547" spans="36:36" ht="11.25" customHeight="1">
      <c r="AJ1547"/>
    </row>
    <row r="1548" spans="36:36" ht="11.25" customHeight="1">
      <c r="AJ1548"/>
    </row>
    <row r="1549" spans="36:36" ht="11.25" customHeight="1">
      <c r="AJ1549"/>
    </row>
    <row r="1550" spans="36:36" ht="11.25" customHeight="1">
      <c r="AJ1550"/>
    </row>
    <row r="1551" spans="36:36" ht="11.25" customHeight="1">
      <c r="AJ1551"/>
    </row>
    <row r="1552" spans="36:36" ht="11.25" customHeight="1">
      <c r="AJ1552"/>
    </row>
    <row r="1553" spans="36:36" ht="11.25" customHeight="1">
      <c r="AJ1553"/>
    </row>
    <row r="1554" spans="36:36" ht="11.25" customHeight="1">
      <c r="AJ1554"/>
    </row>
    <row r="1555" spans="36:36" ht="11.25" customHeight="1">
      <c r="AJ1555"/>
    </row>
    <row r="1556" spans="36:36" ht="11.25" customHeight="1">
      <c r="AJ1556"/>
    </row>
    <row r="1557" spans="36:36" ht="11.25" customHeight="1">
      <c r="AJ1557"/>
    </row>
    <row r="1558" spans="36:36" ht="11.25" customHeight="1">
      <c r="AJ1558"/>
    </row>
    <row r="1559" spans="36:36" ht="11.25" customHeight="1">
      <c r="AJ1559"/>
    </row>
    <row r="1560" spans="36:36" ht="11.25" customHeight="1">
      <c r="AJ1560"/>
    </row>
    <row r="1561" spans="36:36" ht="11.25" customHeight="1">
      <c r="AJ1561"/>
    </row>
    <row r="1562" spans="36:36" ht="11.25" customHeight="1">
      <c r="AJ1562"/>
    </row>
    <row r="1563" spans="36:36" ht="11.25" customHeight="1">
      <c r="AJ1563"/>
    </row>
    <row r="1564" spans="36:36" ht="11.25" customHeight="1">
      <c r="AJ1564"/>
    </row>
    <row r="1565" spans="36:36" ht="11.25" customHeight="1">
      <c r="AJ1565"/>
    </row>
    <row r="1566" spans="36:36" ht="11.25" customHeight="1">
      <c r="AJ1566"/>
    </row>
    <row r="1567" spans="36:36" ht="11.25" customHeight="1">
      <c r="AJ1567"/>
    </row>
    <row r="1568" spans="36:36" ht="11.25" customHeight="1">
      <c r="AJ1568"/>
    </row>
    <row r="1569" spans="36:36" ht="11.25" customHeight="1">
      <c r="AJ1569"/>
    </row>
    <row r="1570" spans="36:36" ht="11.25" customHeight="1">
      <c r="AJ1570"/>
    </row>
    <row r="1571" spans="36:36" ht="11.25" customHeight="1">
      <c r="AJ1571"/>
    </row>
    <row r="1572" spans="36:36" ht="11.25" customHeight="1">
      <c r="AJ1572"/>
    </row>
    <row r="1573" spans="36:36" ht="11.25" customHeight="1">
      <c r="AJ1573"/>
    </row>
    <row r="1574" spans="36:36" ht="11.25" customHeight="1">
      <c r="AJ1574"/>
    </row>
    <row r="1575" spans="36:36" ht="11.25" customHeight="1">
      <c r="AJ1575"/>
    </row>
    <row r="1576" spans="36:36" ht="11.25" customHeight="1">
      <c r="AJ1576"/>
    </row>
    <row r="1577" spans="36:36" ht="11.25" customHeight="1">
      <c r="AJ1577"/>
    </row>
    <row r="1578" spans="36:36" ht="11.25" customHeight="1">
      <c r="AJ1578"/>
    </row>
    <row r="1579" spans="36:36" ht="11.25" customHeight="1">
      <c r="AJ1579"/>
    </row>
    <row r="1580" spans="36:36" ht="11.25" customHeight="1">
      <c r="AJ1580"/>
    </row>
    <row r="1581" spans="36:36" ht="11.25" customHeight="1">
      <c r="AJ1581"/>
    </row>
    <row r="1582" spans="36:36" ht="11.25" customHeight="1">
      <c r="AJ1582"/>
    </row>
    <row r="1583" spans="36:36" ht="11.25" customHeight="1">
      <c r="AJ1583"/>
    </row>
    <row r="1584" spans="36:36" ht="11.25" customHeight="1">
      <c r="AJ1584"/>
    </row>
    <row r="1585" spans="36:36" ht="11.25" customHeight="1">
      <c r="AJ1585"/>
    </row>
    <row r="1586" spans="36:36" ht="11.25" customHeight="1">
      <c r="AJ1586"/>
    </row>
    <row r="1587" spans="36:36" ht="11.25" customHeight="1">
      <c r="AJ1587"/>
    </row>
    <row r="1588" spans="36:36" ht="11.25" customHeight="1">
      <c r="AJ1588"/>
    </row>
    <row r="1589" spans="36:36" ht="11.25" customHeight="1">
      <c r="AJ1589"/>
    </row>
    <row r="1590" spans="36:36" ht="11.25" customHeight="1">
      <c r="AJ1590"/>
    </row>
    <row r="1591" spans="36:36" ht="11.25" customHeight="1">
      <c r="AJ1591"/>
    </row>
    <row r="1592" spans="36:36" ht="11.25" customHeight="1">
      <c r="AJ1592"/>
    </row>
    <row r="1593" spans="36:36" ht="11.25" customHeight="1">
      <c r="AJ1593"/>
    </row>
    <row r="1594" spans="36:36" ht="11.25" customHeight="1">
      <c r="AJ1594"/>
    </row>
    <row r="1595" spans="36:36" ht="11.25" customHeight="1">
      <c r="AJ1595"/>
    </row>
    <row r="1596" spans="36:36" ht="11.25" customHeight="1">
      <c r="AJ1596"/>
    </row>
    <row r="1597" spans="36:36" ht="11.25" customHeight="1">
      <c r="AJ1597"/>
    </row>
    <row r="1598" spans="36:36" ht="11.25" customHeight="1">
      <c r="AJ1598"/>
    </row>
    <row r="1599" spans="36:36" ht="11.25" customHeight="1">
      <c r="AJ1599"/>
    </row>
    <row r="1600" spans="36:36" ht="11.25" customHeight="1">
      <c r="AJ1600"/>
    </row>
    <row r="1601" spans="36:36" ht="11.25" customHeight="1">
      <c r="AJ1601"/>
    </row>
    <row r="1602" spans="36:36" ht="11.25" customHeight="1">
      <c r="AJ1602"/>
    </row>
    <row r="1603" spans="36:36" ht="11.25" customHeight="1">
      <c r="AJ1603"/>
    </row>
    <row r="1604" spans="36:36" ht="11.25" customHeight="1">
      <c r="AJ1604"/>
    </row>
    <row r="1605" spans="36:36" ht="11.25" customHeight="1">
      <c r="AJ1605"/>
    </row>
    <row r="1606" spans="36:36" ht="11.25" customHeight="1">
      <c r="AJ1606"/>
    </row>
    <row r="1607" spans="36:36" ht="11.25" customHeight="1">
      <c r="AJ1607"/>
    </row>
    <row r="1608" spans="36:36" ht="11.25" customHeight="1">
      <c r="AJ1608"/>
    </row>
    <row r="1609" spans="36:36" ht="11.25" customHeight="1">
      <c r="AJ1609"/>
    </row>
    <row r="1610" spans="36:36" ht="11.25" customHeight="1">
      <c r="AJ1610"/>
    </row>
    <row r="1611" spans="36:36" ht="11.25" customHeight="1">
      <c r="AJ1611"/>
    </row>
    <row r="1612" spans="36:36" ht="11.25" customHeight="1">
      <c r="AJ1612"/>
    </row>
    <row r="1613" spans="36:36" ht="11.25" customHeight="1">
      <c r="AJ1613"/>
    </row>
    <row r="1614" spans="36:36" ht="11.25" customHeight="1">
      <c r="AJ1614"/>
    </row>
    <row r="1615" spans="36:36" ht="11.25" customHeight="1">
      <c r="AJ1615"/>
    </row>
    <row r="1616" spans="36:36" ht="11.25" customHeight="1">
      <c r="AJ1616"/>
    </row>
    <row r="1617" spans="36:36" ht="11.25" customHeight="1">
      <c r="AJ1617"/>
    </row>
    <row r="1618" spans="36:36" ht="11.25" customHeight="1">
      <c r="AJ1618"/>
    </row>
    <row r="1619" spans="36:36" ht="11.25" customHeight="1">
      <c r="AJ1619"/>
    </row>
    <row r="1620" spans="36:36" ht="11.25" customHeight="1">
      <c r="AJ1620"/>
    </row>
    <row r="1621" spans="36:36" ht="11.25" customHeight="1">
      <c r="AJ1621"/>
    </row>
    <row r="1622" spans="36:36" ht="11.25" customHeight="1">
      <c r="AJ1622"/>
    </row>
    <row r="1623" spans="36:36" ht="11.25" customHeight="1">
      <c r="AJ1623"/>
    </row>
    <row r="1624" spans="36:36" ht="11.25" customHeight="1">
      <c r="AJ1624"/>
    </row>
    <row r="1625" spans="36:36" ht="11.25" customHeight="1">
      <c r="AJ1625"/>
    </row>
    <row r="1626" spans="36:36" ht="11.25" customHeight="1">
      <c r="AJ1626"/>
    </row>
    <row r="1627" spans="36:36" ht="11.25" customHeight="1">
      <c r="AJ1627"/>
    </row>
    <row r="1628" spans="36:36" ht="11.25" customHeight="1">
      <c r="AJ1628"/>
    </row>
    <row r="1629" spans="36:36" ht="11.25" customHeight="1">
      <c r="AJ1629"/>
    </row>
    <row r="1630" spans="36:36" ht="11.25" customHeight="1">
      <c r="AJ1630"/>
    </row>
    <row r="1631" spans="36:36" ht="11.25" customHeight="1">
      <c r="AJ1631"/>
    </row>
    <row r="1632" spans="36:36" ht="11.25" customHeight="1">
      <c r="AJ1632"/>
    </row>
    <row r="1633" spans="36:36" ht="11.25" customHeight="1">
      <c r="AJ1633"/>
    </row>
    <row r="1634" spans="36:36" ht="11.25" customHeight="1">
      <c r="AJ1634"/>
    </row>
    <row r="1635" spans="36:36" ht="11.25" customHeight="1">
      <c r="AJ1635"/>
    </row>
    <row r="1636" spans="36:36" ht="11.25" customHeight="1">
      <c r="AJ1636"/>
    </row>
    <row r="1637" spans="36:36" ht="11.25" customHeight="1">
      <c r="AJ1637"/>
    </row>
    <row r="1638" spans="36:36" ht="11.25" customHeight="1">
      <c r="AJ1638"/>
    </row>
    <row r="1639" spans="36:36" ht="11.25" customHeight="1">
      <c r="AJ1639"/>
    </row>
    <row r="1640" spans="36:36" ht="11.25" customHeight="1">
      <c r="AJ1640"/>
    </row>
    <row r="1641" spans="36:36" ht="11.25" customHeight="1">
      <c r="AJ1641"/>
    </row>
    <row r="1642" spans="36:36" ht="11.25" customHeight="1">
      <c r="AJ1642"/>
    </row>
    <row r="1643" spans="36:36" ht="11.25" customHeight="1">
      <c r="AJ1643"/>
    </row>
    <row r="1644" spans="36:36" ht="11.25" customHeight="1">
      <c r="AJ1644"/>
    </row>
    <row r="1645" spans="36:36" ht="11.25" customHeight="1">
      <c r="AJ1645"/>
    </row>
    <row r="1646" spans="36:36" ht="11.25" customHeight="1">
      <c r="AJ1646"/>
    </row>
    <row r="1647" spans="36:36" ht="11.25" customHeight="1">
      <c r="AJ1647"/>
    </row>
    <row r="1648" spans="36:36" ht="11.25" customHeight="1">
      <c r="AJ1648"/>
    </row>
    <row r="1649" spans="36:36" ht="11.25" customHeight="1">
      <c r="AJ1649"/>
    </row>
    <row r="1650" spans="36:36" ht="11.25" customHeight="1">
      <c r="AJ1650"/>
    </row>
    <row r="1651" spans="36:36" ht="11.25" customHeight="1">
      <c r="AJ1651"/>
    </row>
    <row r="1652" spans="36:36" ht="11.25" customHeight="1">
      <c r="AJ1652"/>
    </row>
    <row r="1653" spans="36:36" ht="11.25" customHeight="1">
      <c r="AJ1653"/>
    </row>
    <row r="1654" spans="36:36" ht="11.25" customHeight="1">
      <c r="AJ1654"/>
    </row>
    <row r="1655" spans="36:36" ht="11.25" customHeight="1">
      <c r="AJ1655"/>
    </row>
    <row r="1656" spans="36:36" ht="11.25" customHeight="1">
      <c r="AJ1656"/>
    </row>
    <row r="1657" spans="36:36" ht="11.25" customHeight="1">
      <c r="AJ1657"/>
    </row>
    <row r="1658" spans="36:36" ht="11.25" customHeight="1">
      <c r="AJ1658"/>
    </row>
    <row r="1659" spans="36:36" ht="11.25" customHeight="1">
      <c r="AJ1659"/>
    </row>
    <row r="1660" spans="36:36" ht="11.25" customHeight="1">
      <c r="AJ1660"/>
    </row>
    <row r="1661" spans="36:36" ht="11.25" customHeight="1">
      <c r="AJ1661"/>
    </row>
    <row r="1662" spans="36:36" ht="11.25" customHeight="1">
      <c r="AJ1662"/>
    </row>
    <row r="1663" spans="36:36" ht="11.25" customHeight="1">
      <c r="AJ1663"/>
    </row>
    <row r="1664" spans="36:36" ht="11.25" customHeight="1">
      <c r="AJ1664"/>
    </row>
    <row r="1665" spans="36:36" ht="11.25" customHeight="1">
      <c r="AJ1665"/>
    </row>
    <row r="1666" spans="36:36" ht="11.25" customHeight="1">
      <c r="AJ1666"/>
    </row>
    <row r="1667" spans="36:36" ht="11.25" customHeight="1">
      <c r="AJ1667"/>
    </row>
    <row r="1668" spans="36:36" ht="11.25" customHeight="1">
      <c r="AJ1668"/>
    </row>
    <row r="1669" spans="36:36" ht="11.25" customHeight="1">
      <c r="AJ1669"/>
    </row>
    <row r="1670" spans="36:36" ht="11.25" customHeight="1">
      <c r="AJ1670"/>
    </row>
    <row r="1671" spans="36:36" ht="11.25" customHeight="1">
      <c r="AJ1671"/>
    </row>
    <row r="1672" spans="36:36" ht="11.25" customHeight="1">
      <c r="AJ1672"/>
    </row>
    <row r="1673" spans="36:36" ht="11.25" customHeight="1">
      <c r="AJ1673"/>
    </row>
    <row r="1674" spans="36:36" ht="11.25" customHeight="1">
      <c r="AJ1674"/>
    </row>
    <row r="1675" spans="36:36" ht="11.25" customHeight="1">
      <c r="AJ1675"/>
    </row>
    <row r="1676" spans="36:36" ht="11.25" customHeight="1">
      <c r="AJ1676"/>
    </row>
    <row r="1677" spans="36:36" ht="11.25" customHeight="1">
      <c r="AJ1677"/>
    </row>
    <row r="1678" spans="36:36" ht="11.25" customHeight="1">
      <c r="AJ1678"/>
    </row>
    <row r="1679" spans="36:36" ht="11.25" customHeight="1">
      <c r="AJ1679"/>
    </row>
    <row r="1680" spans="36:36" ht="11.25" customHeight="1">
      <c r="AJ1680"/>
    </row>
    <row r="1681" spans="36:36" ht="11.25" customHeight="1">
      <c r="AJ1681"/>
    </row>
    <row r="1682" spans="36:36" ht="11.25" customHeight="1">
      <c r="AJ1682"/>
    </row>
    <row r="1683" spans="36:36" ht="11.25" customHeight="1">
      <c r="AJ1683"/>
    </row>
    <row r="1684" spans="36:36" ht="11.25" customHeight="1">
      <c r="AJ1684"/>
    </row>
    <row r="1685" spans="36:36" ht="11.25" customHeight="1">
      <c r="AJ1685"/>
    </row>
    <row r="1686" spans="36:36" ht="11.25" customHeight="1">
      <c r="AJ1686"/>
    </row>
    <row r="1687" spans="36:36" ht="11.25" customHeight="1">
      <c r="AJ1687"/>
    </row>
    <row r="1688" spans="36:36" ht="11.25" customHeight="1">
      <c r="AJ1688"/>
    </row>
    <row r="1689" spans="36:36" ht="11.25" customHeight="1">
      <c r="AJ1689"/>
    </row>
    <row r="1690" spans="36:36" ht="11.25" customHeight="1">
      <c r="AJ1690"/>
    </row>
    <row r="1691" spans="36:36" ht="11.25" customHeight="1">
      <c r="AJ1691"/>
    </row>
    <row r="1692" spans="36:36" ht="11.25" customHeight="1">
      <c r="AJ1692"/>
    </row>
    <row r="1693" spans="36:36" ht="11.25" customHeight="1">
      <c r="AJ1693"/>
    </row>
    <row r="1694" spans="36:36" ht="11.25" customHeight="1">
      <c r="AJ1694"/>
    </row>
    <row r="1695" spans="36:36" ht="11.25" customHeight="1">
      <c r="AJ1695"/>
    </row>
    <row r="1696" spans="36:36" ht="11.25" customHeight="1">
      <c r="AJ1696"/>
    </row>
    <row r="1697" spans="36:36" ht="11.25" customHeight="1">
      <c r="AJ1697"/>
    </row>
    <row r="1698" spans="36:36" ht="11.25" customHeight="1">
      <c r="AJ1698"/>
    </row>
    <row r="1699" spans="36:36" ht="11.25" customHeight="1">
      <c r="AJ1699"/>
    </row>
    <row r="1700" spans="36:36" ht="11.25" customHeight="1">
      <c r="AJ1700"/>
    </row>
    <row r="1701" spans="36:36" ht="11.25" customHeight="1">
      <c r="AJ1701"/>
    </row>
    <row r="1702" spans="36:36" ht="11.25" customHeight="1">
      <c r="AJ1702"/>
    </row>
    <row r="1703" spans="36:36" ht="11.25" customHeight="1">
      <c r="AJ1703"/>
    </row>
    <row r="1704" spans="36:36" ht="11.25" customHeight="1">
      <c r="AJ1704"/>
    </row>
    <row r="1705" spans="36:36" ht="11.25" customHeight="1">
      <c r="AJ1705"/>
    </row>
    <row r="1706" spans="36:36" ht="11.25" customHeight="1">
      <c r="AJ1706"/>
    </row>
    <row r="1707" spans="36:36" ht="11.25" customHeight="1">
      <c r="AJ1707"/>
    </row>
    <row r="1708" spans="36:36" ht="11.25" customHeight="1">
      <c r="AJ1708"/>
    </row>
    <row r="1709" spans="36:36" ht="11.25" customHeight="1">
      <c r="AJ1709"/>
    </row>
    <row r="1710" spans="36:36" ht="11.25" customHeight="1">
      <c r="AJ1710"/>
    </row>
    <row r="1711" spans="36:36" ht="11.25" customHeight="1">
      <c r="AJ1711"/>
    </row>
    <row r="1712" spans="36:36" ht="11.25" customHeight="1">
      <c r="AJ1712"/>
    </row>
    <row r="1713" spans="36:36" ht="11.25" customHeight="1">
      <c r="AJ1713"/>
    </row>
    <row r="1714" spans="36:36" ht="11.25" customHeight="1">
      <c r="AJ1714"/>
    </row>
    <row r="1715" spans="36:36" ht="11.25" customHeight="1">
      <c r="AJ1715"/>
    </row>
    <row r="1716" spans="36:36" ht="11.25" customHeight="1">
      <c r="AJ1716"/>
    </row>
    <row r="1717" spans="36:36" ht="11.25" customHeight="1">
      <c r="AJ1717"/>
    </row>
    <row r="1718" spans="36:36" ht="11.25" customHeight="1">
      <c r="AJ1718"/>
    </row>
    <row r="1719" spans="36:36" ht="11.25" customHeight="1">
      <c r="AJ1719"/>
    </row>
    <row r="1720" spans="36:36" ht="11.25" customHeight="1">
      <c r="AJ1720"/>
    </row>
    <row r="1721" spans="36:36" ht="11.25" customHeight="1">
      <c r="AJ1721"/>
    </row>
    <row r="1722" spans="36:36" ht="11.25" customHeight="1">
      <c r="AJ1722"/>
    </row>
    <row r="1723" spans="36:36" ht="11.25" customHeight="1">
      <c r="AJ1723"/>
    </row>
    <row r="1724" spans="36:36" ht="11.25" customHeight="1">
      <c r="AJ1724"/>
    </row>
    <row r="1725" spans="36:36" ht="11.25" customHeight="1">
      <c r="AJ1725"/>
    </row>
    <row r="1726" spans="36:36" ht="11.25" customHeight="1">
      <c r="AJ1726"/>
    </row>
    <row r="1727" spans="36:36" ht="11.25" customHeight="1">
      <c r="AJ1727"/>
    </row>
    <row r="1728" spans="36:36" ht="11.25" customHeight="1">
      <c r="AJ1728"/>
    </row>
    <row r="1729" spans="36:36" ht="11.25" customHeight="1">
      <c r="AJ1729"/>
    </row>
    <row r="1730" spans="36:36" ht="11.25" customHeight="1">
      <c r="AJ1730"/>
    </row>
    <row r="1731" spans="36:36" ht="11.25" customHeight="1">
      <c r="AJ1731"/>
    </row>
    <row r="1732" spans="36:36" ht="11.25" customHeight="1">
      <c r="AJ1732"/>
    </row>
    <row r="1733" spans="36:36" ht="11.25" customHeight="1">
      <c r="AJ1733"/>
    </row>
    <row r="1734" spans="36:36" ht="11.25" customHeight="1">
      <c r="AJ1734"/>
    </row>
    <row r="1735" spans="36:36" ht="11.25" customHeight="1">
      <c r="AJ1735"/>
    </row>
    <row r="1736" spans="36:36" ht="11.25" customHeight="1">
      <c r="AJ1736"/>
    </row>
    <row r="1737" spans="36:36" ht="11.25" customHeight="1">
      <c r="AJ1737"/>
    </row>
    <row r="1738" spans="36:36" ht="11.25" customHeight="1">
      <c r="AJ1738"/>
    </row>
    <row r="1739" spans="36:36" ht="11.25" customHeight="1">
      <c r="AJ1739"/>
    </row>
    <row r="1740" spans="36:36" ht="11.25" customHeight="1">
      <c r="AJ1740"/>
    </row>
    <row r="1741" spans="36:36" ht="11.25" customHeight="1">
      <c r="AJ1741"/>
    </row>
    <row r="1742" spans="36:36" ht="11.25" customHeight="1">
      <c r="AJ1742"/>
    </row>
    <row r="1743" spans="36:36" ht="11.25" customHeight="1">
      <c r="AJ1743"/>
    </row>
    <row r="1744" spans="36:36" ht="11.25" customHeight="1">
      <c r="AJ1744"/>
    </row>
    <row r="1745" spans="36:36" ht="11.25" customHeight="1">
      <c r="AJ1745"/>
    </row>
    <row r="1746" spans="36:36" ht="11.25" customHeight="1">
      <c r="AJ1746"/>
    </row>
    <row r="1747" spans="36:36" ht="11.25" customHeight="1">
      <c r="AJ1747"/>
    </row>
    <row r="1748" spans="36:36" ht="11.25" customHeight="1">
      <c r="AJ1748"/>
    </row>
    <row r="1749" spans="36:36" ht="11.25" customHeight="1">
      <c r="AJ1749"/>
    </row>
    <row r="1750" spans="36:36" ht="11.25" customHeight="1">
      <c r="AJ1750"/>
    </row>
    <row r="1751" spans="36:36" ht="11.25" customHeight="1">
      <c r="AJ1751"/>
    </row>
    <row r="1752" spans="36:36" ht="11.25" customHeight="1">
      <c r="AJ1752"/>
    </row>
    <row r="1753" spans="36:36" ht="11.25" customHeight="1">
      <c r="AJ1753"/>
    </row>
    <row r="1754" spans="36:36" ht="11.25" customHeight="1">
      <c r="AJ1754"/>
    </row>
    <row r="1755" spans="36:36" ht="11.25" customHeight="1">
      <c r="AJ1755"/>
    </row>
    <row r="1756" spans="36:36" ht="11.25" customHeight="1">
      <c r="AJ1756"/>
    </row>
    <row r="1757" spans="36:36" ht="11.25" customHeight="1">
      <c r="AJ1757"/>
    </row>
    <row r="1758" spans="36:36" ht="11.25" customHeight="1">
      <c r="AJ1758"/>
    </row>
    <row r="1759" spans="36:36" ht="11.25" customHeight="1">
      <c r="AJ1759"/>
    </row>
    <row r="1760" spans="36:36" ht="11.25" customHeight="1">
      <c r="AJ1760"/>
    </row>
    <row r="1761" spans="36:36" ht="11.25" customHeight="1">
      <c r="AJ1761"/>
    </row>
    <row r="1762" spans="36:36" ht="11.25" customHeight="1">
      <c r="AJ1762"/>
    </row>
    <row r="1763" spans="36:36" ht="11.25" customHeight="1">
      <c r="AJ1763"/>
    </row>
    <row r="1764" spans="36:36" ht="11.25" customHeight="1">
      <c r="AJ1764"/>
    </row>
    <row r="1765" spans="36:36" ht="11.25" customHeight="1">
      <c r="AJ1765"/>
    </row>
    <row r="1766" spans="36:36" ht="11.25" customHeight="1">
      <c r="AJ1766"/>
    </row>
    <row r="1767" spans="36:36" ht="11.25" customHeight="1">
      <c r="AJ1767"/>
    </row>
    <row r="1768" spans="36:36" ht="11.25" customHeight="1">
      <c r="AJ1768"/>
    </row>
    <row r="1769" spans="36:36" ht="11.25" customHeight="1">
      <c r="AJ1769"/>
    </row>
    <row r="1770" spans="36:36" ht="11.25" customHeight="1">
      <c r="AJ1770"/>
    </row>
    <row r="1771" spans="36:36" ht="11.25" customHeight="1">
      <c r="AJ1771"/>
    </row>
    <row r="1772" spans="36:36" ht="11.25" customHeight="1">
      <c r="AJ1772"/>
    </row>
    <row r="1773" spans="36:36" ht="11.25" customHeight="1">
      <c r="AJ1773"/>
    </row>
    <row r="1774" spans="36:36" ht="11.25" customHeight="1">
      <c r="AJ1774"/>
    </row>
    <row r="1775" spans="36:36" ht="11.25" customHeight="1">
      <c r="AJ1775"/>
    </row>
    <row r="1776" spans="36:36" ht="11.25" customHeight="1">
      <c r="AJ1776"/>
    </row>
    <row r="1777" spans="36:36" ht="11.25" customHeight="1">
      <c r="AJ1777"/>
    </row>
    <row r="1778" spans="36:36" ht="11.25" customHeight="1">
      <c r="AJ1778"/>
    </row>
    <row r="1779" spans="36:36" ht="11.25" customHeight="1">
      <c r="AJ1779"/>
    </row>
    <row r="1780" spans="36:36" ht="11.25" customHeight="1">
      <c r="AJ1780"/>
    </row>
    <row r="1781" spans="36:36" ht="11.25" customHeight="1">
      <c r="AJ1781"/>
    </row>
    <row r="1782" spans="36:36" ht="11.25" customHeight="1">
      <c r="AJ1782"/>
    </row>
    <row r="1783" spans="36:36" ht="11.25" customHeight="1">
      <c r="AJ1783"/>
    </row>
    <row r="1784" spans="36:36" ht="11.25" customHeight="1">
      <c r="AJ1784"/>
    </row>
    <row r="1785" spans="36:36" ht="11.25" customHeight="1">
      <c r="AJ1785"/>
    </row>
    <row r="1786" spans="36:36" ht="11.25" customHeight="1">
      <c r="AJ1786"/>
    </row>
    <row r="1787" spans="36:36" ht="11.25" customHeight="1">
      <c r="AJ1787"/>
    </row>
    <row r="1788" spans="36:36" ht="11.25" customHeight="1">
      <c r="AJ1788"/>
    </row>
    <row r="1789" spans="36:36" ht="11.25" customHeight="1">
      <c r="AJ1789"/>
    </row>
    <row r="1790" spans="36:36" ht="11.25" customHeight="1">
      <c r="AJ1790"/>
    </row>
    <row r="1791" spans="36:36" ht="11.25" customHeight="1">
      <c r="AJ1791"/>
    </row>
    <row r="1792" spans="36:36" ht="11.25" customHeight="1">
      <c r="AJ1792"/>
    </row>
    <row r="1793" spans="36:36" ht="11.25" customHeight="1">
      <c r="AJ1793"/>
    </row>
    <row r="1794" spans="36:36" ht="11.25" customHeight="1">
      <c r="AJ1794"/>
    </row>
    <row r="1795" spans="36:36" ht="11.25" customHeight="1">
      <c r="AJ1795"/>
    </row>
    <row r="1796" spans="36:36" ht="11.25" customHeight="1">
      <c r="AJ1796"/>
    </row>
    <row r="1797" spans="36:36" ht="11.25" customHeight="1">
      <c r="AJ1797"/>
    </row>
    <row r="1798" spans="36:36" ht="11.25" customHeight="1">
      <c r="AJ1798"/>
    </row>
    <row r="1799" spans="36:36" ht="11.25" customHeight="1">
      <c r="AJ1799"/>
    </row>
    <row r="1800" spans="36:36" ht="11.25" customHeight="1">
      <c r="AJ1800"/>
    </row>
    <row r="1801" spans="36:36" ht="11.25" customHeight="1">
      <c r="AJ1801"/>
    </row>
    <row r="1802" spans="36:36" ht="11.25" customHeight="1">
      <c r="AJ1802"/>
    </row>
    <row r="1803" spans="36:36" ht="11.25" customHeight="1">
      <c r="AJ1803"/>
    </row>
    <row r="1804" spans="36:36" ht="11.25" customHeight="1">
      <c r="AJ1804"/>
    </row>
    <row r="1805" spans="36:36" ht="11.25" customHeight="1">
      <c r="AJ1805"/>
    </row>
    <row r="1806" spans="36:36" ht="11.25" customHeight="1">
      <c r="AJ1806"/>
    </row>
    <row r="1807" spans="36:36" ht="11.25" customHeight="1">
      <c r="AJ1807"/>
    </row>
    <row r="1808" spans="36:36" ht="11.25" customHeight="1">
      <c r="AJ1808"/>
    </row>
    <row r="1809" spans="36:36" ht="11.25" customHeight="1">
      <c r="AJ1809"/>
    </row>
    <row r="1810" spans="36:36" ht="11.25" customHeight="1">
      <c r="AJ1810"/>
    </row>
    <row r="1811" spans="36:36" ht="11.25" customHeight="1">
      <c r="AJ1811"/>
    </row>
    <row r="1812" spans="36:36" ht="11.25" customHeight="1">
      <c r="AJ1812"/>
    </row>
    <row r="1813" spans="36:36" ht="11.25" customHeight="1">
      <c r="AJ1813"/>
    </row>
    <row r="1814" spans="36:36" ht="11.25" customHeight="1">
      <c r="AJ1814"/>
    </row>
    <row r="1815" spans="36:36" ht="11.25" customHeight="1">
      <c r="AJ1815"/>
    </row>
    <row r="1816" spans="36:36" ht="11.25" customHeight="1">
      <c r="AJ1816"/>
    </row>
    <row r="1817" spans="36:36" ht="11.25" customHeight="1">
      <c r="AJ1817"/>
    </row>
    <row r="1818" spans="36:36" ht="11.25" customHeight="1">
      <c r="AJ1818"/>
    </row>
    <row r="1819" spans="36:36" ht="11.25" customHeight="1">
      <c r="AJ1819"/>
    </row>
    <row r="1820" spans="36:36" ht="11.25" customHeight="1">
      <c r="AJ1820"/>
    </row>
    <row r="1821" spans="36:36" ht="11.25" customHeight="1">
      <c r="AJ1821"/>
    </row>
    <row r="1822" spans="36:36" ht="11.25" customHeight="1">
      <c r="AJ1822"/>
    </row>
    <row r="1823" spans="36:36" ht="11.25" customHeight="1">
      <c r="AJ1823"/>
    </row>
    <row r="1824" spans="36:36" ht="11.25" customHeight="1">
      <c r="AJ1824"/>
    </row>
    <row r="1825" spans="36:36" ht="11.25" customHeight="1">
      <c r="AJ1825"/>
    </row>
    <row r="1826" spans="36:36" ht="11.25" customHeight="1">
      <c r="AJ1826"/>
    </row>
    <row r="1827" spans="36:36" ht="11.25" customHeight="1">
      <c r="AJ1827"/>
    </row>
    <row r="1828" spans="36:36" ht="11.25" customHeight="1">
      <c r="AJ1828"/>
    </row>
    <row r="1829" spans="36:36" ht="11.25" customHeight="1">
      <c r="AJ1829"/>
    </row>
    <row r="1830" spans="36:36" ht="11.25" customHeight="1">
      <c r="AJ1830"/>
    </row>
    <row r="1831" spans="36:36" ht="11.25" customHeight="1">
      <c r="AJ1831"/>
    </row>
    <row r="1832" spans="36:36" ht="11.25" customHeight="1">
      <c r="AJ1832"/>
    </row>
    <row r="1833" spans="36:36" ht="11.25" customHeight="1">
      <c r="AJ1833"/>
    </row>
    <row r="1834" spans="36:36" ht="11.25" customHeight="1">
      <c r="AJ1834"/>
    </row>
    <row r="1835" spans="36:36" ht="11.25" customHeight="1">
      <c r="AJ1835"/>
    </row>
    <row r="1836" spans="36:36" ht="11.25" customHeight="1">
      <c r="AJ1836"/>
    </row>
    <row r="1837" spans="36:36" ht="11.25" customHeight="1">
      <c r="AJ1837"/>
    </row>
    <row r="1838" spans="36:36" ht="11.25" customHeight="1">
      <c r="AJ1838"/>
    </row>
    <row r="1839" spans="36:36" ht="11.25" customHeight="1">
      <c r="AJ1839"/>
    </row>
    <row r="1840" spans="36:36" ht="11.25" customHeight="1">
      <c r="AJ1840"/>
    </row>
    <row r="1841" spans="36:36" ht="11.25" customHeight="1">
      <c r="AJ1841"/>
    </row>
    <row r="1842" spans="36:36" ht="11.25" customHeight="1">
      <c r="AJ1842"/>
    </row>
    <row r="1843" spans="36:36" ht="11.25" customHeight="1">
      <c r="AJ1843"/>
    </row>
    <row r="1844" spans="36:36" ht="11.25" customHeight="1">
      <c r="AJ1844"/>
    </row>
    <row r="1845" spans="36:36" ht="11.25" customHeight="1">
      <c r="AJ1845"/>
    </row>
    <row r="1846" spans="36:36" ht="11.25" customHeight="1">
      <c r="AJ1846"/>
    </row>
    <row r="1847" spans="36:36" ht="11.25" customHeight="1">
      <c r="AJ1847"/>
    </row>
    <row r="1848" spans="36:36" ht="11.25" customHeight="1">
      <c r="AJ1848"/>
    </row>
    <row r="1849" spans="36:36" ht="11.25" customHeight="1">
      <c r="AJ1849"/>
    </row>
    <row r="1850" spans="36:36" ht="11.25" customHeight="1">
      <c r="AJ1850"/>
    </row>
    <row r="1851" spans="36:36" ht="11.25" customHeight="1">
      <c r="AJ1851"/>
    </row>
    <row r="1852" spans="36:36" ht="11.25" customHeight="1">
      <c r="AJ1852"/>
    </row>
    <row r="1853" spans="36:36" ht="11.25" customHeight="1">
      <c r="AJ1853"/>
    </row>
    <row r="1854" spans="36:36" ht="11.25" customHeight="1">
      <c r="AJ1854"/>
    </row>
    <row r="1855" spans="36:36" ht="11.25" customHeight="1">
      <c r="AJ1855"/>
    </row>
    <row r="1856" spans="36:36" ht="11.25" customHeight="1">
      <c r="AJ1856"/>
    </row>
    <row r="1857" spans="36:36" ht="11.25" customHeight="1">
      <c r="AJ1857"/>
    </row>
    <row r="1858" spans="36:36" ht="11.25" customHeight="1">
      <c r="AJ1858"/>
    </row>
    <row r="1859" spans="36:36" ht="11.25" customHeight="1">
      <c r="AJ1859"/>
    </row>
    <row r="1860" spans="36:36" ht="11.25" customHeight="1">
      <c r="AJ1860"/>
    </row>
    <row r="1861" spans="36:36" ht="11.25" customHeight="1">
      <c r="AJ1861"/>
    </row>
    <row r="1862" spans="36:36" ht="11.25" customHeight="1">
      <c r="AJ1862"/>
    </row>
    <row r="1863" spans="36:36" ht="11.25" customHeight="1">
      <c r="AJ1863"/>
    </row>
    <row r="1864" spans="36:36" ht="11.25" customHeight="1">
      <c r="AJ1864"/>
    </row>
    <row r="1865" spans="36:36" ht="11.25" customHeight="1">
      <c r="AJ1865"/>
    </row>
    <row r="1866" spans="36:36" ht="11.25" customHeight="1">
      <c r="AJ1866"/>
    </row>
    <row r="1867" spans="36:36" ht="11.25" customHeight="1">
      <c r="AJ1867"/>
    </row>
    <row r="1868" spans="36:36" ht="11.25" customHeight="1">
      <c r="AJ1868"/>
    </row>
    <row r="1869" spans="36:36" ht="11.25" customHeight="1">
      <c r="AJ1869"/>
    </row>
    <row r="1870" spans="36:36" ht="11.25" customHeight="1">
      <c r="AJ1870"/>
    </row>
    <row r="1871" spans="36:36" ht="11.25" customHeight="1">
      <c r="AJ1871"/>
    </row>
    <row r="1872" spans="36:36" ht="11.25" customHeight="1">
      <c r="AJ1872"/>
    </row>
    <row r="1873" spans="36:36" ht="11.25" customHeight="1">
      <c r="AJ1873"/>
    </row>
    <row r="1874" spans="36:36" ht="11.25" customHeight="1">
      <c r="AJ1874"/>
    </row>
    <row r="1875" spans="36:36" ht="11.25" customHeight="1">
      <c r="AJ1875"/>
    </row>
    <row r="1876" spans="36:36" ht="11.25" customHeight="1">
      <c r="AJ1876"/>
    </row>
    <row r="1877" spans="36:36" ht="11.25" customHeight="1">
      <c r="AJ1877"/>
    </row>
    <row r="1878" spans="36:36" ht="11.25" customHeight="1">
      <c r="AJ1878"/>
    </row>
    <row r="1879" spans="36:36" ht="11.25" customHeight="1">
      <c r="AJ1879"/>
    </row>
    <row r="1880" spans="36:36" ht="11.25" customHeight="1">
      <c r="AJ1880"/>
    </row>
    <row r="1881" spans="36:36" ht="11.25" customHeight="1">
      <c r="AJ1881"/>
    </row>
    <row r="1882" spans="36:36" ht="11.25" customHeight="1">
      <c r="AJ1882"/>
    </row>
    <row r="1883" spans="36:36" ht="11.25" customHeight="1">
      <c r="AJ1883"/>
    </row>
    <row r="1884" spans="36:36" ht="11.25" customHeight="1">
      <c r="AJ1884"/>
    </row>
    <row r="1885" spans="36:36" ht="11.25" customHeight="1">
      <c r="AJ1885"/>
    </row>
    <row r="1886" spans="36:36" ht="11.25" customHeight="1">
      <c r="AJ1886"/>
    </row>
    <row r="1887" spans="36:36" ht="11.25" customHeight="1">
      <c r="AJ1887"/>
    </row>
    <row r="1888" spans="36:36" ht="11.25" customHeight="1">
      <c r="AJ1888"/>
    </row>
    <row r="1889" spans="36:36" ht="11.25" customHeight="1">
      <c r="AJ1889"/>
    </row>
    <row r="1890" spans="36:36" ht="11.25" customHeight="1">
      <c r="AJ1890"/>
    </row>
    <row r="1891" spans="36:36" ht="11.25" customHeight="1">
      <c r="AJ1891"/>
    </row>
    <row r="1892" spans="36:36" ht="11.25" customHeight="1">
      <c r="AJ1892"/>
    </row>
    <row r="1893" spans="36:36" ht="11.25" customHeight="1">
      <c r="AJ1893"/>
    </row>
    <row r="1894" spans="36:36" ht="11.25" customHeight="1">
      <c r="AJ1894"/>
    </row>
    <row r="1895" spans="36:36" ht="11.25" customHeight="1">
      <c r="AJ1895"/>
    </row>
    <row r="1896" spans="36:36" ht="11.25" customHeight="1">
      <c r="AJ1896"/>
    </row>
    <row r="1897" spans="36:36" ht="11.25" customHeight="1">
      <c r="AJ1897"/>
    </row>
    <row r="1898" spans="36:36" ht="11.25" customHeight="1">
      <c r="AJ1898"/>
    </row>
    <row r="1899" spans="36:36" ht="11.25" customHeight="1">
      <c r="AJ1899"/>
    </row>
    <row r="1900" spans="36:36" ht="11.25" customHeight="1">
      <c r="AJ1900"/>
    </row>
    <row r="1901" spans="36:36" ht="11.25" customHeight="1">
      <c r="AJ1901"/>
    </row>
    <row r="1902" spans="36:36" ht="11.25" customHeight="1">
      <c r="AJ1902"/>
    </row>
    <row r="1903" spans="36:36" ht="11.25" customHeight="1">
      <c r="AJ1903"/>
    </row>
    <row r="1904" spans="36:36" ht="11.25" customHeight="1">
      <c r="AJ1904"/>
    </row>
    <row r="1905" spans="36:36" ht="11.25" customHeight="1">
      <c r="AJ1905"/>
    </row>
    <row r="1906" spans="36:36" ht="11.25" customHeight="1">
      <c r="AJ1906"/>
    </row>
    <row r="1907" spans="36:36" ht="11.25" customHeight="1">
      <c r="AJ1907"/>
    </row>
    <row r="1908" spans="36:36" ht="11.25" customHeight="1">
      <c r="AJ1908"/>
    </row>
    <row r="1909" spans="36:36" ht="11.25" customHeight="1">
      <c r="AJ1909"/>
    </row>
    <row r="1910" spans="36:36" ht="11.25" customHeight="1">
      <c r="AJ1910"/>
    </row>
    <row r="1911" spans="36:36" ht="11.25" customHeight="1">
      <c r="AJ1911"/>
    </row>
    <row r="1912" spans="36:36" ht="11.25" customHeight="1">
      <c r="AJ1912"/>
    </row>
    <row r="1913" spans="36:36" ht="11.25" customHeight="1">
      <c r="AJ1913"/>
    </row>
    <row r="1914" spans="36:36" ht="11.25" customHeight="1">
      <c r="AJ1914"/>
    </row>
    <row r="1915" spans="36:36" ht="11.25" customHeight="1">
      <c r="AJ1915"/>
    </row>
    <row r="1916" spans="36:36" ht="11.25" customHeight="1">
      <c r="AJ1916"/>
    </row>
    <row r="1917" spans="36:36" ht="11.25" customHeight="1">
      <c r="AJ1917"/>
    </row>
    <row r="1918" spans="36:36" ht="11.25" customHeight="1">
      <c r="AJ1918"/>
    </row>
    <row r="1919" spans="36:36" ht="11.25" customHeight="1">
      <c r="AJ1919"/>
    </row>
    <row r="1920" spans="36:36" ht="11.25" customHeight="1">
      <c r="AJ1920"/>
    </row>
    <row r="1921" spans="36:36" ht="11.25" customHeight="1">
      <c r="AJ1921"/>
    </row>
    <row r="1922" spans="36:36" ht="11.25" customHeight="1">
      <c r="AJ1922"/>
    </row>
    <row r="1923" spans="36:36" ht="11.25" customHeight="1">
      <c r="AJ1923"/>
    </row>
    <row r="1924" spans="36:36" ht="11.25" customHeight="1">
      <c r="AJ1924"/>
    </row>
    <row r="1925" spans="36:36" ht="11.25" customHeight="1">
      <c r="AJ1925"/>
    </row>
    <row r="1926" spans="36:36" ht="11.25" customHeight="1">
      <c r="AJ1926"/>
    </row>
    <row r="1927" spans="36:36" ht="11.25" customHeight="1">
      <c r="AJ1927"/>
    </row>
    <row r="1928" spans="36:36" ht="11.25" customHeight="1">
      <c r="AJ1928"/>
    </row>
    <row r="1929" spans="36:36" ht="11.25" customHeight="1">
      <c r="AJ1929"/>
    </row>
    <row r="1930" spans="36:36" ht="11.25" customHeight="1">
      <c r="AJ1930"/>
    </row>
    <row r="1931" spans="36:36" ht="11.25" customHeight="1">
      <c r="AJ1931"/>
    </row>
    <row r="1932" spans="36:36" ht="11.25" customHeight="1">
      <c r="AJ1932"/>
    </row>
    <row r="1933" spans="36:36" ht="11.25" customHeight="1">
      <c r="AJ1933"/>
    </row>
    <row r="1934" spans="36:36" ht="11.25" customHeight="1">
      <c r="AJ1934"/>
    </row>
    <row r="1935" spans="36:36" ht="11.25" customHeight="1">
      <c r="AJ1935"/>
    </row>
    <row r="1936" spans="36:36" ht="11.25" customHeight="1">
      <c r="AJ1936"/>
    </row>
    <row r="1937" spans="36:36" ht="11.25" customHeight="1">
      <c r="AJ1937"/>
    </row>
    <row r="1938" spans="36:36" ht="11.25" customHeight="1">
      <c r="AJ1938"/>
    </row>
    <row r="1939" spans="36:36" ht="11.25" customHeight="1">
      <c r="AJ1939"/>
    </row>
    <row r="1940" spans="36:36" ht="11.25" customHeight="1">
      <c r="AJ1940"/>
    </row>
    <row r="1941" spans="36:36" ht="11.25" customHeight="1">
      <c r="AJ1941"/>
    </row>
    <row r="1942" spans="36:36" ht="11.25" customHeight="1">
      <c r="AJ1942"/>
    </row>
    <row r="1943" spans="36:36" ht="11.25" customHeight="1">
      <c r="AJ1943"/>
    </row>
    <row r="1944" spans="36:36" ht="11.25" customHeight="1">
      <c r="AJ1944"/>
    </row>
    <row r="1945" spans="36:36" ht="11.25" customHeight="1">
      <c r="AJ1945"/>
    </row>
    <row r="1946" spans="36:36" ht="11.25" customHeight="1">
      <c r="AJ1946"/>
    </row>
    <row r="1947" spans="36:36" ht="11.25" customHeight="1">
      <c r="AJ1947"/>
    </row>
    <row r="1948" spans="36:36" ht="11.25" customHeight="1">
      <c r="AJ1948"/>
    </row>
    <row r="1949" spans="36:36" ht="11.25" customHeight="1">
      <c r="AJ1949"/>
    </row>
    <row r="1950" spans="36:36" ht="11.25" customHeight="1">
      <c r="AJ1950"/>
    </row>
    <row r="1951" spans="36:36" ht="11.25" customHeight="1">
      <c r="AJ1951"/>
    </row>
    <row r="1952" spans="36:36" ht="11.25" customHeight="1">
      <c r="AJ1952"/>
    </row>
    <row r="1953" spans="36:36" ht="11.25" customHeight="1">
      <c r="AJ1953"/>
    </row>
    <row r="1954" spans="36:36" ht="11.25" customHeight="1">
      <c r="AJ1954"/>
    </row>
    <row r="1955" spans="36:36" ht="11.25" customHeight="1">
      <c r="AJ1955"/>
    </row>
    <row r="1956" spans="36:36" ht="11.25" customHeight="1">
      <c r="AJ1956"/>
    </row>
    <row r="1957" spans="36:36" ht="11.25" customHeight="1">
      <c r="AJ1957"/>
    </row>
    <row r="1958" spans="36:36" ht="11.25" customHeight="1">
      <c r="AJ1958"/>
    </row>
    <row r="1959" spans="36:36" ht="11.25" customHeight="1">
      <c r="AJ1959"/>
    </row>
    <row r="1960" spans="36:36" ht="11.25" customHeight="1">
      <c r="AJ1960"/>
    </row>
    <row r="1961" spans="36:36" ht="11.25" customHeight="1">
      <c r="AJ1961"/>
    </row>
    <row r="1962" spans="36:36" ht="11.25" customHeight="1">
      <c r="AJ1962"/>
    </row>
    <row r="1963" spans="36:36" ht="11.25" customHeight="1">
      <c r="AJ1963"/>
    </row>
    <row r="1964" spans="36:36" ht="11.25" customHeight="1">
      <c r="AJ1964"/>
    </row>
    <row r="1965" spans="36:36" ht="11.25" customHeight="1">
      <c r="AJ1965"/>
    </row>
    <row r="1966" spans="36:36" ht="11.25" customHeight="1">
      <c r="AJ1966"/>
    </row>
    <row r="1967" spans="36:36" ht="11.25" customHeight="1">
      <c r="AJ1967"/>
    </row>
    <row r="1968" spans="36:36" ht="11.25" customHeight="1">
      <c r="AJ1968"/>
    </row>
    <row r="1969" spans="36:36" ht="11.25" customHeight="1">
      <c r="AJ1969"/>
    </row>
    <row r="1970" spans="36:36" ht="11.25" customHeight="1">
      <c r="AJ1970"/>
    </row>
    <row r="1971" spans="36:36" ht="11.25" customHeight="1">
      <c r="AJ1971"/>
    </row>
    <row r="1972" spans="36:36" ht="11.25" customHeight="1">
      <c r="AJ1972"/>
    </row>
    <row r="1973" spans="36:36" ht="11.25" customHeight="1">
      <c r="AJ1973"/>
    </row>
    <row r="1974" spans="36:36" ht="11.25" customHeight="1">
      <c r="AJ1974"/>
    </row>
    <row r="1975" spans="36:36" ht="11.25" customHeight="1">
      <c r="AJ1975"/>
    </row>
    <row r="1976" spans="36:36" ht="11.25" customHeight="1">
      <c r="AJ1976"/>
    </row>
    <row r="1977" spans="36:36" ht="11.25" customHeight="1">
      <c r="AJ1977"/>
    </row>
    <row r="1978" spans="36:36" ht="11.25" customHeight="1">
      <c r="AJ1978"/>
    </row>
    <row r="1979" spans="36:36" ht="11.25" customHeight="1">
      <c r="AJ1979"/>
    </row>
    <row r="1980" spans="36:36" ht="11.25" customHeight="1">
      <c r="AJ1980"/>
    </row>
    <row r="1981" spans="36:36" ht="11.25" customHeight="1">
      <c r="AJ1981"/>
    </row>
    <row r="1982" spans="36:36" ht="11.25" customHeight="1">
      <c r="AJ1982"/>
    </row>
    <row r="1983" spans="36:36" ht="11.25" customHeight="1">
      <c r="AJ1983"/>
    </row>
    <row r="1984" spans="36:36" ht="11.25" customHeight="1">
      <c r="AJ1984"/>
    </row>
    <row r="1985" spans="36:36" ht="11.25" customHeight="1">
      <c r="AJ1985"/>
    </row>
    <row r="1986" spans="36:36" ht="11.25" customHeight="1">
      <c r="AJ1986"/>
    </row>
    <row r="1987" spans="36:36" ht="11.25" customHeight="1">
      <c r="AJ1987"/>
    </row>
    <row r="1988" spans="36:36" ht="11.25" customHeight="1">
      <c r="AJ1988"/>
    </row>
    <row r="1989" spans="36:36" ht="11.25" customHeight="1">
      <c r="AJ1989"/>
    </row>
    <row r="1990" spans="36:36" ht="11.25" customHeight="1">
      <c r="AJ1990"/>
    </row>
    <row r="1991" spans="36:36" ht="11.25" customHeight="1">
      <c r="AJ1991"/>
    </row>
    <row r="1992" spans="36:36" ht="11.25" customHeight="1">
      <c r="AJ1992"/>
    </row>
    <row r="1993" spans="36:36" ht="11.25" customHeight="1">
      <c r="AJ1993"/>
    </row>
    <row r="1994" spans="36:36" ht="11.25" customHeight="1">
      <c r="AJ1994"/>
    </row>
    <row r="1995" spans="36:36" ht="11.25" customHeight="1">
      <c r="AJ1995"/>
    </row>
    <row r="1996" spans="36:36" ht="11.25" customHeight="1">
      <c r="AJ1996"/>
    </row>
    <row r="1997" spans="36:36" ht="11.25" customHeight="1">
      <c r="AJ1997"/>
    </row>
    <row r="1998" spans="36:36" ht="11.25" customHeight="1">
      <c r="AJ1998"/>
    </row>
    <row r="1999" spans="36:36" ht="11.25" customHeight="1">
      <c r="AJ1999"/>
    </row>
    <row r="2000" spans="36:36" ht="11.25" customHeight="1">
      <c r="AJ2000"/>
    </row>
    <row r="2001" spans="36:36" ht="11.25" customHeight="1">
      <c r="AJ2001"/>
    </row>
    <row r="2002" spans="36:36" ht="11.25" customHeight="1">
      <c r="AJ2002"/>
    </row>
    <row r="2003" spans="36:36" ht="11.25" customHeight="1">
      <c r="AJ2003"/>
    </row>
    <row r="2004" spans="36:36" ht="11.25" customHeight="1">
      <c r="AJ2004"/>
    </row>
    <row r="2005" spans="36:36" ht="11.25" customHeight="1">
      <c r="AJ2005"/>
    </row>
    <row r="2006" spans="36:36" ht="11.25" customHeight="1">
      <c r="AJ2006"/>
    </row>
    <row r="2007" spans="36:36" ht="11.25" customHeight="1">
      <c r="AJ2007"/>
    </row>
    <row r="2008" spans="36:36" ht="11.25" customHeight="1">
      <c r="AJ2008"/>
    </row>
    <row r="2009" spans="36:36" ht="11.25" customHeight="1">
      <c r="AJ2009"/>
    </row>
    <row r="2010" spans="36:36" ht="11.25" customHeight="1">
      <c r="AJ2010"/>
    </row>
    <row r="2011" spans="36:36" ht="11.25" customHeight="1">
      <c r="AJ2011"/>
    </row>
    <row r="2012" spans="36:36" ht="11.25" customHeight="1">
      <c r="AJ2012"/>
    </row>
    <row r="2013" spans="36:36" ht="11.25" customHeight="1">
      <c r="AJ2013"/>
    </row>
    <row r="2014" spans="36:36" ht="11.25" customHeight="1">
      <c r="AJ2014"/>
    </row>
    <row r="2015" spans="36:36" ht="11.25" customHeight="1">
      <c r="AJ2015"/>
    </row>
    <row r="2016" spans="36:36" ht="11.25" customHeight="1">
      <c r="AJ2016"/>
    </row>
    <row r="2017" spans="36:36" ht="11.25" customHeight="1">
      <c r="AJ2017"/>
    </row>
    <row r="2018" spans="36:36" ht="11.25" customHeight="1">
      <c r="AJ2018"/>
    </row>
    <row r="2019" spans="36:36" ht="11.25" customHeight="1">
      <c r="AJ2019"/>
    </row>
    <row r="2020" spans="36:36" ht="11.25" customHeight="1">
      <c r="AJ2020"/>
    </row>
    <row r="2021" spans="36:36" ht="11.25" customHeight="1">
      <c r="AJ2021"/>
    </row>
    <row r="2022" spans="36:36" ht="11.25" customHeight="1">
      <c r="AJ2022"/>
    </row>
    <row r="2023" spans="36:36" ht="11.25" customHeight="1">
      <c r="AJ2023"/>
    </row>
    <row r="2024" spans="36:36" ht="11.25" customHeight="1">
      <c r="AJ2024"/>
    </row>
    <row r="2025" spans="36:36" ht="11.25" customHeight="1">
      <c r="AJ2025"/>
    </row>
    <row r="2026" spans="36:36" ht="11.25" customHeight="1">
      <c r="AJ2026"/>
    </row>
    <row r="2027" spans="36:36" ht="11.25" customHeight="1">
      <c r="AJ2027"/>
    </row>
    <row r="2028" spans="36:36" ht="11.25" customHeight="1">
      <c r="AJ2028"/>
    </row>
    <row r="2029" spans="36:36" ht="11.25" customHeight="1">
      <c r="AJ2029"/>
    </row>
    <row r="2030" spans="36:36" ht="11.25" customHeight="1">
      <c r="AJ2030"/>
    </row>
    <row r="2031" spans="36:36" ht="11.25" customHeight="1">
      <c r="AJ2031"/>
    </row>
    <row r="2032" spans="36:36" ht="11.25" customHeight="1">
      <c r="AJ2032"/>
    </row>
    <row r="2033" spans="36:36" ht="11.25" customHeight="1">
      <c r="AJ2033"/>
    </row>
    <row r="2034" spans="36:36" ht="11.25" customHeight="1">
      <c r="AJ2034"/>
    </row>
    <row r="2035" spans="36:36" ht="11.25" customHeight="1">
      <c r="AJ2035"/>
    </row>
    <row r="2036" spans="36:36" ht="11.25" customHeight="1">
      <c r="AJ2036"/>
    </row>
    <row r="2037" spans="36:36" ht="11.25" customHeight="1">
      <c r="AJ2037"/>
    </row>
    <row r="2038" spans="36:36" ht="11.25" customHeight="1">
      <c r="AJ2038"/>
    </row>
    <row r="2039" spans="36:36" ht="11.25" customHeight="1">
      <c r="AJ2039"/>
    </row>
    <row r="2040" spans="36:36" ht="11.25" customHeight="1">
      <c r="AJ2040"/>
    </row>
    <row r="2041" spans="36:36" ht="11.25" customHeight="1">
      <c r="AJ2041"/>
    </row>
    <row r="2042" spans="36:36" ht="11.25" customHeight="1">
      <c r="AJ2042"/>
    </row>
    <row r="2043" spans="36:36" ht="11.25" customHeight="1">
      <c r="AJ2043"/>
    </row>
    <row r="2044" spans="36:36" ht="11.25" customHeight="1">
      <c r="AJ2044"/>
    </row>
    <row r="2045" spans="36:36" ht="11.25" customHeight="1">
      <c r="AJ2045"/>
    </row>
    <row r="2046" spans="36:36" ht="11.25" customHeight="1">
      <c r="AJ2046"/>
    </row>
    <row r="2047" spans="36:36" ht="11.25" customHeight="1">
      <c r="AJ2047"/>
    </row>
    <row r="2048" spans="36:36" ht="11.25" customHeight="1">
      <c r="AJ2048"/>
    </row>
    <row r="2049" spans="36:36" ht="11.25" customHeight="1">
      <c r="AJ2049"/>
    </row>
    <row r="2050" spans="36:36" ht="11.25" customHeight="1">
      <c r="AJ2050"/>
    </row>
    <row r="2051" spans="36:36" ht="11.25" customHeight="1">
      <c r="AJ2051"/>
    </row>
    <row r="2052" spans="36:36" ht="11.25" customHeight="1">
      <c r="AJ2052"/>
    </row>
    <row r="2053" spans="36:36" ht="11.25" customHeight="1">
      <c r="AJ2053"/>
    </row>
    <row r="2054" spans="36:36" ht="11.25" customHeight="1">
      <c r="AJ2054"/>
    </row>
    <row r="2055" spans="36:36" ht="11.25" customHeight="1">
      <c r="AJ2055"/>
    </row>
    <row r="2056" spans="36:36" ht="11.25" customHeight="1">
      <c r="AJ2056"/>
    </row>
    <row r="2057" spans="36:36" ht="11.25" customHeight="1">
      <c r="AJ2057"/>
    </row>
    <row r="2058" spans="36:36" ht="11.25" customHeight="1">
      <c r="AJ2058"/>
    </row>
    <row r="2059" spans="36:36" ht="11.25" customHeight="1">
      <c r="AJ2059"/>
    </row>
    <row r="2060" spans="36:36" ht="11.25" customHeight="1">
      <c r="AJ2060"/>
    </row>
    <row r="2061" spans="36:36" ht="11.25" customHeight="1">
      <c r="AJ2061"/>
    </row>
    <row r="2062" spans="36:36" ht="11.25" customHeight="1">
      <c r="AJ2062"/>
    </row>
    <row r="2063" spans="36:36" ht="11.25" customHeight="1">
      <c r="AJ2063"/>
    </row>
    <row r="2064" spans="36:36" ht="11.25" customHeight="1">
      <c r="AJ2064"/>
    </row>
    <row r="2065" spans="36:36" ht="11.25" customHeight="1">
      <c r="AJ2065"/>
    </row>
    <row r="2066" spans="36:36" ht="11.25" customHeight="1">
      <c r="AJ2066"/>
    </row>
    <row r="2067" spans="36:36" ht="11.25" customHeight="1">
      <c r="AJ2067"/>
    </row>
    <row r="2068" spans="36:36" ht="11.25" customHeight="1">
      <c r="AJ2068"/>
    </row>
    <row r="2069" spans="36:36" ht="11.25" customHeight="1">
      <c r="AJ2069"/>
    </row>
    <row r="2070" spans="36:36" ht="11.25" customHeight="1">
      <c r="AJ2070"/>
    </row>
    <row r="2071" spans="36:36" ht="11.25" customHeight="1">
      <c r="AJ2071"/>
    </row>
    <row r="2072" spans="36:36" ht="11.25" customHeight="1">
      <c r="AJ2072"/>
    </row>
    <row r="2073" spans="36:36" ht="11.25" customHeight="1">
      <c r="AJ2073"/>
    </row>
    <row r="2074" spans="36:36" ht="11.25" customHeight="1">
      <c r="AJ2074"/>
    </row>
    <row r="2075" spans="36:36" ht="11.25" customHeight="1">
      <c r="AJ2075"/>
    </row>
    <row r="2076" spans="36:36" ht="11.25" customHeight="1">
      <c r="AJ2076"/>
    </row>
    <row r="2077" spans="36:36" ht="11.25" customHeight="1">
      <c r="AJ2077"/>
    </row>
    <row r="2078" spans="36:36" ht="11.25" customHeight="1">
      <c r="AJ2078"/>
    </row>
    <row r="2079" spans="36:36" ht="11.25" customHeight="1">
      <c r="AJ2079"/>
    </row>
    <row r="2080" spans="36:36" ht="11.25" customHeight="1">
      <c r="AJ2080"/>
    </row>
    <row r="2081" spans="36:36" ht="11.25" customHeight="1">
      <c r="AJ2081"/>
    </row>
    <row r="2082" spans="36:36" ht="11.25" customHeight="1">
      <c r="AJ2082"/>
    </row>
    <row r="2083" spans="36:36" ht="11.25" customHeight="1">
      <c r="AJ2083"/>
    </row>
    <row r="2084" spans="36:36" ht="11.25" customHeight="1">
      <c r="AJ2084"/>
    </row>
    <row r="2085" spans="36:36" ht="11.25" customHeight="1">
      <c r="AJ2085"/>
    </row>
    <row r="2086" spans="36:36" ht="11.25" customHeight="1">
      <c r="AJ2086"/>
    </row>
    <row r="2087" spans="36:36" ht="11.25" customHeight="1">
      <c r="AJ2087"/>
    </row>
    <row r="2088" spans="36:36" ht="11.25" customHeight="1">
      <c r="AJ2088"/>
    </row>
    <row r="2089" spans="36:36" ht="11.25" customHeight="1">
      <c r="AJ2089"/>
    </row>
    <row r="2090" spans="36:36" ht="11.25" customHeight="1">
      <c r="AJ2090"/>
    </row>
    <row r="2091" spans="36:36" ht="11.25" customHeight="1">
      <c r="AJ2091"/>
    </row>
    <row r="2092" spans="36:36" ht="11.25" customHeight="1">
      <c r="AJ2092"/>
    </row>
    <row r="2093" spans="36:36" ht="11.25" customHeight="1">
      <c r="AJ2093"/>
    </row>
    <row r="2094" spans="36:36" ht="11.25" customHeight="1">
      <c r="AJ2094"/>
    </row>
    <row r="2095" spans="36:36" ht="11.25" customHeight="1">
      <c r="AJ2095"/>
    </row>
    <row r="2096" spans="36:36" ht="11.25" customHeight="1">
      <c r="AJ2096"/>
    </row>
    <row r="2097" spans="36:36" ht="11.25" customHeight="1">
      <c r="AJ2097"/>
    </row>
    <row r="2098" spans="36:36" ht="11.25" customHeight="1">
      <c r="AJ2098"/>
    </row>
    <row r="2099" spans="36:36" ht="11.25" customHeight="1">
      <c r="AJ2099"/>
    </row>
    <row r="2100" spans="36:36" ht="11.25" customHeight="1">
      <c r="AJ2100"/>
    </row>
    <row r="2101" spans="36:36" ht="11.25" customHeight="1">
      <c r="AJ2101"/>
    </row>
    <row r="2102" spans="36:36" ht="11.25" customHeight="1">
      <c r="AJ2102"/>
    </row>
    <row r="2103" spans="36:36" ht="11.25" customHeight="1">
      <c r="AJ2103"/>
    </row>
    <row r="2104" spans="36:36" ht="11.25" customHeight="1">
      <c r="AJ2104"/>
    </row>
    <row r="2105" spans="36:36" ht="11.25" customHeight="1">
      <c r="AJ2105"/>
    </row>
    <row r="2106" spans="36:36" ht="11.25" customHeight="1">
      <c r="AJ2106"/>
    </row>
    <row r="2107" spans="36:36" ht="11.25" customHeight="1">
      <c r="AJ2107"/>
    </row>
    <row r="2108" spans="36:36" ht="11.25" customHeight="1">
      <c r="AJ2108"/>
    </row>
    <row r="2109" spans="36:36" ht="11.25" customHeight="1">
      <c r="AJ2109"/>
    </row>
    <row r="2110" spans="36:36" ht="11.25" customHeight="1">
      <c r="AJ2110"/>
    </row>
    <row r="2111" spans="36:36" ht="11.25" customHeight="1">
      <c r="AJ2111"/>
    </row>
    <row r="2112" spans="36:36" ht="11.25" customHeight="1">
      <c r="AJ2112"/>
    </row>
    <row r="2113" spans="36:36" ht="11.25" customHeight="1">
      <c r="AJ2113"/>
    </row>
    <row r="2114" spans="36:36" ht="11.25" customHeight="1">
      <c r="AJ2114"/>
    </row>
    <row r="2115" spans="36:36" ht="11.25" customHeight="1">
      <c r="AJ2115"/>
    </row>
    <row r="2116" spans="36:36" ht="11.25" customHeight="1">
      <c r="AJ2116"/>
    </row>
    <row r="2117" spans="36:36" ht="11.25" customHeight="1">
      <c r="AJ2117"/>
    </row>
    <row r="2118" spans="36:36" ht="11.25" customHeight="1">
      <c r="AJ2118"/>
    </row>
    <row r="2119" spans="36:36" ht="11.25" customHeight="1">
      <c r="AJ2119"/>
    </row>
    <row r="2120" spans="36:36" ht="11.25" customHeight="1">
      <c r="AJ2120"/>
    </row>
    <row r="2121" spans="36:36" ht="11.25" customHeight="1">
      <c r="AJ2121"/>
    </row>
    <row r="2122" spans="36:36" ht="11.25" customHeight="1">
      <c r="AJ2122"/>
    </row>
    <row r="2123" spans="36:36" ht="11.25" customHeight="1">
      <c r="AJ2123"/>
    </row>
    <row r="2124" spans="36:36" ht="11.25" customHeight="1">
      <c r="AJ2124"/>
    </row>
    <row r="2125" spans="36:36" ht="11.25" customHeight="1">
      <c r="AJ2125"/>
    </row>
    <row r="2126" spans="36:36" ht="11.25" customHeight="1">
      <c r="AJ2126"/>
    </row>
    <row r="2127" spans="36:36" ht="11.25" customHeight="1">
      <c r="AJ2127"/>
    </row>
    <row r="2128" spans="36:36" ht="11.25" customHeight="1">
      <c r="AJ2128"/>
    </row>
    <row r="2129" spans="36:36" ht="11.25" customHeight="1">
      <c r="AJ2129"/>
    </row>
    <row r="2130" spans="36:36" ht="11.25" customHeight="1">
      <c r="AJ2130"/>
    </row>
    <row r="2131" spans="36:36" ht="11.25" customHeight="1">
      <c r="AJ2131"/>
    </row>
    <row r="2132" spans="36:36" ht="11.25" customHeight="1">
      <c r="AJ2132"/>
    </row>
    <row r="2133" spans="36:36" ht="11.25" customHeight="1">
      <c r="AJ2133"/>
    </row>
    <row r="2134" spans="36:36" ht="11.25" customHeight="1">
      <c r="AJ2134"/>
    </row>
    <row r="2135" spans="36:36" ht="11.25" customHeight="1">
      <c r="AJ2135"/>
    </row>
    <row r="2136" spans="36:36" ht="11.25" customHeight="1">
      <c r="AJ2136"/>
    </row>
    <row r="2137" spans="36:36" ht="11.25" customHeight="1">
      <c r="AJ2137"/>
    </row>
    <row r="2138" spans="36:36" ht="11.25" customHeight="1">
      <c r="AJ2138"/>
    </row>
    <row r="2139" spans="36:36" ht="11.25" customHeight="1">
      <c r="AJ2139"/>
    </row>
    <row r="2140" spans="36:36" ht="11.25" customHeight="1">
      <c r="AJ2140"/>
    </row>
    <row r="2141" spans="36:36" ht="11.25" customHeight="1">
      <c r="AJ2141"/>
    </row>
    <row r="2142" spans="36:36" ht="11.25" customHeight="1">
      <c r="AJ2142"/>
    </row>
    <row r="2143" spans="36:36" ht="11.25" customHeight="1">
      <c r="AJ2143"/>
    </row>
    <row r="2144" spans="36:36" ht="11.25" customHeight="1">
      <c r="AJ2144"/>
    </row>
    <row r="2145" spans="36:36" ht="11.25" customHeight="1">
      <c r="AJ2145"/>
    </row>
    <row r="2146" spans="36:36" ht="11.25" customHeight="1">
      <c r="AJ2146"/>
    </row>
    <row r="2147" spans="36:36" ht="11.25" customHeight="1">
      <c r="AJ2147"/>
    </row>
    <row r="2148" spans="36:36" ht="11.25" customHeight="1">
      <c r="AJ2148"/>
    </row>
    <row r="2149" spans="36:36" ht="11.25" customHeight="1">
      <c r="AJ2149"/>
    </row>
    <row r="2150" spans="36:36" ht="11.25" customHeight="1">
      <c r="AJ2150"/>
    </row>
    <row r="2151" spans="36:36" ht="11.25" customHeight="1">
      <c r="AJ2151"/>
    </row>
    <row r="2152" spans="36:36" ht="11.25" customHeight="1">
      <c r="AJ2152"/>
    </row>
    <row r="2153" spans="36:36" ht="11.25" customHeight="1">
      <c r="AJ2153"/>
    </row>
    <row r="2154" spans="36:36" ht="11.25" customHeight="1">
      <c r="AJ2154"/>
    </row>
    <row r="2155" spans="36:36" ht="11.25" customHeight="1">
      <c r="AJ2155"/>
    </row>
    <row r="2156" spans="36:36" ht="11.25" customHeight="1">
      <c r="AJ2156"/>
    </row>
    <row r="2157" spans="36:36" ht="11.25" customHeight="1">
      <c r="AJ2157"/>
    </row>
    <row r="2158" spans="36:36" ht="11.25" customHeight="1">
      <c r="AJ2158"/>
    </row>
    <row r="2159" spans="36:36" ht="11.25" customHeight="1">
      <c r="AJ2159"/>
    </row>
    <row r="2160" spans="36:36" ht="11.25" customHeight="1">
      <c r="AJ2160"/>
    </row>
    <row r="2161" spans="36:36" ht="11.25" customHeight="1">
      <c r="AJ2161"/>
    </row>
    <row r="2162" spans="36:36" ht="11.25" customHeight="1">
      <c r="AJ2162"/>
    </row>
    <row r="2163" spans="36:36" ht="11.25" customHeight="1">
      <c r="AJ2163"/>
    </row>
    <row r="2164" spans="36:36" ht="11.25" customHeight="1">
      <c r="AJ2164"/>
    </row>
    <row r="2165" spans="36:36" ht="11.25" customHeight="1">
      <c r="AJ2165"/>
    </row>
    <row r="2166" spans="36:36" ht="11.25" customHeight="1">
      <c r="AJ2166"/>
    </row>
    <row r="2167" spans="36:36" ht="11.25" customHeight="1">
      <c r="AJ2167"/>
    </row>
    <row r="2168" spans="36:36" ht="11.25" customHeight="1">
      <c r="AJ2168"/>
    </row>
    <row r="2169" spans="36:36" ht="11.25" customHeight="1">
      <c r="AJ2169"/>
    </row>
    <row r="2170" spans="36:36" ht="11.25" customHeight="1">
      <c r="AJ2170"/>
    </row>
    <row r="2171" spans="36:36" ht="11.25" customHeight="1">
      <c r="AJ2171"/>
    </row>
    <row r="2172" spans="36:36" ht="11.25" customHeight="1">
      <c r="AJ2172"/>
    </row>
    <row r="2173" spans="36:36" ht="11.25" customHeight="1">
      <c r="AJ2173"/>
    </row>
    <row r="2174" spans="36:36" ht="11.25" customHeight="1">
      <c r="AJ2174"/>
    </row>
    <row r="2175" spans="36:36" ht="11.25" customHeight="1">
      <c r="AJ2175"/>
    </row>
    <row r="2176" spans="36:36" ht="11.25" customHeight="1">
      <c r="AJ2176"/>
    </row>
    <row r="2177" spans="36:36" ht="11.25" customHeight="1">
      <c r="AJ2177"/>
    </row>
    <row r="2178" spans="36:36" ht="11.25" customHeight="1">
      <c r="AJ2178"/>
    </row>
    <row r="2179" spans="36:36" ht="11.25" customHeight="1">
      <c r="AJ2179"/>
    </row>
    <row r="2180" spans="36:36" ht="11.25" customHeight="1">
      <c r="AJ2180"/>
    </row>
    <row r="2181" spans="36:36" ht="11.25" customHeight="1">
      <c r="AJ2181"/>
    </row>
    <row r="2182" spans="36:36" ht="11.25" customHeight="1">
      <c r="AJ2182"/>
    </row>
    <row r="2183" spans="36:36" ht="11.25" customHeight="1">
      <c r="AJ2183"/>
    </row>
    <row r="2184" spans="36:36" ht="11.25" customHeight="1">
      <c r="AJ2184"/>
    </row>
    <row r="2185" spans="36:36" ht="11.25" customHeight="1">
      <c r="AJ2185"/>
    </row>
    <row r="2186" spans="36:36" ht="11.25" customHeight="1">
      <c r="AJ2186"/>
    </row>
    <row r="2187" spans="36:36" ht="11.25" customHeight="1">
      <c r="AJ2187"/>
    </row>
    <row r="2188" spans="36:36" ht="11.25" customHeight="1">
      <c r="AJ2188"/>
    </row>
    <row r="2189" spans="36:36" ht="11.25" customHeight="1">
      <c r="AJ2189"/>
    </row>
    <row r="2190" spans="36:36" ht="11.25" customHeight="1">
      <c r="AJ2190"/>
    </row>
    <row r="2191" spans="36:36" ht="11.25" customHeight="1">
      <c r="AJ2191"/>
    </row>
    <row r="2192" spans="36:36" ht="11.25" customHeight="1">
      <c r="AJ2192"/>
    </row>
    <row r="2193" spans="36:36" ht="11.25" customHeight="1">
      <c r="AJ2193"/>
    </row>
    <row r="2194" spans="36:36" ht="11.25" customHeight="1">
      <c r="AJ2194"/>
    </row>
    <row r="2195" spans="36:36" ht="11.25" customHeight="1">
      <c r="AJ2195"/>
    </row>
    <row r="2196" spans="36:36" ht="11.25" customHeight="1">
      <c r="AJ2196"/>
    </row>
    <row r="2197" spans="36:36" ht="11.25" customHeight="1">
      <c r="AJ2197"/>
    </row>
    <row r="2198" spans="36:36" ht="11.25" customHeight="1">
      <c r="AJ2198"/>
    </row>
    <row r="2199" spans="36:36" ht="11.25" customHeight="1">
      <c r="AJ2199"/>
    </row>
    <row r="2200" spans="36:36" ht="11.25" customHeight="1">
      <c r="AJ2200"/>
    </row>
    <row r="2201" spans="36:36" ht="11.25" customHeight="1">
      <c r="AJ2201"/>
    </row>
    <row r="2202" spans="36:36" ht="11.25" customHeight="1">
      <c r="AJ2202"/>
    </row>
    <row r="2203" spans="36:36" ht="11.25" customHeight="1">
      <c r="AJ2203"/>
    </row>
    <row r="2204" spans="36:36" ht="11.25" customHeight="1">
      <c r="AJ2204"/>
    </row>
    <row r="2205" spans="36:36" ht="11.25" customHeight="1">
      <c r="AJ2205"/>
    </row>
    <row r="2206" spans="36:36" ht="11.25" customHeight="1">
      <c r="AJ2206"/>
    </row>
    <row r="2207" spans="36:36" ht="11.25" customHeight="1">
      <c r="AJ2207"/>
    </row>
    <row r="2208" spans="36:36" ht="11.25" customHeight="1">
      <c r="AJ2208"/>
    </row>
    <row r="2209" spans="36:36" ht="11.25" customHeight="1">
      <c r="AJ2209"/>
    </row>
    <row r="2210" spans="36:36" ht="11.25" customHeight="1">
      <c r="AJ2210"/>
    </row>
    <row r="2211" spans="36:36" ht="11.25" customHeight="1">
      <c r="AJ2211"/>
    </row>
    <row r="2212" spans="36:36" ht="11.25" customHeight="1">
      <c r="AJ2212"/>
    </row>
    <row r="2213" spans="36:36" ht="11.25" customHeight="1">
      <c r="AJ2213"/>
    </row>
    <row r="2214" spans="36:36" ht="11.25" customHeight="1">
      <c r="AJ2214"/>
    </row>
    <row r="2215" spans="36:36" ht="11.25" customHeight="1">
      <c r="AJ2215"/>
    </row>
    <row r="2216" spans="36:36" ht="11.25" customHeight="1">
      <c r="AJ2216"/>
    </row>
    <row r="2217" spans="36:36" ht="11.25" customHeight="1">
      <c r="AJ2217"/>
    </row>
    <row r="2218" spans="36:36" ht="11.25" customHeight="1">
      <c r="AJ2218"/>
    </row>
    <row r="2219" spans="36:36" ht="11.25" customHeight="1">
      <c r="AJ2219"/>
    </row>
    <row r="2220" spans="36:36" ht="11.25" customHeight="1">
      <c r="AJ2220"/>
    </row>
    <row r="2221" spans="36:36" ht="11.25" customHeight="1">
      <c r="AJ2221"/>
    </row>
    <row r="2222" spans="36:36" ht="11.25" customHeight="1">
      <c r="AJ2222"/>
    </row>
    <row r="2223" spans="36:36" ht="11.25" customHeight="1">
      <c r="AJ2223"/>
    </row>
    <row r="2224" spans="36:36" ht="11.25" customHeight="1">
      <c r="AJ2224"/>
    </row>
    <row r="2225" spans="36:36" ht="11.25" customHeight="1">
      <c r="AJ2225"/>
    </row>
    <row r="2226" spans="36:36" ht="11.25" customHeight="1">
      <c r="AJ2226"/>
    </row>
    <row r="2227" spans="36:36" ht="11.25" customHeight="1">
      <c r="AJ2227"/>
    </row>
    <row r="2228" spans="36:36" ht="11.25" customHeight="1">
      <c r="AJ2228"/>
    </row>
    <row r="2229" spans="36:36" ht="11.25" customHeight="1">
      <c r="AJ2229"/>
    </row>
    <row r="2230" spans="36:36" ht="11.25" customHeight="1">
      <c r="AJ2230"/>
    </row>
    <row r="2231" spans="36:36" ht="11.25" customHeight="1">
      <c r="AJ2231"/>
    </row>
    <row r="2232" spans="36:36" ht="11.25" customHeight="1">
      <c r="AJ2232"/>
    </row>
    <row r="2233" spans="36:36" ht="11.25" customHeight="1">
      <c r="AJ2233"/>
    </row>
    <row r="2234" spans="36:36" ht="11.25" customHeight="1">
      <c r="AJ2234"/>
    </row>
    <row r="2235" spans="36:36" ht="11.25" customHeight="1">
      <c r="AJ2235"/>
    </row>
    <row r="2236" spans="36:36" ht="11.25" customHeight="1">
      <c r="AJ2236"/>
    </row>
    <row r="2237" spans="36:36" ht="11.25" customHeight="1">
      <c r="AJ2237"/>
    </row>
    <row r="2238" spans="36:36" ht="11.25" customHeight="1">
      <c r="AJ2238"/>
    </row>
    <row r="2239" spans="36:36" ht="11.25" customHeight="1">
      <c r="AJ2239"/>
    </row>
    <row r="2240" spans="36:36" ht="11.25" customHeight="1">
      <c r="AJ2240"/>
    </row>
    <row r="2241" spans="36:36" ht="11.25" customHeight="1">
      <c r="AJ2241"/>
    </row>
    <row r="2242" spans="36:36" ht="11.25" customHeight="1">
      <c r="AJ2242"/>
    </row>
    <row r="2243" spans="36:36" ht="11.25" customHeight="1">
      <c r="AJ2243"/>
    </row>
    <row r="2244" spans="36:36" ht="11.25" customHeight="1">
      <c r="AJ2244"/>
    </row>
    <row r="2245" spans="36:36" ht="11.25" customHeight="1">
      <c r="AJ2245"/>
    </row>
    <row r="2246" spans="36:36" ht="11.25" customHeight="1">
      <c r="AJ2246"/>
    </row>
    <row r="2247" spans="36:36" ht="11.25" customHeight="1">
      <c r="AJ2247"/>
    </row>
    <row r="2248" spans="36:36" ht="11.25" customHeight="1">
      <c r="AJ2248"/>
    </row>
    <row r="2249" spans="36:36" ht="11.25" customHeight="1">
      <c r="AJ2249"/>
    </row>
    <row r="2250" spans="36:36" ht="11.25" customHeight="1">
      <c r="AJ2250"/>
    </row>
    <row r="2251" spans="36:36" ht="11.25" customHeight="1">
      <c r="AJ2251"/>
    </row>
    <row r="2252" spans="36:36" ht="11.25" customHeight="1">
      <c r="AJ2252"/>
    </row>
    <row r="2253" spans="36:36" ht="11.25" customHeight="1">
      <c r="AJ2253"/>
    </row>
    <row r="2254" spans="36:36" ht="11.25" customHeight="1">
      <c r="AJ2254"/>
    </row>
    <row r="2255" spans="36:36" ht="11.25" customHeight="1">
      <c r="AJ2255"/>
    </row>
    <row r="2256" spans="36:36" ht="11.25" customHeight="1">
      <c r="AJ2256"/>
    </row>
    <row r="2257" spans="36:36" ht="11.25" customHeight="1">
      <c r="AJ2257"/>
    </row>
    <row r="2258" spans="36:36" ht="11.25" customHeight="1">
      <c r="AJ2258"/>
    </row>
    <row r="2259" spans="36:36" ht="11.25" customHeight="1">
      <c r="AJ2259"/>
    </row>
    <row r="2260" spans="36:36" ht="11.25" customHeight="1">
      <c r="AJ2260"/>
    </row>
    <row r="2261" spans="36:36" ht="11.25" customHeight="1">
      <c r="AJ2261"/>
    </row>
    <row r="2262" spans="36:36" ht="11.25" customHeight="1">
      <c r="AJ2262"/>
    </row>
    <row r="2263" spans="36:36" ht="11.25" customHeight="1">
      <c r="AJ2263"/>
    </row>
    <row r="2264" spans="36:36" ht="11.25" customHeight="1">
      <c r="AJ2264"/>
    </row>
    <row r="2265" spans="36:36" ht="11.25" customHeight="1">
      <c r="AJ2265"/>
    </row>
    <row r="2266" spans="36:36" ht="11.25" customHeight="1">
      <c r="AJ2266"/>
    </row>
    <row r="2267" spans="36:36" ht="11.25" customHeight="1">
      <c r="AJ2267"/>
    </row>
    <row r="2268" spans="36:36" ht="11.25" customHeight="1">
      <c r="AJ2268"/>
    </row>
    <row r="2269" spans="36:36" ht="11.25" customHeight="1">
      <c r="AJ2269"/>
    </row>
    <row r="2270" spans="36:36" ht="11.25" customHeight="1">
      <c r="AJ2270"/>
    </row>
    <row r="2271" spans="36:36" ht="11.25" customHeight="1">
      <c r="AJ2271"/>
    </row>
    <row r="2272" spans="36:36" ht="11.25" customHeight="1">
      <c r="AJ2272"/>
    </row>
    <row r="2273" spans="36:36" ht="11.25" customHeight="1">
      <c r="AJ2273"/>
    </row>
    <row r="2274" spans="36:36" ht="11.25" customHeight="1">
      <c r="AJ2274"/>
    </row>
    <row r="2275" spans="36:36" ht="11.25" customHeight="1">
      <c r="AJ2275"/>
    </row>
    <row r="2276" spans="36:36" ht="11.25" customHeight="1">
      <c r="AJ2276"/>
    </row>
    <row r="2277" spans="36:36" ht="11.25" customHeight="1">
      <c r="AJ2277"/>
    </row>
    <row r="2278" spans="36:36" ht="11.25" customHeight="1">
      <c r="AJ2278"/>
    </row>
    <row r="2279" spans="36:36" ht="11.25" customHeight="1">
      <c r="AJ2279"/>
    </row>
    <row r="2280" spans="36:36" ht="11.25" customHeight="1">
      <c r="AJ2280"/>
    </row>
    <row r="2281" spans="36:36" ht="11.25" customHeight="1">
      <c r="AJ2281"/>
    </row>
    <row r="2282" spans="36:36" ht="11.25" customHeight="1">
      <c r="AJ2282"/>
    </row>
    <row r="2283" spans="36:36" ht="11.25" customHeight="1">
      <c r="AJ2283"/>
    </row>
    <row r="2284" spans="36:36" ht="11.25" customHeight="1">
      <c r="AJ2284"/>
    </row>
    <row r="2285" spans="36:36" ht="11.25" customHeight="1">
      <c r="AJ2285"/>
    </row>
    <row r="2286" spans="36:36" ht="11.25" customHeight="1">
      <c r="AJ2286"/>
    </row>
    <row r="2287" spans="36:36" ht="11.25" customHeight="1">
      <c r="AJ2287"/>
    </row>
    <row r="2288" spans="36:36" ht="11.25" customHeight="1">
      <c r="AJ2288"/>
    </row>
    <row r="2289" spans="36:36" ht="11.25" customHeight="1">
      <c r="AJ2289"/>
    </row>
    <row r="2290" spans="36:36" ht="11.25" customHeight="1">
      <c r="AJ2290"/>
    </row>
    <row r="2291" spans="36:36" ht="11.25" customHeight="1">
      <c r="AJ2291"/>
    </row>
    <row r="2292" spans="36:36" ht="11.25" customHeight="1">
      <c r="AJ2292"/>
    </row>
    <row r="2293" spans="36:36" ht="11.25" customHeight="1">
      <c r="AJ2293"/>
    </row>
    <row r="2294" spans="36:36" ht="11.25" customHeight="1">
      <c r="AJ2294"/>
    </row>
    <row r="2295" spans="36:36" ht="11.25" customHeight="1">
      <c r="AJ2295"/>
    </row>
    <row r="2296" spans="36:36" ht="11.25" customHeight="1">
      <c r="AJ2296"/>
    </row>
    <row r="2297" spans="36:36" ht="11.25" customHeight="1">
      <c r="AJ2297"/>
    </row>
    <row r="2298" spans="36:36" ht="11.25" customHeight="1">
      <c r="AJ2298"/>
    </row>
    <row r="2299" spans="36:36" ht="11.25" customHeight="1">
      <c r="AJ2299"/>
    </row>
    <row r="2300" spans="36:36" ht="11.25" customHeight="1">
      <c r="AJ2300"/>
    </row>
    <row r="2301" spans="36:36" ht="11.25" customHeight="1">
      <c r="AJ2301"/>
    </row>
    <row r="2302" spans="36:36" ht="11.25" customHeight="1">
      <c r="AJ2302"/>
    </row>
    <row r="2303" spans="36:36" ht="11.25" customHeight="1">
      <c r="AJ2303"/>
    </row>
    <row r="2304" spans="36:36" ht="11.25" customHeight="1">
      <c r="AJ2304"/>
    </row>
    <row r="2305" spans="36:36" ht="11.25" customHeight="1">
      <c r="AJ2305"/>
    </row>
    <row r="2306" spans="36:36" ht="11.25" customHeight="1">
      <c r="AJ2306"/>
    </row>
    <row r="2307" spans="36:36" ht="11.25" customHeight="1">
      <c r="AJ2307"/>
    </row>
    <row r="2308" spans="36:36" ht="11.25" customHeight="1">
      <c r="AJ2308"/>
    </row>
    <row r="2309" spans="36:36" ht="11.25" customHeight="1">
      <c r="AJ2309"/>
    </row>
    <row r="2310" spans="36:36" ht="11.25" customHeight="1">
      <c r="AJ2310"/>
    </row>
    <row r="2311" spans="36:36" ht="11.25" customHeight="1">
      <c r="AJ2311"/>
    </row>
    <row r="2312" spans="36:36" ht="11.25" customHeight="1">
      <c r="AJ2312"/>
    </row>
    <row r="2313" spans="36:36" ht="11.25" customHeight="1">
      <c r="AJ2313"/>
    </row>
    <row r="2314" spans="36:36" ht="11.25" customHeight="1">
      <c r="AJ2314"/>
    </row>
    <row r="2315" spans="36:36" ht="11.25" customHeight="1">
      <c r="AJ2315"/>
    </row>
    <row r="2316" spans="36:36" ht="11.25" customHeight="1">
      <c r="AJ2316"/>
    </row>
    <row r="2317" spans="36:36" ht="11.25" customHeight="1">
      <c r="AJ2317"/>
    </row>
    <row r="2318" spans="36:36" ht="11.25" customHeight="1">
      <c r="AJ2318"/>
    </row>
    <row r="2319" spans="36:36" ht="11.25" customHeight="1">
      <c r="AJ2319"/>
    </row>
    <row r="2320" spans="36:36" ht="11.25" customHeight="1">
      <c r="AJ2320"/>
    </row>
    <row r="2321" spans="36:36" ht="11.25" customHeight="1">
      <c r="AJ2321"/>
    </row>
    <row r="2322" spans="36:36" ht="11.25" customHeight="1">
      <c r="AJ2322"/>
    </row>
    <row r="2323" spans="36:36" ht="11.25" customHeight="1">
      <c r="AJ2323"/>
    </row>
    <row r="2324" spans="36:36" ht="11.25" customHeight="1">
      <c r="AJ2324"/>
    </row>
    <row r="2325" spans="36:36" ht="11.25" customHeight="1">
      <c r="AJ2325"/>
    </row>
    <row r="2326" spans="36:36" ht="11.25" customHeight="1">
      <c r="AJ2326"/>
    </row>
    <row r="2327" spans="36:36" ht="11.25" customHeight="1">
      <c r="AJ2327"/>
    </row>
    <row r="2328" spans="36:36" ht="11.25" customHeight="1">
      <c r="AJ2328"/>
    </row>
    <row r="2329" spans="36:36" ht="11.25" customHeight="1">
      <c r="AJ2329"/>
    </row>
    <row r="2330" spans="36:36" ht="11.25" customHeight="1">
      <c r="AJ2330"/>
    </row>
    <row r="2331" spans="36:36" ht="11.25" customHeight="1">
      <c r="AJ2331"/>
    </row>
    <row r="2332" spans="36:36" ht="11.25" customHeight="1">
      <c r="AJ2332"/>
    </row>
    <row r="2333" spans="36:36" ht="11.25" customHeight="1">
      <c r="AJ2333"/>
    </row>
    <row r="2334" spans="36:36" ht="11.25" customHeight="1">
      <c r="AJ2334"/>
    </row>
    <row r="2335" spans="36:36" ht="11.25" customHeight="1">
      <c r="AJ2335"/>
    </row>
    <row r="2336" spans="36:36" ht="11.25" customHeight="1">
      <c r="AJ2336"/>
    </row>
    <row r="2337" spans="36:36" ht="11.25" customHeight="1">
      <c r="AJ2337"/>
    </row>
    <row r="2338" spans="36:36" ht="11.25" customHeight="1">
      <c r="AJ2338"/>
    </row>
    <row r="2339" spans="36:36" ht="11.25" customHeight="1">
      <c r="AJ2339"/>
    </row>
    <row r="2340" spans="36:36" ht="11.25" customHeight="1">
      <c r="AJ2340"/>
    </row>
    <row r="2341" spans="36:36" ht="11.25" customHeight="1">
      <c r="AJ2341"/>
    </row>
    <row r="2342" spans="36:36" ht="11.25" customHeight="1">
      <c r="AJ2342"/>
    </row>
    <row r="2343" spans="36:36" ht="11.25" customHeight="1">
      <c r="AJ2343"/>
    </row>
    <row r="2344" spans="36:36" ht="11.25" customHeight="1">
      <c r="AJ2344"/>
    </row>
    <row r="2345" spans="36:36" ht="11.25" customHeight="1">
      <c r="AJ2345"/>
    </row>
    <row r="2346" spans="36:36" ht="11.25" customHeight="1">
      <c r="AJ2346"/>
    </row>
    <row r="2347" spans="36:36" ht="11.25" customHeight="1">
      <c r="AJ2347"/>
    </row>
    <row r="2348" spans="36:36" ht="11.25" customHeight="1">
      <c r="AJ2348"/>
    </row>
    <row r="2349" spans="36:36" ht="11.25" customHeight="1">
      <c r="AJ2349"/>
    </row>
    <row r="2350" spans="36:36" ht="11.25" customHeight="1">
      <c r="AJ2350"/>
    </row>
    <row r="2351" spans="36:36" ht="11.25" customHeight="1">
      <c r="AJ2351"/>
    </row>
    <row r="2352" spans="36:36" ht="11.25" customHeight="1">
      <c r="AJ2352"/>
    </row>
    <row r="2353" spans="36:36" ht="11.25" customHeight="1">
      <c r="AJ2353"/>
    </row>
    <row r="2354" spans="36:36" ht="11.25" customHeight="1">
      <c r="AJ2354"/>
    </row>
    <row r="2355" spans="36:36" ht="11.25" customHeight="1">
      <c r="AJ2355"/>
    </row>
    <row r="2356" spans="36:36" ht="11.25" customHeight="1">
      <c r="AJ2356"/>
    </row>
    <row r="2357" spans="36:36" ht="11.25" customHeight="1">
      <c r="AJ2357"/>
    </row>
    <row r="2358" spans="36:36" ht="11.25" customHeight="1">
      <c r="AJ2358"/>
    </row>
    <row r="2359" spans="36:36" ht="11.25" customHeight="1">
      <c r="AJ2359"/>
    </row>
    <row r="2360" spans="36:36" ht="11.25" customHeight="1">
      <c r="AJ2360"/>
    </row>
    <row r="2361" spans="36:36" ht="11.25" customHeight="1">
      <c r="AJ2361"/>
    </row>
    <row r="2362" spans="36:36" ht="11.25" customHeight="1">
      <c r="AJ2362"/>
    </row>
    <row r="2363" spans="36:36" ht="11.25" customHeight="1">
      <c r="AJ2363"/>
    </row>
    <row r="2364" spans="36:36" ht="11.25" customHeight="1">
      <c r="AJ2364"/>
    </row>
    <row r="2365" spans="36:36" ht="11.25" customHeight="1">
      <c r="AJ2365"/>
    </row>
    <row r="2366" spans="36:36" ht="11.25" customHeight="1">
      <c r="AJ2366"/>
    </row>
    <row r="2367" spans="36:36" ht="11.25" customHeight="1">
      <c r="AJ2367"/>
    </row>
    <row r="2368" spans="36:36" ht="11.25" customHeight="1">
      <c r="AJ2368"/>
    </row>
    <row r="2369" spans="36:36" ht="11.25" customHeight="1">
      <c r="AJ2369"/>
    </row>
    <row r="2370" spans="36:36" ht="11.25" customHeight="1">
      <c r="AJ2370"/>
    </row>
    <row r="2371" spans="36:36" ht="11.25" customHeight="1">
      <c r="AJ2371"/>
    </row>
    <row r="2372" spans="36:36" ht="11.25" customHeight="1">
      <c r="AJ2372"/>
    </row>
    <row r="2373" spans="36:36" ht="11.25" customHeight="1">
      <c r="AJ2373"/>
    </row>
    <row r="2374" spans="36:36" ht="11.25" customHeight="1">
      <c r="AJ2374"/>
    </row>
    <row r="2375" spans="36:36" ht="11.25" customHeight="1">
      <c r="AJ2375"/>
    </row>
    <row r="2376" spans="36:36" ht="11.25" customHeight="1">
      <c r="AJ2376"/>
    </row>
    <row r="2377" spans="36:36" ht="11.25" customHeight="1">
      <c r="AJ2377"/>
    </row>
    <row r="2378" spans="36:36" ht="11.25" customHeight="1">
      <c r="AJ2378"/>
    </row>
    <row r="2379" spans="36:36" ht="11.25" customHeight="1">
      <c r="AJ2379"/>
    </row>
    <row r="2380" spans="36:36" ht="11.25" customHeight="1">
      <c r="AJ2380"/>
    </row>
    <row r="2381" spans="36:36" ht="11.25" customHeight="1">
      <c r="AJ2381"/>
    </row>
    <row r="2382" spans="36:36" ht="11.25" customHeight="1">
      <c r="AJ2382"/>
    </row>
    <row r="2383" spans="36:36" ht="11.25" customHeight="1">
      <c r="AJ2383"/>
    </row>
    <row r="2384" spans="36:36" ht="11.25" customHeight="1">
      <c r="AJ2384"/>
    </row>
    <row r="2385" spans="36:36" ht="11.25" customHeight="1">
      <c r="AJ2385"/>
    </row>
    <row r="2386" spans="36:36" ht="11.25" customHeight="1">
      <c r="AJ2386"/>
    </row>
    <row r="2387" spans="36:36" ht="11.25" customHeight="1">
      <c r="AJ2387"/>
    </row>
    <row r="2388" spans="36:36" ht="11.25" customHeight="1">
      <c r="AJ2388"/>
    </row>
    <row r="2389" spans="36:36" ht="11.25" customHeight="1">
      <c r="AJ2389"/>
    </row>
    <row r="2390" spans="36:36" ht="11.25" customHeight="1">
      <c r="AJ2390"/>
    </row>
    <row r="2391" spans="36:36" ht="11.25" customHeight="1">
      <c r="AJ2391"/>
    </row>
    <row r="2392" spans="36:36" ht="11.25" customHeight="1">
      <c r="AJ2392"/>
    </row>
    <row r="2393" spans="36:36" ht="11.25" customHeight="1">
      <c r="AJ2393"/>
    </row>
    <row r="2394" spans="36:36" ht="11.25" customHeight="1">
      <c r="AJ2394"/>
    </row>
    <row r="2395" spans="36:36" ht="11.25" customHeight="1">
      <c r="AJ2395"/>
    </row>
    <row r="2396" spans="36:36" ht="11.25" customHeight="1">
      <c r="AJ2396"/>
    </row>
    <row r="2397" spans="36:36" ht="11.25" customHeight="1">
      <c r="AJ2397"/>
    </row>
    <row r="2398" spans="36:36" ht="11.25" customHeight="1">
      <c r="AJ2398"/>
    </row>
    <row r="2399" spans="36:36" ht="11.25" customHeight="1">
      <c r="AJ2399"/>
    </row>
    <row r="2400" spans="36:36" ht="11.25" customHeight="1">
      <c r="AJ2400"/>
    </row>
    <row r="2401" spans="36:36" ht="11.25" customHeight="1">
      <c r="AJ2401"/>
    </row>
    <row r="2402" spans="36:36" ht="11.25" customHeight="1">
      <c r="AJ2402"/>
    </row>
    <row r="2403" spans="36:36" ht="11.25" customHeight="1">
      <c r="AJ2403"/>
    </row>
    <row r="2404" spans="36:36" ht="11.25" customHeight="1">
      <c r="AJ2404"/>
    </row>
    <row r="2405" spans="36:36" ht="11.25" customHeight="1">
      <c r="AJ2405"/>
    </row>
    <row r="2406" spans="36:36" ht="11.25" customHeight="1">
      <c r="AJ2406"/>
    </row>
    <row r="2407" spans="36:36" ht="11.25" customHeight="1">
      <c r="AJ2407"/>
    </row>
    <row r="2408" spans="36:36" ht="11.25" customHeight="1">
      <c r="AJ2408"/>
    </row>
    <row r="2409" spans="36:36" ht="11.25" customHeight="1">
      <c r="AJ2409"/>
    </row>
    <row r="2410" spans="36:36" ht="11.25" customHeight="1">
      <c r="AJ2410"/>
    </row>
    <row r="2411" spans="36:36" ht="11.25" customHeight="1">
      <c r="AJ2411"/>
    </row>
    <row r="2412" spans="36:36" ht="11.25" customHeight="1">
      <c r="AJ2412"/>
    </row>
    <row r="2413" spans="36:36" ht="11.25" customHeight="1">
      <c r="AJ2413"/>
    </row>
    <row r="2414" spans="36:36" ht="11.25" customHeight="1">
      <c r="AJ2414"/>
    </row>
    <row r="2415" spans="36:36" ht="11.25" customHeight="1">
      <c r="AJ2415"/>
    </row>
    <row r="2416" spans="36:36" ht="11.25" customHeight="1">
      <c r="AJ2416"/>
    </row>
    <row r="2417" spans="36:36" ht="11.25" customHeight="1">
      <c r="AJ2417"/>
    </row>
    <row r="2418" spans="36:36" ht="11.25" customHeight="1">
      <c r="AJ2418"/>
    </row>
    <row r="2419" spans="36:36" ht="11.25" customHeight="1">
      <c r="AJ2419"/>
    </row>
    <row r="2420" spans="36:36" ht="11.25" customHeight="1">
      <c r="AJ2420"/>
    </row>
    <row r="2421" spans="36:36" ht="11.25" customHeight="1">
      <c r="AJ2421"/>
    </row>
    <row r="2422" spans="36:36" ht="11.25" customHeight="1">
      <c r="AJ2422"/>
    </row>
    <row r="2423" spans="36:36" ht="11.25" customHeight="1">
      <c r="AJ2423"/>
    </row>
    <row r="2424" spans="36:36" ht="11.25" customHeight="1">
      <c r="AJ2424"/>
    </row>
    <row r="2425" spans="36:36" ht="11.25" customHeight="1">
      <c r="AJ2425"/>
    </row>
    <row r="2426" spans="36:36" ht="11.25" customHeight="1">
      <c r="AJ2426"/>
    </row>
    <row r="2427" spans="36:36" ht="11.25" customHeight="1">
      <c r="AJ2427"/>
    </row>
    <row r="2428" spans="36:36" ht="11.25" customHeight="1">
      <c r="AJ2428"/>
    </row>
    <row r="2429" spans="36:36" ht="11.25" customHeight="1">
      <c r="AJ2429"/>
    </row>
    <row r="2430" spans="36:36" ht="11.25" customHeight="1">
      <c r="AJ2430"/>
    </row>
    <row r="2431" spans="36:36" ht="11.25" customHeight="1">
      <c r="AJ2431"/>
    </row>
    <row r="2432" spans="36:36" ht="11.25" customHeight="1">
      <c r="AJ2432"/>
    </row>
    <row r="2433" spans="36:36" ht="11.25" customHeight="1">
      <c r="AJ2433"/>
    </row>
    <row r="2434" spans="36:36" ht="11.25" customHeight="1">
      <c r="AJ2434"/>
    </row>
    <row r="2435" spans="36:36" ht="11.25" customHeight="1">
      <c r="AJ2435"/>
    </row>
    <row r="2436" spans="36:36" ht="11.25" customHeight="1">
      <c r="AJ2436"/>
    </row>
    <row r="2437" spans="36:36" ht="11.25" customHeight="1">
      <c r="AJ2437"/>
    </row>
    <row r="2438" spans="36:36" ht="11.25" customHeight="1">
      <c r="AJ2438"/>
    </row>
    <row r="2439" spans="36:36" ht="11.25" customHeight="1">
      <c r="AJ2439"/>
    </row>
    <row r="2440" spans="36:36" ht="11.25" customHeight="1">
      <c r="AJ2440"/>
    </row>
    <row r="2441" spans="36:36" ht="11.25" customHeight="1">
      <c r="AJ2441"/>
    </row>
    <row r="2442" spans="36:36" ht="11.25" customHeight="1">
      <c r="AJ2442"/>
    </row>
    <row r="2443" spans="36:36" ht="11.25" customHeight="1">
      <c r="AJ2443"/>
    </row>
    <row r="2444" spans="36:36" ht="11.25" customHeight="1">
      <c r="AJ2444"/>
    </row>
    <row r="2445" spans="36:36" ht="11.25" customHeight="1">
      <c r="AJ2445"/>
    </row>
    <row r="2446" spans="36:36" ht="11.25" customHeight="1">
      <c r="AJ2446"/>
    </row>
    <row r="2447" spans="36:36" ht="11.25" customHeight="1">
      <c r="AJ2447"/>
    </row>
    <row r="2448" spans="36:36" ht="11.25" customHeight="1">
      <c r="AJ2448"/>
    </row>
    <row r="2449" spans="36:36" ht="11.25" customHeight="1">
      <c r="AJ2449"/>
    </row>
    <row r="2450" spans="36:36" ht="11.25" customHeight="1">
      <c r="AJ2450"/>
    </row>
    <row r="2451" spans="36:36" ht="11.25" customHeight="1">
      <c r="AJ2451"/>
    </row>
    <row r="2452" spans="36:36" ht="11.25" customHeight="1">
      <c r="AJ2452"/>
    </row>
    <row r="2453" spans="36:36" ht="11.25" customHeight="1">
      <c r="AJ2453"/>
    </row>
    <row r="2454" spans="36:36" ht="11.25" customHeight="1">
      <c r="AJ2454"/>
    </row>
    <row r="2455" spans="36:36" ht="11.25" customHeight="1">
      <c r="AJ2455"/>
    </row>
    <row r="2456" spans="36:36" ht="11.25" customHeight="1">
      <c r="AJ2456"/>
    </row>
    <row r="2457" spans="36:36" ht="11.25" customHeight="1">
      <c r="AJ2457"/>
    </row>
    <row r="2458" spans="36:36" ht="11.25" customHeight="1">
      <c r="AJ2458"/>
    </row>
    <row r="2459" spans="36:36" ht="11.25" customHeight="1">
      <c r="AJ2459"/>
    </row>
    <row r="2460" spans="36:36" ht="11.25" customHeight="1">
      <c r="AJ2460"/>
    </row>
    <row r="2461" spans="36:36" ht="11.25" customHeight="1">
      <c r="AJ2461"/>
    </row>
    <row r="2462" spans="36:36" ht="11.25" customHeight="1">
      <c r="AJ2462"/>
    </row>
    <row r="2463" spans="36:36" ht="11.25" customHeight="1">
      <c r="AJ2463"/>
    </row>
    <row r="2464" spans="36:36" ht="11.25" customHeight="1">
      <c r="AJ2464"/>
    </row>
    <row r="2465" spans="36:36" ht="11.25" customHeight="1">
      <c r="AJ2465"/>
    </row>
    <row r="2466" spans="36:36" ht="11.25" customHeight="1">
      <c r="AJ2466"/>
    </row>
    <row r="2467" spans="36:36" ht="11.25" customHeight="1">
      <c r="AJ2467"/>
    </row>
    <row r="2468" spans="36:36" ht="11.25" customHeight="1">
      <c r="AJ2468"/>
    </row>
    <row r="2469" spans="36:36" ht="11.25" customHeight="1">
      <c r="AJ2469"/>
    </row>
    <row r="2470" spans="36:36" ht="11.25" customHeight="1">
      <c r="AJ2470"/>
    </row>
    <row r="2471" spans="36:36" ht="11.25" customHeight="1">
      <c r="AJ2471"/>
    </row>
    <row r="2472" spans="36:36" ht="11.25" customHeight="1">
      <c r="AJ2472"/>
    </row>
    <row r="2473" spans="36:36" ht="11.25" customHeight="1">
      <c r="AJ2473"/>
    </row>
    <row r="2474" spans="36:36" ht="11.25" customHeight="1">
      <c r="AJ2474"/>
    </row>
    <row r="2475" spans="36:36" ht="11.25" customHeight="1">
      <c r="AJ2475"/>
    </row>
    <row r="2476" spans="36:36" ht="11.25" customHeight="1">
      <c r="AJ2476"/>
    </row>
    <row r="2477" spans="36:36" ht="11.25" customHeight="1">
      <c r="AJ2477"/>
    </row>
    <row r="2478" spans="36:36" ht="11.25" customHeight="1">
      <c r="AJ2478"/>
    </row>
    <row r="2479" spans="36:36" ht="11.25" customHeight="1">
      <c r="AJ2479"/>
    </row>
    <row r="2480" spans="36:36" ht="11.25" customHeight="1">
      <c r="AJ2480"/>
    </row>
    <row r="2481" spans="36:36" ht="11.25" customHeight="1">
      <c r="AJ2481"/>
    </row>
    <row r="2482" spans="36:36" ht="11.25" customHeight="1">
      <c r="AJ2482"/>
    </row>
    <row r="2483" spans="36:36" ht="11.25" customHeight="1">
      <c r="AJ2483"/>
    </row>
    <row r="2484" spans="36:36" ht="11.25" customHeight="1">
      <c r="AJ2484"/>
    </row>
    <row r="2485" spans="36:36" ht="11.25" customHeight="1">
      <c r="AJ2485"/>
    </row>
    <row r="2486" spans="36:36" ht="11.25" customHeight="1">
      <c r="AJ2486"/>
    </row>
    <row r="2487" spans="36:36" ht="11.25" customHeight="1">
      <c r="AJ2487"/>
    </row>
    <row r="2488" spans="36:36" ht="11.25" customHeight="1">
      <c r="AJ2488"/>
    </row>
    <row r="2489" spans="36:36" ht="11.25" customHeight="1">
      <c r="AJ2489"/>
    </row>
    <row r="2490" spans="36:36" ht="11.25" customHeight="1">
      <c r="AJ2490"/>
    </row>
    <row r="2491" spans="36:36" ht="11.25" customHeight="1">
      <c r="AJ2491"/>
    </row>
    <row r="2492" spans="36:36" ht="11.25" customHeight="1">
      <c r="AJ2492"/>
    </row>
    <row r="2493" spans="36:36" ht="11.25" customHeight="1">
      <c r="AJ2493"/>
    </row>
    <row r="2494" spans="36:36" ht="11.25" customHeight="1">
      <c r="AJ2494"/>
    </row>
    <row r="2495" spans="36:36" ht="11.25" customHeight="1">
      <c r="AJ2495"/>
    </row>
    <row r="2496" spans="36:36" ht="11.25" customHeight="1">
      <c r="AJ2496"/>
    </row>
    <row r="2497" spans="36:36" ht="11.25" customHeight="1">
      <c r="AJ2497"/>
    </row>
    <row r="2498" spans="36:36" ht="11.25" customHeight="1">
      <c r="AJ2498"/>
    </row>
    <row r="2499" spans="36:36" ht="11.25" customHeight="1">
      <c r="AJ2499"/>
    </row>
    <row r="2500" spans="36:36" ht="11.25" customHeight="1">
      <c r="AJ2500"/>
    </row>
    <row r="2501" spans="36:36" ht="11.25" customHeight="1">
      <c r="AJ2501"/>
    </row>
    <row r="2502" spans="36:36" ht="11.25" customHeight="1">
      <c r="AJ2502"/>
    </row>
    <row r="2503" spans="36:36" ht="11.25" customHeight="1">
      <c r="AJ2503"/>
    </row>
    <row r="2504" spans="36:36" ht="11.25" customHeight="1">
      <c r="AJ2504"/>
    </row>
    <row r="2505" spans="36:36" ht="11.25" customHeight="1">
      <c r="AJ2505"/>
    </row>
    <row r="2506" spans="36:36" ht="11.25" customHeight="1">
      <c r="AJ2506"/>
    </row>
    <row r="2507" spans="36:36" ht="11.25" customHeight="1">
      <c r="AJ2507"/>
    </row>
    <row r="2508" spans="36:36" ht="11.25" customHeight="1">
      <c r="AJ2508"/>
    </row>
    <row r="2509" spans="36:36" ht="11.25" customHeight="1">
      <c r="AJ2509"/>
    </row>
    <row r="2510" spans="36:36" ht="11.25" customHeight="1">
      <c r="AJ2510"/>
    </row>
    <row r="2511" spans="36:36" ht="11.25" customHeight="1">
      <c r="AJ2511"/>
    </row>
    <row r="2512" spans="36:36" ht="11.25" customHeight="1">
      <c r="AJ2512"/>
    </row>
    <row r="2513" spans="36:36" ht="11.25" customHeight="1">
      <c r="AJ2513"/>
    </row>
    <row r="2514" spans="36:36" ht="11.25" customHeight="1">
      <c r="AJ2514"/>
    </row>
    <row r="2515" spans="36:36" ht="11.25" customHeight="1">
      <c r="AJ2515"/>
    </row>
    <row r="2516" spans="36:36" ht="11.25" customHeight="1">
      <c r="AJ2516"/>
    </row>
    <row r="2517" spans="36:36" ht="11.25" customHeight="1">
      <c r="AJ2517"/>
    </row>
    <row r="2518" spans="36:36" ht="11.25" customHeight="1">
      <c r="AJ2518"/>
    </row>
    <row r="2519" spans="36:36" ht="11.25" customHeight="1">
      <c r="AJ2519"/>
    </row>
    <row r="2520" spans="36:36" ht="11.25" customHeight="1">
      <c r="AJ2520"/>
    </row>
    <row r="2521" spans="36:36" ht="11.25" customHeight="1">
      <c r="AJ2521"/>
    </row>
    <row r="2522" spans="36:36" ht="11.25" customHeight="1">
      <c r="AJ2522"/>
    </row>
    <row r="2523" spans="36:36" ht="11.25" customHeight="1">
      <c r="AJ2523"/>
    </row>
    <row r="2524" spans="36:36" ht="11.25" customHeight="1">
      <c r="AJ2524"/>
    </row>
    <row r="2525" spans="36:36" ht="11.25" customHeight="1">
      <c r="AJ2525"/>
    </row>
    <row r="2526" spans="36:36" ht="11.25" customHeight="1">
      <c r="AJ2526"/>
    </row>
    <row r="2527" spans="36:36" ht="11.25" customHeight="1">
      <c r="AJ2527"/>
    </row>
    <row r="2528" spans="36:36" ht="11.25" customHeight="1">
      <c r="AJ2528"/>
    </row>
    <row r="2529" spans="36:36" ht="11.25" customHeight="1">
      <c r="AJ2529"/>
    </row>
    <row r="2530" spans="36:36" ht="11.25" customHeight="1">
      <c r="AJ2530"/>
    </row>
    <row r="2531" spans="36:36" ht="11.25" customHeight="1">
      <c r="AJ2531"/>
    </row>
    <row r="2532" spans="36:36" ht="11.25" customHeight="1">
      <c r="AJ2532"/>
    </row>
    <row r="2533" spans="36:36" ht="11.25" customHeight="1">
      <c r="AJ2533"/>
    </row>
    <row r="2534" spans="36:36" ht="11.25" customHeight="1">
      <c r="AJ2534"/>
    </row>
    <row r="2535" spans="36:36" ht="11.25" customHeight="1">
      <c r="AJ2535"/>
    </row>
    <row r="2536" spans="36:36" ht="11.25" customHeight="1">
      <c r="AJ2536"/>
    </row>
    <row r="2537" spans="36:36" ht="11.25" customHeight="1">
      <c r="AJ2537"/>
    </row>
    <row r="2538" spans="36:36" ht="11.25" customHeight="1">
      <c r="AJ2538"/>
    </row>
    <row r="2539" spans="36:36" ht="11.25" customHeight="1">
      <c r="AJ2539"/>
    </row>
    <row r="2540" spans="36:36" ht="11.25" customHeight="1">
      <c r="AJ2540"/>
    </row>
    <row r="2541" spans="36:36" ht="11.25" customHeight="1">
      <c r="AJ2541"/>
    </row>
    <row r="2542" spans="36:36" ht="11.25" customHeight="1">
      <c r="AJ2542"/>
    </row>
    <row r="2543" spans="36:36" ht="11.25" customHeight="1">
      <c r="AJ2543"/>
    </row>
    <row r="2544" spans="36:36" ht="11.25" customHeight="1">
      <c r="AJ2544"/>
    </row>
    <row r="2545" spans="36:36" ht="11.25" customHeight="1">
      <c r="AJ2545"/>
    </row>
    <row r="2546" spans="36:36" ht="11.25" customHeight="1">
      <c r="AJ2546"/>
    </row>
    <row r="2547" spans="36:36" ht="11.25" customHeight="1">
      <c r="AJ2547"/>
    </row>
    <row r="2548" spans="36:36" ht="11.25" customHeight="1">
      <c r="AJ2548"/>
    </row>
    <row r="2549" spans="36:36" ht="11.25" customHeight="1">
      <c r="AJ2549"/>
    </row>
    <row r="2550" spans="36:36" ht="11.25" customHeight="1">
      <c r="AJ2550"/>
    </row>
    <row r="2551" spans="36:36" ht="11.25" customHeight="1">
      <c r="AJ2551"/>
    </row>
    <row r="2552" spans="36:36" ht="11.25" customHeight="1">
      <c r="AJ2552"/>
    </row>
    <row r="2553" spans="36:36" ht="11.25" customHeight="1">
      <c r="AJ2553"/>
    </row>
    <row r="2554" spans="36:36" ht="11.25" customHeight="1">
      <c r="AJ2554"/>
    </row>
    <row r="2555" spans="36:36" ht="11.25" customHeight="1">
      <c r="AJ2555"/>
    </row>
    <row r="2556" spans="36:36" ht="11.25" customHeight="1">
      <c r="AJ2556"/>
    </row>
    <row r="2557" spans="36:36" ht="11.25" customHeight="1">
      <c r="AJ2557"/>
    </row>
    <row r="2558" spans="36:36" ht="11.25" customHeight="1">
      <c r="AJ2558"/>
    </row>
    <row r="2559" spans="36:36" ht="11.25" customHeight="1">
      <c r="AJ2559"/>
    </row>
    <row r="2560" spans="36:36" ht="11.25" customHeight="1">
      <c r="AJ2560"/>
    </row>
    <row r="2561" spans="36:36" ht="11.25" customHeight="1">
      <c r="AJ2561"/>
    </row>
    <row r="2562" spans="36:36" ht="11.25" customHeight="1">
      <c r="AJ2562"/>
    </row>
    <row r="2563" spans="36:36" ht="11.25" customHeight="1">
      <c r="AJ2563"/>
    </row>
    <row r="2564" spans="36:36" ht="11.25" customHeight="1">
      <c r="AJ2564"/>
    </row>
    <row r="2565" spans="36:36" ht="11.25" customHeight="1">
      <c r="AJ2565"/>
    </row>
    <row r="2566" spans="36:36" ht="11.25" customHeight="1">
      <c r="AJ2566"/>
    </row>
    <row r="2567" spans="36:36" ht="11.25" customHeight="1">
      <c r="AJ2567"/>
    </row>
    <row r="2568" spans="36:36" ht="11.25" customHeight="1">
      <c r="AJ2568"/>
    </row>
    <row r="2569" spans="36:36" ht="11.25" customHeight="1">
      <c r="AJ2569"/>
    </row>
    <row r="2570" spans="36:36" ht="11.25" customHeight="1">
      <c r="AJ2570"/>
    </row>
    <row r="2571" spans="36:36" ht="11.25" customHeight="1">
      <c r="AJ2571"/>
    </row>
    <row r="2572" spans="36:36" ht="11.25" customHeight="1">
      <c r="AJ2572"/>
    </row>
    <row r="2573" spans="36:36" ht="11.25" customHeight="1">
      <c r="AJ2573"/>
    </row>
    <row r="2574" spans="36:36" ht="11.25" customHeight="1">
      <c r="AJ2574"/>
    </row>
    <row r="2575" spans="36:36" ht="11.25" customHeight="1">
      <c r="AJ2575"/>
    </row>
    <row r="2576" spans="36:36" ht="11.25" customHeight="1">
      <c r="AJ2576"/>
    </row>
    <row r="2577" spans="36:36" ht="11.25" customHeight="1">
      <c r="AJ2577"/>
    </row>
    <row r="2578" spans="36:36" ht="11.25" customHeight="1">
      <c r="AJ2578"/>
    </row>
    <row r="2579" spans="36:36" ht="11.25" customHeight="1">
      <c r="AJ2579"/>
    </row>
    <row r="2580" spans="36:36" ht="11.25" customHeight="1">
      <c r="AJ2580"/>
    </row>
    <row r="2581" spans="36:36" ht="11.25" customHeight="1">
      <c r="AJ2581"/>
    </row>
    <row r="2582" spans="36:36" ht="11.25" customHeight="1">
      <c r="AJ2582"/>
    </row>
    <row r="2583" spans="36:36" ht="11.25" customHeight="1">
      <c r="AJ2583"/>
    </row>
    <row r="2584" spans="36:36" ht="11.25" customHeight="1">
      <c r="AJ2584"/>
    </row>
    <row r="2585" spans="36:36" ht="11.25" customHeight="1">
      <c r="AJ2585"/>
    </row>
    <row r="2586" spans="36:36" ht="11.25" customHeight="1">
      <c r="AJ2586"/>
    </row>
    <row r="2587" spans="36:36" ht="11.25" customHeight="1">
      <c r="AJ2587"/>
    </row>
    <row r="2588" spans="36:36" ht="11.25" customHeight="1">
      <c r="AJ2588"/>
    </row>
    <row r="2589" spans="36:36" ht="11.25" customHeight="1">
      <c r="AJ2589"/>
    </row>
    <row r="2590" spans="36:36" ht="11.25" customHeight="1">
      <c r="AJ2590"/>
    </row>
    <row r="2591" spans="36:36" ht="11.25" customHeight="1">
      <c r="AJ2591"/>
    </row>
    <row r="2592" spans="36:36" ht="11.25" customHeight="1">
      <c r="AJ2592"/>
    </row>
    <row r="2593" spans="36:36" ht="11.25" customHeight="1">
      <c r="AJ2593"/>
    </row>
    <row r="2594" spans="36:36" ht="11.25" customHeight="1">
      <c r="AJ2594"/>
    </row>
    <row r="2595" spans="36:36" ht="11.25" customHeight="1">
      <c r="AJ2595"/>
    </row>
    <row r="2596" spans="36:36" ht="11.25" customHeight="1">
      <c r="AJ2596"/>
    </row>
    <row r="2597" spans="36:36" ht="11.25" customHeight="1">
      <c r="AJ2597"/>
    </row>
    <row r="2598" spans="36:36" ht="11.25" customHeight="1">
      <c r="AJ2598"/>
    </row>
    <row r="2599" spans="36:36" ht="11.25" customHeight="1">
      <c r="AJ2599"/>
    </row>
    <row r="2600" spans="36:36" ht="11.25" customHeight="1">
      <c r="AJ2600"/>
    </row>
    <row r="2601" spans="36:36" ht="11.25" customHeight="1">
      <c r="AJ2601"/>
    </row>
    <row r="2602" spans="36:36" ht="11.25" customHeight="1">
      <c r="AJ2602"/>
    </row>
    <row r="2603" spans="36:36" ht="11.25" customHeight="1">
      <c r="AJ2603"/>
    </row>
    <row r="2604" spans="36:36" ht="11.25" customHeight="1">
      <c r="AJ2604"/>
    </row>
    <row r="2605" spans="36:36" ht="11.25" customHeight="1">
      <c r="AJ2605"/>
    </row>
    <row r="2606" spans="36:36" ht="11.25" customHeight="1">
      <c r="AJ2606"/>
    </row>
    <row r="2607" spans="36:36" ht="11.25" customHeight="1">
      <c r="AJ2607"/>
    </row>
    <row r="2608" spans="36:36" ht="11.25" customHeight="1">
      <c r="AJ2608"/>
    </row>
    <row r="2609" spans="36:36" ht="11.25" customHeight="1">
      <c r="AJ2609"/>
    </row>
    <row r="2610" spans="36:36" ht="11.25" customHeight="1">
      <c r="AJ2610"/>
    </row>
    <row r="2611" spans="36:36" ht="11.25" customHeight="1">
      <c r="AJ2611"/>
    </row>
    <row r="2612" spans="36:36" ht="11.25" customHeight="1">
      <c r="AJ2612"/>
    </row>
    <row r="2613" spans="36:36" ht="11.25" customHeight="1">
      <c r="AJ2613"/>
    </row>
    <row r="2614" spans="36:36" ht="11.25" customHeight="1">
      <c r="AJ2614"/>
    </row>
    <row r="2615" spans="36:36" ht="11.25" customHeight="1">
      <c r="AJ2615"/>
    </row>
    <row r="2616" spans="36:36" ht="11.25" customHeight="1">
      <c r="AJ2616"/>
    </row>
    <row r="2617" spans="36:36" ht="11.25" customHeight="1">
      <c r="AJ2617"/>
    </row>
    <row r="2618" spans="36:36" ht="11.25" customHeight="1">
      <c r="AJ2618"/>
    </row>
    <row r="2619" spans="36:36" ht="11.25" customHeight="1">
      <c r="AJ2619"/>
    </row>
    <row r="2620" spans="36:36" ht="11.25" customHeight="1">
      <c r="AJ2620"/>
    </row>
    <row r="2621" spans="36:36" ht="11.25" customHeight="1">
      <c r="AJ2621"/>
    </row>
    <row r="2622" spans="36:36" ht="11.25" customHeight="1">
      <c r="AJ2622"/>
    </row>
    <row r="2623" spans="36:36" ht="11.25" customHeight="1">
      <c r="AJ2623"/>
    </row>
    <row r="2624" spans="36:36" ht="11.25" customHeight="1">
      <c r="AJ2624"/>
    </row>
    <row r="2625" spans="36:36" ht="11.25" customHeight="1">
      <c r="AJ2625"/>
    </row>
    <row r="2626" spans="36:36" ht="11.25" customHeight="1">
      <c r="AJ2626"/>
    </row>
    <row r="2627" spans="36:36" ht="11.25" customHeight="1">
      <c r="AJ2627"/>
    </row>
    <row r="2628" spans="36:36" ht="11.25" customHeight="1">
      <c r="AJ2628"/>
    </row>
    <row r="2629" spans="36:36" ht="11.25" customHeight="1">
      <c r="AJ2629"/>
    </row>
    <row r="2630" spans="36:36" ht="11.25" customHeight="1">
      <c r="AJ2630"/>
    </row>
    <row r="2631" spans="36:36" ht="11.25" customHeight="1">
      <c r="AJ2631"/>
    </row>
    <row r="2632" spans="36:36" ht="11.25" customHeight="1">
      <c r="AJ2632"/>
    </row>
    <row r="2633" spans="36:36" ht="11.25" customHeight="1">
      <c r="AJ2633"/>
    </row>
    <row r="2634" spans="36:36" ht="11.25" customHeight="1">
      <c r="AJ2634"/>
    </row>
    <row r="2635" spans="36:36" ht="11.25" customHeight="1">
      <c r="AJ2635"/>
    </row>
    <row r="2636" spans="36:36" ht="11.25" customHeight="1">
      <c r="AJ2636"/>
    </row>
    <row r="2637" spans="36:36" ht="11.25" customHeight="1">
      <c r="AJ2637"/>
    </row>
    <row r="2638" spans="36:36" ht="11.25" customHeight="1">
      <c r="AJ2638"/>
    </row>
    <row r="2639" spans="36:36" ht="11.25" customHeight="1">
      <c r="AJ2639"/>
    </row>
    <row r="2640" spans="36:36" ht="11.25" customHeight="1">
      <c r="AJ2640"/>
    </row>
    <row r="2641" spans="36:36" ht="11.25" customHeight="1">
      <c r="AJ2641"/>
    </row>
    <row r="2642" spans="36:36" ht="11.25" customHeight="1">
      <c r="AJ2642"/>
    </row>
    <row r="2643" spans="36:36" ht="11.25" customHeight="1">
      <c r="AJ2643"/>
    </row>
    <row r="2644" spans="36:36" ht="11.25" customHeight="1">
      <c r="AJ2644"/>
    </row>
    <row r="2645" spans="36:36" ht="11.25" customHeight="1">
      <c r="AJ2645"/>
    </row>
    <row r="2646" spans="36:36" ht="11.25" customHeight="1">
      <c r="AJ2646"/>
    </row>
    <row r="2647" spans="36:36" ht="11.25" customHeight="1">
      <c r="AJ2647"/>
    </row>
    <row r="2648" spans="36:36" ht="11.25" customHeight="1">
      <c r="AJ2648"/>
    </row>
    <row r="2649" spans="36:36" ht="11.25" customHeight="1">
      <c r="AJ2649"/>
    </row>
    <row r="2650" spans="36:36" ht="11.25" customHeight="1">
      <c r="AJ2650"/>
    </row>
    <row r="2651" spans="36:36" ht="11.25" customHeight="1">
      <c r="AJ2651"/>
    </row>
    <row r="2652" spans="36:36" ht="11.25" customHeight="1">
      <c r="AJ2652"/>
    </row>
    <row r="2653" spans="36:36" ht="11.25" customHeight="1">
      <c r="AJ2653"/>
    </row>
    <row r="2654" spans="36:36" ht="11.25" customHeight="1">
      <c r="AJ2654"/>
    </row>
    <row r="2655" spans="36:36" ht="11.25" customHeight="1">
      <c r="AJ2655"/>
    </row>
    <row r="2656" spans="36:36" ht="11.25" customHeight="1">
      <c r="AJ2656"/>
    </row>
    <row r="2657" spans="36:36" ht="11.25" customHeight="1">
      <c r="AJ2657"/>
    </row>
    <row r="2658" spans="36:36" ht="11.25" customHeight="1">
      <c r="AJ2658"/>
    </row>
    <row r="2659" spans="36:36" ht="11.25" customHeight="1">
      <c r="AJ2659"/>
    </row>
    <row r="2660" spans="36:36" ht="11.25" customHeight="1">
      <c r="AJ2660"/>
    </row>
    <row r="2661" spans="36:36" ht="11.25" customHeight="1">
      <c r="AJ2661"/>
    </row>
    <row r="2662" spans="36:36" ht="11.25" customHeight="1">
      <c r="AJ2662"/>
    </row>
    <row r="2663" spans="36:36" ht="11.25" customHeight="1">
      <c r="AJ2663"/>
    </row>
    <row r="2664" spans="36:36" ht="11.25" customHeight="1">
      <c r="AJ2664"/>
    </row>
    <row r="2665" spans="36:36" ht="11.25" customHeight="1">
      <c r="AJ2665"/>
    </row>
    <row r="2666" spans="36:36" ht="11.25" customHeight="1">
      <c r="AJ2666"/>
    </row>
    <row r="2667" spans="36:36" ht="11.25" customHeight="1">
      <c r="AJ2667"/>
    </row>
    <row r="2668" spans="36:36" ht="11.25" customHeight="1">
      <c r="AJ2668"/>
    </row>
    <row r="2669" spans="36:36" ht="11.25" customHeight="1">
      <c r="AJ2669"/>
    </row>
    <row r="2670" spans="36:36" ht="11.25" customHeight="1">
      <c r="AJ2670"/>
    </row>
    <row r="2671" spans="36:36" ht="11.25" customHeight="1">
      <c r="AJ2671"/>
    </row>
    <row r="2672" spans="36:36" ht="11.25" customHeight="1">
      <c r="AJ2672"/>
    </row>
    <row r="2673" spans="36:36" ht="11.25" customHeight="1">
      <c r="AJ2673"/>
    </row>
    <row r="2674" spans="36:36" ht="11.25" customHeight="1">
      <c r="AJ2674"/>
    </row>
    <row r="2675" spans="36:36" ht="11.25" customHeight="1">
      <c r="AJ2675"/>
    </row>
    <row r="2676" spans="36:36" ht="11.25" customHeight="1">
      <c r="AJ2676"/>
    </row>
    <row r="2677" spans="36:36" ht="11.25" customHeight="1">
      <c r="AJ2677"/>
    </row>
    <row r="2678" spans="36:36" ht="11.25" customHeight="1">
      <c r="AJ2678"/>
    </row>
    <row r="2679" spans="36:36" ht="11.25" customHeight="1">
      <c r="AJ2679"/>
    </row>
    <row r="2680" spans="36:36" ht="11.25" customHeight="1">
      <c r="AJ2680"/>
    </row>
    <row r="2681" spans="36:36" ht="11.25" customHeight="1">
      <c r="AJ2681"/>
    </row>
    <row r="2682" spans="36:36" ht="11.25" customHeight="1">
      <c r="AJ2682"/>
    </row>
    <row r="2683" spans="36:36" ht="11.25" customHeight="1">
      <c r="AJ2683"/>
    </row>
    <row r="2684" spans="36:36" ht="11.25" customHeight="1">
      <c r="AJ2684"/>
    </row>
    <row r="2685" spans="36:36" ht="11.25" customHeight="1">
      <c r="AJ2685"/>
    </row>
    <row r="2686" spans="36:36" ht="11.25" customHeight="1">
      <c r="AJ2686"/>
    </row>
    <row r="2687" spans="36:36" ht="11.25" customHeight="1">
      <c r="AJ2687"/>
    </row>
    <row r="2688" spans="36:36" ht="11.25" customHeight="1">
      <c r="AJ2688"/>
    </row>
    <row r="2689" spans="36:36" ht="11.25" customHeight="1">
      <c r="AJ2689"/>
    </row>
    <row r="2690" spans="36:36" ht="11.25" customHeight="1">
      <c r="AJ2690"/>
    </row>
    <row r="2691" spans="36:36" ht="11.25" customHeight="1">
      <c r="AJ2691"/>
    </row>
    <row r="2692" spans="36:36" ht="11.25" customHeight="1">
      <c r="AJ2692"/>
    </row>
    <row r="2693" spans="36:36" ht="11.25" customHeight="1">
      <c r="AJ2693"/>
    </row>
    <row r="2694" spans="36:36" ht="11.25" customHeight="1">
      <c r="AJ2694"/>
    </row>
    <row r="2695" spans="36:36" ht="11.25" customHeight="1">
      <c r="AJ2695"/>
    </row>
    <row r="2696" spans="36:36" ht="11.25" customHeight="1">
      <c r="AJ2696"/>
    </row>
    <row r="2697" spans="36:36" ht="11.25" customHeight="1">
      <c r="AJ2697"/>
    </row>
    <row r="2698" spans="36:36" ht="11.25" customHeight="1">
      <c r="AJ2698"/>
    </row>
    <row r="2699" spans="36:36" ht="11.25" customHeight="1">
      <c r="AJ2699"/>
    </row>
    <row r="2700" spans="36:36" ht="11.25" customHeight="1">
      <c r="AJ2700"/>
    </row>
    <row r="2701" spans="36:36" ht="11.25" customHeight="1">
      <c r="AJ2701"/>
    </row>
    <row r="2702" spans="36:36" ht="11.25" customHeight="1">
      <c r="AJ2702"/>
    </row>
    <row r="2703" spans="36:36" ht="11.25" customHeight="1">
      <c r="AJ2703"/>
    </row>
    <row r="2704" spans="36:36" ht="11.25" customHeight="1">
      <c r="AJ2704"/>
    </row>
    <row r="2705" spans="36:36" ht="11.25" customHeight="1">
      <c r="AJ2705"/>
    </row>
    <row r="2706" spans="36:36" ht="11.25" customHeight="1">
      <c r="AJ2706"/>
    </row>
    <row r="2707" spans="36:36" ht="11.25" customHeight="1">
      <c r="AJ2707"/>
    </row>
    <row r="2708" spans="36:36" ht="11.25" customHeight="1">
      <c r="AJ2708"/>
    </row>
    <row r="2709" spans="36:36" ht="11.25" customHeight="1">
      <c r="AJ2709"/>
    </row>
    <row r="2710" spans="36:36" ht="11.25" customHeight="1">
      <c r="AJ2710"/>
    </row>
    <row r="2711" spans="36:36" ht="11.25" customHeight="1">
      <c r="AJ2711"/>
    </row>
    <row r="2712" spans="36:36" ht="11.25" customHeight="1">
      <c r="AJ2712"/>
    </row>
    <row r="2713" spans="36:36" ht="11.25" customHeight="1">
      <c r="AJ2713"/>
    </row>
    <row r="2714" spans="36:36" ht="11.25" customHeight="1">
      <c r="AJ2714"/>
    </row>
    <row r="2715" spans="36:36" ht="11.25" customHeight="1">
      <c r="AJ2715"/>
    </row>
    <row r="2716" spans="36:36" ht="11.25" customHeight="1">
      <c r="AJ2716"/>
    </row>
    <row r="2717" spans="36:36" ht="11.25" customHeight="1">
      <c r="AJ2717"/>
    </row>
    <row r="2718" spans="36:36" ht="11.25" customHeight="1">
      <c r="AJ2718"/>
    </row>
    <row r="2719" spans="36:36" ht="11.25" customHeight="1">
      <c r="AJ2719"/>
    </row>
    <row r="2720" spans="36:36" ht="11.25" customHeight="1">
      <c r="AJ2720"/>
    </row>
    <row r="2721" spans="36:36" ht="11.25" customHeight="1">
      <c r="AJ2721"/>
    </row>
    <row r="2722" spans="36:36" ht="11.25" customHeight="1">
      <c r="AJ2722"/>
    </row>
    <row r="2723" spans="36:36" ht="11.25" customHeight="1">
      <c r="AJ2723"/>
    </row>
    <row r="2724" spans="36:36" ht="11.25" customHeight="1">
      <c r="AJ2724"/>
    </row>
    <row r="2725" spans="36:36" ht="11.25" customHeight="1">
      <c r="AJ2725"/>
    </row>
    <row r="2726" spans="36:36" ht="11.25" customHeight="1">
      <c r="AJ2726"/>
    </row>
    <row r="2727" spans="36:36" ht="11.25" customHeight="1">
      <c r="AJ2727"/>
    </row>
    <row r="2728" spans="36:36" ht="11.25" customHeight="1">
      <c r="AJ2728"/>
    </row>
    <row r="2729" spans="36:36" ht="11.25" customHeight="1">
      <c r="AJ2729"/>
    </row>
    <row r="2730" spans="36:36" ht="11.25" customHeight="1">
      <c r="AJ2730"/>
    </row>
    <row r="2731" spans="36:36" ht="11.25" customHeight="1">
      <c r="AJ2731"/>
    </row>
    <row r="2732" spans="36:36" ht="11.25" customHeight="1">
      <c r="AJ2732"/>
    </row>
    <row r="2733" spans="36:36" ht="11.25" customHeight="1">
      <c r="AJ2733"/>
    </row>
    <row r="2734" spans="36:36" ht="11.25" customHeight="1">
      <c r="AJ2734"/>
    </row>
    <row r="2735" spans="36:36" ht="11.25" customHeight="1">
      <c r="AJ2735"/>
    </row>
    <row r="2736" spans="36:36" ht="11.25" customHeight="1">
      <c r="AJ2736"/>
    </row>
    <row r="2737" spans="36:36" ht="11.25" customHeight="1">
      <c r="AJ2737"/>
    </row>
    <row r="2738" spans="36:36" ht="11.25" customHeight="1">
      <c r="AJ2738"/>
    </row>
    <row r="2739" spans="36:36" ht="11.25" customHeight="1">
      <c r="AJ2739"/>
    </row>
    <row r="2740" spans="36:36" ht="11.25" customHeight="1">
      <c r="AJ2740"/>
    </row>
    <row r="2741" spans="36:36" ht="11.25" customHeight="1">
      <c r="AJ2741"/>
    </row>
    <row r="2742" spans="36:36" ht="11.25" customHeight="1">
      <c r="AJ2742"/>
    </row>
    <row r="2743" spans="36:36" ht="11.25" customHeight="1">
      <c r="AJ2743"/>
    </row>
    <row r="2744" spans="36:36" ht="11.25" customHeight="1">
      <c r="AJ2744"/>
    </row>
    <row r="2745" spans="36:36" ht="11.25" customHeight="1">
      <c r="AJ2745"/>
    </row>
    <row r="2746" spans="36:36" ht="11.25" customHeight="1">
      <c r="AJ2746"/>
    </row>
    <row r="2747" spans="36:36" ht="11.25" customHeight="1">
      <c r="AJ2747"/>
    </row>
    <row r="2748" spans="36:36" ht="11.25" customHeight="1">
      <c r="AJ2748"/>
    </row>
    <row r="2749" spans="36:36" ht="11.25" customHeight="1">
      <c r="AJ2749"/>
    </row>
    <row r="2750" spans="36:36" ht="11.25" customHeight="1">
      <c r="AJ2750"/>
    </row>
    <row r="2751" spans="36:36" ht="11.25" customHeight="1">
      <c r="AJ2751"/>
    </row>
    <row r="2752" spans="36:36" ht="11.25" customHeight="1">
      <c r="AJ2752"/>
    </row>
    <row r="2753" spans="36:36" ht="11.25" customHeight="1">
      <c r="AJ2753"/>
    </row>
    <row r="2754" spans="36:36" ht="11.25" customHeight="1">
      <c r="AJ2754"/>
    </row>
    <row r="2755" spans="36:36" ht="11.25" customHeight="1">
      <c r="AJ2755"/>
    </row>
    <row r="2756" spans="36:36" ht="11.25" customHeight="1">
      <c r="AJ2756"/>
    </row>
    <row r="2757" spans="36:36" ht="11.25" customHeight="1">
      <c r="AJ2757"/>
    </row>
    <row r="2758" spans="36:36" ht="11.25" customHeight="1">
      <c r="AJ2758"/>
    </row>
    <row r="2759" spans="36:36" ht="11.25" customHeight="1">
      <c r="AJ2759"/>
    </row>
    <row r="2760" spans="36:36" ht="11.25" customHeight="1">
      <c r="AJ2760"/>
    </row>
    <row r="2761" spans="36:36" ht="11.25" customHeight="1">
      <c r="AJ2761"/>
    </row>
    <row r="2762" spans="36:36" ht="11.25" customHeight="1">
      <c r="AJ2762"/>
    </row>
    <row r="2763" spans="36:36" ht="11.25" customHeight="1">
      <c r="AJ2763"/>
    </row>
    <row r="2764" spans="36:36" ht="11.25" customHeight="1">
      <c r="AJ2764"/>
    </row>
    <row r="2765" spans="36:36" ht="11.25" customHeight="1">
      <c r="AJ2765"/>
    </row>
    <row r="2766" spans="36:36" ht="11.25" customHeight="1">
      <c r="AJ2766"/>
    </row>
    <row r="2767" spans="36:36" ht="11.25" customHeight="1">
      <c r="AJ2767"/>
    </row>
    <row r="2768" spans="36:36" ht="11.25" customHeight="1">
      <c r="AJ2768"/>
    </row>
    <row r="2769" spans="36:36" ht="11.25" customHeight="1">
      <c r="AJ2769"/>
    </row>
    <row r="2770" spans="36:36" ht="11.25" customHeight="1">
      <c r="AJ2770"/>
    </row>
    <row r="2771" spans="36:36" ht="11.25" customHeight="1">
      <c r="AJ2771"/>
    </row>
    <row r="2772" spans="36:36" ht="11.25" customHeight="1">
      <c r="AJ2772"/>
    </row>
    <row r="2773" spans="36:36" ht="11.25" customHeight="1">
      <c r="AJ2773"/>
    </row>
    <row r="2774" spans="36:36" ht="11.25" customHeight="1">
      <c r="AJ2774"/>
    </row>
    <row r="2775" spans="36:36" ht="11.25" customHeight="1">
      <c r="AJ2775"/>
    </row>
    <row r="2776" spans="36:36" ht="11.25" customHeight="1">
      <c r="AJ2776"/>
    </row>
    <row r="2777" spans="36:36" ht="11.25" customHeight="1">
      <c r="AJ2777"/>
    </row>
    <row r="2778" spans="36:36" ht="11.25" customHeight="1">
      <c r="AJ2778"/>
    </row>
    <row r="2779" spans="36:36" ht="11.25" customHeight="1">
      <c r="AJ2779"/>
    </row>
    <row r="2780" spans="36:36" ht="11.25" customHeight="1">
      <c r="AJ2780"/>
    </row>
    <row r="2781" spans="36:36" ht="11.25" customHeight="1">
      <c r="AJ2781"/>
    </row>
    <row r="2782" spans="36:36" ht="11.25" customHeight="1">
      <c r="AJ2782"/>
    </row>
    <row r="2783" spans="36:36" ht="11.25" customHeight="1">
      <c r="AJ2783"/>
    </row>
    <row r="2784" spans="36:36" ht="11.25" customHeight="1">
      <c r="AJ2784"/>
    </row>
    <row r="2785" spans="36:36" ht="11.25" customHeight="1">
      <c r="AJ2785"/>
    </row>
    <row r="2786" spans="36:36" ht="11.25" customHeight="1">
      <c r="AJ2786"/>
    </row>
    <row r="2787" spans="36:36" ht="11.25" customHeight="1">
      <c r="AJ2787"/>
    </row>
    <row r="2788" spans="36:36" ht="11.25" customHeight="1">
      <c r="AJ2788"/>
    </row>
    <row r="2789" spans="36:36" ht="11.25" customHeight="1">
      <c r="AJ2789"/>
    </row>
    <row r="2790" spans="36:36" ht="11.25" customHeight="1">
      <c r="AJ2790"/>
    </row>
    <row r="2791" spans="36:36" ht="11.25" customHeight="1">
      <c r="AJ2791"/>
    </row>
    <row r="2792" spans="36:36" ht="11.25" customHeight="1">
      <c r="AJ2792"/>
    </row>
    <row r="2793" spans="36:36" ht="11.25" customHeight="1">
      <c r="AJ2793"/>
    </row>
    <row r="2794" spans="36:36" ht="11.25" customHeight="1">
      <c r="AJ2794"/>
    </row>
    <row r="2795" spans="36:36" ht="11.25" customHeight="1">
      <c r="AJ2795"/>
    </row>
    <row r="2796" spans="36:36" ht="11.25" customHeight="1">
      <c r="AJ2796"/>
    </row>
    <row r="2797" spans="36:36" ht="11.25" customHeight="1">
      <c r="AJ2797"/>
    </row>
    <row r="2798" spans="36:36" ht="11.25" customHeight="1">
      <c r="AJ2798"/>
    </row>
    <row r="2799" spans="36:36" ht="11.25" customHeight="1">
      <c r="AJ2799"/>
    </row>
    <row r="2800" spans="36:36" ht="11.25" customHeight="1">
      <c r="AJ2800"/>
    </row>
    <row r="2801" spans="36:36" ht="11.25" customHeight="1">
      <c r="AJ2801"/>
    </row>
    <row r="2802" spans="36:36" ht="11.25" customHeight="1">
      <c r="AJ2802"/>
    </row>
    <row r="2803" spans="36:36" ht="11.25" customHeight="1">
      <c r="AJ2803"/>
    </row>
    <row r="2804" spans="36:36" ht="11.25" customHeight="1">
      <c r="AJ2804"/>
    </row>
    <row r="2805" spans="36:36" ht="11.25" customHeight="1">
      <c r="AJ2805"/>
    </row>
    <row r="2806" spans="36:36" ht="11.25" customHeight="1">
      <c r="AJ2806"/>
    </row>
    <row r="2807" spans="36:36" ht="11.25" customHeight="1">
      <c r="AJ2807"/>
    </row>
    <row r="2808" spans="36:36" ht="11.25" customHeight="1">
      <c r="AJ2808"/>
    </row>
    <row r="2809" spans="36:36" ht="11.25" customHeight="1">
      <c r="AJ2809"/>
    </row>
    <row r="2810" spans="36:36" ht="11.25" customHeight="1">
      <c r="AJ2810"/>
    </row>
    <row r="2811" spans="36:36" ht="11.25" customHeight="1">
      <c r="AJ2811"/>
    </row>
    <row r="2812" spans="36:36" ht="11.25" customHeight="1">
      <c r="AJ2812"/>
    </row>
    <row r="2813" spans="36:36" ht="11.25" customHeight="1">
      <c r="AJ2813"/>
    </row>
    <row r="2814" spans="36:36" ht="11.25" customHeight="1">
      <c r="AJ2814"/>
    </row>
    <row r="2815" spans="36:36" ht="11.25" customHeight="1">
      <c r="AJ2815"/>
    </row>
    <row r="2816" spans="36:36" ht="11.25" customHeight="1">
      <c r="AJ2816"/>
    </row>
    <row r="2817" spans="36:36" ht="11.25" customHeight="1">
      <c r="AJ2817"/>
    </row>
    <row r="2818" spans="36:36" ht="11.25" customHeight="1">
      <c r="AJ2818"/>
    </row>
    <row r="2819" spans="36:36" ht="11.25" customHeight="1">
      <c r="AJ2819"/>
    </row>
    <row r="2820" spans="36:36" ht="11.25" customHeight="1">
      <c r="AJ2820"/>
    </row>
    <row r="2821" spans="36:36" ht="11.25" customHeight="1">
      <c r="AJ2821"/>
    </row>
    <row r="2822" spans="36:36" ht="11.25" customHeight="1">
      <c r="AJ2822"/>
    </row>
    <row r="2823" spans="36:36" ht="11.25" customHeight="1">
      <c r="AJ2823"/>
    </row>
    <row r="2824" spans="36:36" ht="11.25" customHeight="1">
      <c r="AJ2824"/>
    </row>
    <row r="2825" spans="36:36" ht="11.25" customHeight="1">
      <c r="AJ2825"/>
    </row>
    <row r="2826" spans="36:36" ht="11.25" customHeight="1">
      <c r="AJ2826"/>
    </row>
    <row r="2827" spans="36:36" ht="11.25" customHeight="1">
      <c r="AJ2827"/>
    </row>
    <row r="2828" spans="36:36" ht="11.25" customHeight="1">
      <c r="AJ2828"/>
    </row>
    <row r="2829" spans="36:36" ht="11.25" customHeight="1">
      <c r="AJ2829"/>
    </row>
    <row r="2830" spans="36:36" ht="11.25" customHeight="1">
      <c r="AJ2830"/>
    </row>
    <row r="2831" spans="36:36" ht="11.25" customHeight="1">
      <c r="AJ2831"/>
    </row>
    <row r="2832" spans="36:36" ht="11.25" customHeight="1">
      <c r="AJ2832"/>
    </row>
    <row r="2833" spans="36:36" ht="11.25" customHeight="1">
      <c r="AJ2833"/>
    </row>
    <row r="2834" spans="36:36" ht="11.25" customHeight="1">
      <c r="AJ2834"/>
    </row>
    <row r="2835" spans="36:36" ht="11.25" customHeight="1">
      <c r="AJ2835"/>
    </row>
    <row r="2836" spans="36:36" ht="11.25" customHeight="1">
      <c r="AJ2836"/>
    </row>
    <row r="2837" spans="36:36" ht="11.25" customHeight="1">
      <c r="AJ2837"/>
    </row>
    <row r="2838" spans="36:36" ht="11.25" customHeight="1">
      <c r="AJ2838"/>
    </row>
    <row r="2839" spans="36:36" ht="11.25" customHeight="1">
      <c r="AJ2839"/>
    </row>
    <row r="2840" spans="36:36" ht="11.25" customHeight="1">
      <c r="AJ2840"/>
    </row>
    <row r="2841" spans="36:36" ht="11.25" customHeight="1">
      <c r="AJ2841"/>
    </row>
    <row r="2842" spans="36:36" ht="11.25" customHeight="1">
      <c r="AJ2842"/>
    </row>
    <row r="2843" spans="36:36" ht="11.25" customHeight="1">
      <c r="AJ2843"/>
    </row>
    <row r="2844" spans="36:36" ht="11.25" customHeight="1">
      <c r="AJ2844"/>
    </row>
    <row r="2845" spans="36:36" ht="11.25" customHeight="1">
      <c r="AJ2845"/>
    </row>
    <row r="2846" spans="36:36" ht="11.25" customHeight="1">
      <c r="AJ2846"/>
    </row>
    <row r="2847" spans="36:36" ht="11.25" customHeight="1">
      <c r="AJ2847"/>
    </row>
    <row r="2848" spans="36:36" ht="11.25" customHeight="1">
      <c r="AJ2848"/>
    </row>
    <row r="2849" spans="36:36" ht="11.25" customHeight="1">
      <c r="AJ2849"/>
    </row>
    <row r="2850" spans="36:36" ht="11.25" customHeight="1">
      <c r="AJ2850"/>
    </row>
    <row r="2851" spans="36:36" ht="11.25" customHeight="1">
      <c r="AJ2851"/>
    </row>
    <row r="2852" spans="36:36" ht="11.25" customHeight="1">
      <c r="AJ2852"/>
    </row>
    <row r="2853" spans="36:36" ht="11.25" customHeight="1">
      <c r="AJ2853"/>
    </row>
    <row r="2854" spans="36:36" ht="11.25" customHeight="1">
      <c r="AJ2854"/>
    </row>
    <row r="2855" spans="36:36" ht="11.25" customHeight="1">
      <c r="AJ2855"/>
    </row>
    <row r="2856" spans="36:36" ht="11.25" customHeight="1">
      <c r="AJ2856"/>
    </row>
    <row r="2857" spans="36:36" ht="11.25" customHeight="1">
      <c r="AJ2857"/>
    </row>
    <row r="2858" spans="36:36" ht="11.25" customHeight="1">
      <c r="AJ2858"/>
    </row>
    <row r="2859" spans="36:36" ht="11.25" customHeight="1">
      <c r="AJ2859"/>
    </row>
    <row r="2860" spans="36:36" ht="11.25" customHeight="1">
      <c r="AJ2860"/>
    </row>
    <row r="2861" spans="36:36" ht="11.25" customHeight="1">
      <c r="AJ2861"/>
    </row>
    <row r="2862" spans="36:36" ht="11.25" customHeight="1">
      <c r="AJ2862"/>
    </row>
    <row r="2863" spans="36:36" ht="11.25" customHeight="1">
      <c r="AJ2863"/>
    </row>
    <row r="2864" spans="36:36" ht="11.25" customHeight="1">
      <c r="AJ2864"/>
    </row>
    <row r="2865" spans="36:36" ht="11.25" customHeight="1">
      <c r="AJ2865"/>
    </row>
    <row r="2866" spans="36:36" ht="11.25" customHeight="1">
      <c r="AJ2866"/>
    </row>
    <row r="2867" spans="36:36" ht="11.25" customHeight="1">
      <c r="AJ2867"/>
    </row>
    <row r="2868" spans="36:36" ht="11.25" customHeight="1">
      <c r="AJ2868"/>
    </row>
    <row r="2869" spans="36:36" ht="11.25" customHeight="1">
      <c r="AJ2869"/>
    </row>
    <row r="2870" spans="36:36" ht="11.25" customHeight="1">
      <c r="AJ2870"/>
    </row>
    <row r="2871" spans="36:36" ht="11.25" customHeight="1">
      <c r="AJ2871"/>
    </row>
    <row r="2872" spans="36:36" ht="11.25" customHeight="1">
      <c r="AJ2872"/>
    </row>
    <row r="2873" spans="36:36" ht="11.25" customHeight="1">
      <c r="AJ2873"/>
    </row>
    <row r="2874" spans="36:36" ht="11.25" customHeight="1">
      <c r="AJ2874"/>
    </row>
    <row r="2875" spans="36:36" ht="11.25" customHeight="1">
      <c r="AJ2875"/>
    </row>
    <row r="2876" spans="36:36" ht="11.25" customHeight="1">
      <c r="AJ2876"/>
    </row>
    <row r="2877" spans="36:36" ht="11.25" customHeight="1">
      <c r="AJ2877"/>
    </row>
    <row r="2878" spans="36:36" ht="11.25" customHeight="1">
      <c r="AJ2878"/>
    </row>
    <row r="2879" spans="36:36" ht="11.25" customHeight="1">
      <c r="AJ2879"/>
    </row>
    <row r="2880" spans="36:36" ht="11.25" customHeight="1">
      <c r="AJ2880"/>
    </row>
    <row r="2881" spans="36:36" ht="11.25" customHeight="1">
      <c r="AJ2881"/>
    </row>
    <row r="2882" spans="36:36" ht="11.25" customHeight="1">
      <c r="AJ2882"/>
    </row>
    <row r="2883" spans="36:36" ht="11.25" customHeight="1">
      <c r="AJ2883"/>
    </row>
    <row r="2884" spans="36:36" ht="11.25" customHeight="1">
      <c r="AJ2884"/>
    </row>
    <row r="2885" spans="36:36" ht="11.25" customHeight="1">
      <c r="AJ2885"/>
    </row>
    <row r="2886" spans="36:36" ht="11.25" customHeight="1">
      <c r="AJ2886"/>
    </row>
    <row r="2887" spans="36:36" ht="11.25" customHeight="1">
      <c r="AJ2887"/>
    </row>
    <row r="2888" spans="36:36" ht="11.25" customHeight="1">
      <c r="AJ2888"/>
    </row>
    <row r="2889" spans="36:36" ht="11.25" customHeight="1">
      <c r="AJ2889"/>
    </row>
    <row r="2890" spans="36:36" ht="11.25" customHeight="1">
      <c r="AJ2890"/>
    </row>
    <row r="2891" spans="36:36" ht="11.25" customHeight="1">
      <c r="AJ2891"/>
    </row>
    <row r="2892" spans="36:36" ht="11.25" customHeight="1">
      <c r="AJ2892"/>
    </row>
    <row r="2893" spans="36:36" ht="11.25" customHeight="1">
      <c r="AJ2893"/>
    </row>
    <row r="2894" spans="36:36" ht="11.25" customHeight="1">
      <c r="AJ2894"/>
    </row>
    <row r="2895" spans="36:36" ht="11.25" customHeight="1">
      <c r="AJ2895"/>
    </row>
    <row r="2896" spans="36:36" ht="11.25" customHeight="1">
      <c r="AJ2896"/>
    </row>
    <row r="2897" spans="36:36" ht="11.25" customHeight="1">
      <c r="AJ2897"/>
    </row>
    <row r="2898" spans="36:36" ht="11.25" customHeight="1">
      <c r="AJ2898"/>
    </row>
    <row r="2899" spans="36:36" ht="11.25" customHeight="1">
      <c r="AJ2899"/>
    </row>
    <row r="2900" spans="36:36" ht="11.25" customHeight="1">
      <c r="AJ2900"/>
    </row>
    <row r="2901" spans="36:36" ht="11.25" customHeight="1">
      <c r="AJ2901"/>
    </row>
    <row r="2902" spans="36:36" ht="11.25" customHeight="1">
      <c r="AJ2902"/>
    </row>
    <row r="2903" spans="36:36" ht="11.25" customHeight="1">
      <c r="AJ2903"/>
    </row>
    <row r="2904" spans="36:36" ht="11.25" customHeight="1">
      <c r="AJ2904"/>
    </row>
    <row r="2905" spans="36:36" ht="11.25" customHeight="1">
      <c r="AJ2905"/>
    </row>
    <row r="2906" spans="36:36" ht="11.25" customHeight="1">
      <c r="AJ2906"/>
    </row>
    <row r="2907" spans="36:36" ht="11.25" customHeight="1">
      <c r="AJ2907"/>
    </row>
    <row r="2908" spans="36:36" ht="11.25" customHeight="1">
      <c r="AJ2908"/>
    </row>
    <row r="2909" spans="36:36" ht="11.25" customHeight="1">
      <c r="AJ2909"/>
    </row>
    <row r="2910" spans="36:36" ht="11.25" customHeight="1">
      <c r="AJ2910"/>
    </row>
    <row r="2911" spans="36:36" ht="11.25" customHeight="1">
      <c r="AJ2911"/>
    </row>
    <row r="2912" spans="36:36" ht="11.25" customHeight="1">
      <c r="AJ2912"/>
    </row>
    <row r="2913" spans="36:36" ht="11.25" customHeight="1">
      <c r="AJ2913"/>
    </row>
    <row r="2914" spans="36:36" ht="11.25" customHeight="1">
      <c r="AJ2914"/>
    </row>
    <row r="2915" spans="36:36" ht="11.25" customHeight="1">
      <c r="AJ2915"/>
    </row>
    <row r="2916" spans="36:36" ht="11.25" customHeight="1">
      <c r="AJ2916"/>
    </row>
    <row r="2917" spans="36:36" ht="11.25" customHeight="1">
      <c r="AJ2917"/>
    </row>
    <row r="2918" spans="36:36" ht="11.25" customHeight="1">
      <c r="AJ2918"/>
    </row>
    <row r="2919" spans="36:36" ht="11.25" customHeight="1">
      <c r="AJ2919"/>
    </row>
    <row r="2920" spans="36:36" ht="11.25" customHeight="1">
      <c r="AJ2920"/>
    </row>
    <row r="2921" spans="36:36" ht="11.25" customHeight="1">
      <c r="AJ2921"/>
    </row>
    <row r="2922" spans="36:36" ht="11.25" customHeight="1">
      <c r="AJ2922"/>
    </row>
    <row r="2923" spans="36:36" ht="11.25" customHeight="1">
      <c r="AJ2923"/>
    </row>
    <row r="2924" spans="36:36" ht="11.25" customHeight="1">
      <c r="AJ2924"/>
    </row>
    <row r="2925" spans="36:36" ht="11.25" customHeight="1">
      <c r="AJ2925"/>
    </row>
    <row r="2926" spans="36:36" ht="11.25" customHeight="1">
      <c r="AJ2926"/>
    </row>
    <row r="2927" spans="36:36" ht="11.25" customHeight="1">
      <c r="AJ2927"/>
    </row>
    <row r="2928" spans="36:36" ht="11.25" customHeight="1">
      <c r="AJ2928"/>
    </row>
    <row r="2929" spans="36:36" ht="11.25" customHeight="1">
      <c r="AJ2929"/>
    </row>
    <row r="2930" spans="36:36" ht="11.25" customHeight="1">
      <c r="AJ2930"/>
    </row>
    <row r="2931" spans="36:36" ht="11.25" customHeight="1">
      <c r="AJ2931"/>
    </row>
    <row r="2932" spans="36:36" ht="11.25" customHeight="1">
      <c r="AJ2932"/>
    </row>
    <row r="2933" spans="36:36" ht="11.25" customHeight="1">
      <c r="AJ2933"/>
    </row>
    <row r="2934" spans="36:36" ht="11.25" customHeight="1">
      <c r="AJ2934"/>
    </row>
    <row r="2935" spans="36:36" ht="11.25" customHeight="1">
      <c r="AJ2935"/>
    </row>
    <row r="2936" spans="36:36" ht="11.25" customHeight="1">
      <c r="AJ2936"/>
    </row>
    <row r="2937" spans="36:36" ht="11.25" customHeight="1">
      <c r="AJ2937"/>
    </row>
    <row r="2938" spans="36:36" ht="11.25" customHeight="1">
      <c r="AJ2938"/>
    </row>
    <row r="2939" spans="36:36" ht="11.25" customHeight="1">
      <c r="AJ2939"/>
    </row>
    <row r="2940" spans="36:36" ht="11.25" customHeight="1">
      <c r="AJ2940"/>
    </row>
    <row r="2941" spans="36:36" ht="11.25" customHeight="1">
      <c r="AJ2941"/>
    </row>
    <row r="2942" spans="36:36" ht="11.25" customHeight="1">
      <c r="AJ2942"/>
    </row>
    <row r="2943" spans="36:36" ht="11.25" customHeight="1">
      <c r="AJ2943"/>
    </row>
    <row r="2944" spans="36:36" ht="11.25" customHeight="1">
      <c r="AJ2944"/>
    </row>
    <row r="2945" spans="36:36" ht="11.25" customHeight="1">
      <c r="AJ2945"/>
    </row>
    <row r="2946" spans="36:36" ht="11.25" customHeight="1">
      <c r="AJ2946"/>
    </row>
    <row r="2947" spans="36:36" ht="11.25" customHeight="1">
      <c r="AJ2947"/>
    </row>
    <row r="2948" spans="36:36" ht="11.25" customHeight="1">
      <c r="AJ2948"/>
    </row>
    <row r="2949" spans="36:36" ht="11.25" customHeight="1">
      <c r="AJ2949"/>
    </row>
    <row r="2950" spans="36:36" ht="11.25" customHeight="1">
      <c r="AJ2950"/>
    </row>
    <row r="2951" spans="36:36" ht="11.25" customHeight="1">
      <c r="AJ2951"/>
    </row>
    <row r="2952" spans="36:36" ht="11.25" customHeight="1">
      <c r="AJ2952"/>
    </row>
    <row r="2953" spans="36:36" ht="11.25" customHeight="1">
      <c r="AJ2953"/>
    </row>
    <row r="2954" spans="36:36" ht="11.25" customHeight="1">
      <c r="AJ2954"/>
    </row>
    <row r="2955" spans="36:36" ht="11.25" customHeight="1">
      <c r="AJ2955"/>
    </row>
    <row r="2956" spans="36:36" ht="11.25" customHeight="1">
      <c r="AJ2956"/>
    </row>
    <row r="2957" spans="36:36" ht="11.25" customHeight="1">
      <c r="AJ2957"/>
    </row>
    <row r="2958" spans="36:36" ht="11.25" customHeight="1">
      <c r="AJ2958"/>
    </row>
    <row r="2959" spans="36:36" ht="11.25" customHeight="1">
      <c r="AJ2959"/>
    </row>
    <row r="2960" spans="36:36" ht="11.25" customHeight="1">
      <c r="AJ2960"/>
    </row>
    <row r="2961" spans="36:36" ht="11.25" customHeight="1">
      <c r="AJ2961"/>
    </row>
    <row r="2962" spans="36:36" ht="11.25" customHeight="1">
      <c r="AJ2962"/>
    </row>
    <row r="2963" spans="36:36" ht="11.25" customHeight="1">
      <c r="AJ2963"/>
    </row>
    <row r="2964" spans="36:36" ht="11.25" customHeight="1">
      <c r="AJ2964"/>
    </row>
    <row r="2965" spans="36:36" ht="11.25" customHeight="1">
      <c r="AJ2965"/>
    </row>
    <row r="2966" spans="36:36" ht="11.25" customHeight="1">
      <c r="AJ2966"/>
    </row>
    <row r="2967" spans="36:36" ht="11.25" customHeight="1">
      <c r="AJ2967"/>
    </row>
    <row r="2968" spans="36:36" ht="11.25" customHeight="1">
      <c r="AJ2968"/>
    </row>
    <row r="2969" spans="36:36" ht="11.25" customHeight="1">
      <c r="AJ2969"/>
    </row>
    <row r="2970" spans="36:36" ht="11.25" customHeight="1">
      <c r="AJ2970"/>
    </row>
    <row r="2971" spans="36:36" ht="11.25" customHeight="1">
      <c r="AJ2971"/>
    </row>
    <row r="2972" spans="36:36" ht="11.25" customHeight="1">
      <c r="AJ2972"/>
    </row>
    <row r="2973" spans="36:36" ht="11.25" customHeight="1">
      <c r="AJ2973"/>
    </row>
    <row r="2974" spans="36:36" ht="11.25" customHeight="1">
      <c r="AJ2974"/>
    </row>
    <row r="2975" spans="36:36" ht="11.25" customHeight="1">
      <c r="AJ2975"/>
    </row>
    <row r="2976" spans="36:36" ht="11.25" customHeight="1">
      <c r="AJ2976"/>
    </row>
    <row r="2977" spans="36:36" ht="11.25" customHeight="1">
      <c r="AJ2977"/>
    </row>
    <row r="2978" spans="36:36" ht="11.25" customHeight="1">
      <c r="AJ2978"/>
    </row>
    <row r="2979" spans="36:36" ht="11.25" customHeight="1">
      <c r="AJ2979"/>
    </row>
    <row r="2980" spans="36:36" ht="11.25" customHeight="1">
      <c r="AJ2980"/>
    </row>
    <row r="2981" spans="36:36" ht="11.25" customHeight="1">
      <c r="AJ2981"/>
    </row>
    <row r="2982" spans="36:36" ht="11.25" customHeight="1">
      <c r="AJ2982"/>
    </row>
    <row r="2983" spans="36:36" ht="11.25" customHeight="1">
      <c r="AJ2983"/>
    </row>
    <row r="2984" spans="36:36" ht="11.25" customHeight="1">
      <c r="AJ2984"/>
    </row>
    <row r="2985" spans="36:36" ht="11.25" customHeight="1">
      <c r="AJ2985"/>
    </row>
    <row r="2986" spans="36:36" ht="11.25" customHeight="1">
      <c r="AJ2986"/>
    </row>
    <row r="2987" spans="36:36" ht="11.25" customHeight="1">
      <c r="AJ2987"/>
    </row>
    <row r="2988" spans="36:36" ht="11.25" customHeight="1">
      <c r="AJ2988"/>
    </row>
    <row r="2989" spans="36:36" ht="11.25" customHeight="1">
      <c r="AJ2989"/>
    </row>
    <row r="2990" spans="36:36" ht="11.25" customHeight="1">
      <c r="AJ2990"/>
    </row>
    <row r="2991" spans="36:36" ht="11.25" customHeight="1">
      <c r="AJ2991"/>
    </row>
    <row r="2992" spans="36:36" ht="11.25" customHeight="1">
      <c r="AJ2992"/>
    </row>
    <row r="2993" spans="36:36" ht="11.25" customHeight="1">
      <c r="AJ2993"/>
    </row>
    <row r="2994" spans="36:36" ht="11.25" customHeight="1">
      <c r="AJ2994"/>
    </row>
    <row r="2995" spans="36:36" ht="11.25" customHeight="1">
      <c r="AJ2995"/>
    </row>
    <row r="2996" spans="36:36" ht="11.25" customHeight="1">
      <c r="AJ2996"/>
    </row>
    <row r="2997" spans="36:36" ht="11.25" customHeight="1">
      <c r="AJ2997"/>
    </row>
    <row r="2998" spans="36:36" ht="11.25" customHeight="1">
      <c r="AJ2998"/>
    </row>
    <row r="2999" spans="36:36" ht="11.25" customHeight="1">
      <c r="AJ2999"/>
    </row>
    <row r="3000" spans="36:36" ht="11.25" customHeight="1">
      <c r="AJ3000"/>
    </row>
    <row r="3001" spans="36:36" ht="11.25" customHeight="1">
      <c r="AJ3001"/>
    </row>
    <row r="3002" spans="36:36" ht="11.25" customHeight="1">
      <c r="AJ3002"/>
    </row>
    <row r="3003" spans="36:36" ht="11.25" customHeight="1">
      <c r="AJ3003"/>
    </row>
    <row r="3004" spans="36:36" ht="11.25" customHeight="1">
      <c r="AJ3004"/>
    </row>
    <row r="3005" spans="36:36" ht="11.25" customHeight="1">
      <c r="AJ3005"/>
    </row>
    <row r="3006" spans="36:36" ht="11.25" customHeight="1">
      <c r="AJ3006"/>
    </row>
    <row r="3007" spans="36:36" ht="11.25" customHeight="1">
      <c r="AJ3007"/>
    </row>
    <row r="3008" spans="36:36" ht="11.25" customHeight="1">
      <c r="AJ3008"/>
    </row>
    <row r="3009" spans="36:36" ht="11.25" customHeight="1">
      <c r="AJ3009"/>
    </row>
    <row r="3010" spans="36:36" ht="11.25" customHeight="1">
      <c r="AJ3010"/>
    </row>
    <row r="3011" spans="36:36" ht="11.25" customHeight="1">
      <c r="AJ3011"/>
    </row>
    <row r="3012" spans="36:36" ht="11.25" customHeight="1">
      <c r="AJ3012"/>
    </row>
    <row r="3013" spans="36:36" ht="11.25" customHeight="1">
      <c r="AJ3013"/>
    </row>
    <row r="3014" spans="36:36" ht="11.25" customHeight="1">
      <c r="AJ3014"/>
    </row>
    <row r="3015" spans="36:36" ht="11.25" customHeight="1">
      <c r="AJ3015"/>
    </row>
    <row r="3016" spans="36:36" ht="11.25" customHeight="1">
      <c r="AJ3016"/>
    </row>
    <row r="3017" spans="36:36" ht="11.25" customHeight="1">
      <c r="AJ3017"/>
    </row>
    <row r="3018" spans="36:36" ht="11.25" customHeight="1">
      <c r="AJ3018"/>
    </row>
    <row r="3019" spans="36:36" ht="11.25" customHeight="1">
      <c r="AJ3019"/>
    </row>
    <row r="3020" spans="36:36" ht="11.25" customHeight="1">
      <c r="AJ3020"/>
    </row>
    <row r="3021" spans="36:36" ht="11.25" customHeight="1">
      <c r="AJ3021"/>
    </row>
    <row r="3022" spans="36:36" ht="11.25" customHeight="1">
      <c r="AJ3022"/>
    </row>
    <row r="3023" spans="36:36" ht="11.25" customHeight="1">
      <c r="AJ3023"/>
    </row>
    <row r="3024" spans="36:36" ht="11.25" customHeight="1">
      <c r="AJ3024"/>
    </row>
    <row r="3025" spans="36:36" ht="11.25" customHeight="1">
      <c r="AJ3025"/>
    </row>
    <row r="3026" spans="36:36" ht="11.25" customHeight="1">
      <c r="AJ3026"/>
    </row>
    <row r="3027" spans="36:36" ht="11.25" customHeight="1">
      <c r="AJ3027"/>
    </row>
    <row r="3028" spans="36:36" ht="11.25" customHeight="1">
      <c r="AJ3028"/>
    </row>
    <row r="3029" spans="36:36" ht="11.25" customHeight="1">
      <c r="AJ3029"/>
    </row>
    <row r="3030" spans="36:36" ht="11.25" customHeight="1">
      <c r="AJ3030"/>
    </row>
    <row r="3031" spans="36:36" ht="11.25" customHeight="1">
      <c r="AJ3031"/>
    </row>
    <row r="3032" spans="36:36" ht="11.25" customHeight="1">
      <c r="AJ3032"/>
    </row>
    <row r="3033" spans="36:36" ht="11.25" customHeight="1">
      <c r="AJ3033"/>
    </row>
    <row r="3034" spans="36:36" ht="11.25" customHeight="1">
      <c r="AJ3034"/>
    </row>
    <row r="3035" spans="36:36" ht="11.25" customHeight="1">
      <c r="AJ3035"/>
    </row>
    <row r="3036" spans="36:36" ht="11.25" customHeight="1">
      <c r="AJ3036"/>
    </row>
    <row r="3037" spans="36:36" ht="11.25" customHeight="1">
      <c r="AJ3037"/>
    </row>
    <row r="3038" spans="36:36" ht="11.25" customHeight="1">
      <c r="AJ3038"/>
    </row>
    <row r="3039" spans="36:36" ht="11.25" customHeight="1">
      <c r="AJ3039"/>
    </row>
    <row r="3040" spans="36:36" ht="11.25" customHeight="1">
      <c r="AJ3040"/>
    </row>
    <row r="3041" spans="36:36" ht="11.25" customHeight="1">
      <c r="AJ3041"/>
    </row>
    <row r="3042" spans="36:36" ht="11.25" customHeight="1">
      <c r="AJ3042"/>
    </row>
    <row r="3043" spans="36:36" ht="11.25" customHeight="1">
      <c r="AJ3043"/>
    </row>
    <row r="3044" spans="36:36" ht="11.25" customHeight="1">
      <c r="AJ3044"/>
    </row>
    <row r="3045" spans="36:36" ht="11.25" customHeight="1">
      <c r="AJ3045"/>
    </row>
    <row r="3046" spans="36:36" ht="11.25" customHeight="1">
      <c r="AJ3046"/>
    </row>
    <row r="3047" spans="36:36" ht="11.25" customHeight="1">
      <c r="AJ3047"/>
    </row>
    <row r="3048" spans="36:36" ht="11.25" customHeight="1">
      <c r="AJ3048"/>
    </row>
    <row r="3049" spans="36:36" ht="11.25" customHeight="1">
      <c r="AJ3049"/>
    </row>
    <row r="3050" spans="36:36" ht="11.25" customHeight="1">
      <c r="AJ3050"/>
    </row>
    <row r="3051" spans="36:36" ht="11.25" customHeight="1">
      <c r="AJ3051"/>
    </row>
    <row r="3052" spans="36:36" ht="11.25" customHeight="1">
      <c r="AJ3052"/>
    </row>
    <row r="3053" spans="36:36" ht="11.25" customHeight="1">
      <c r="AJ3053"/>
    </row>
    <row r="3054" spans="36:36" ht="11.25" customHeight="1">
      <c r="AJ3054"/>
    </row>
    <row r="3055" spans="36:36" ht="11.25" customHeight="1">
      <c r="AJ3055"/>
    </row>
    <row r="3056" spans="36:36" ht="11.25" customHeight="1">
      <c r="AJ3056"/>
    </row>
    <row r="3057" spans="36:36" ht="11.25" customHeight="1">
      <c r="AJ3057"/>
    </row>
    <row r="3058" spans="36:36" ht="11.25" customHeight="1">
      <c r="AJ3058"/>
    </row>
    <row r="3059" spans="36:36" ht="11.25" customHeight="1">
      <c r="AJ3059"/>
    </row>
    <row r="3060" spans="36:36" ht="11.25" customHeight="1">
      <c r="AJ3060"/>
    </row>
    <row r="3061" spans="36:36" ht="11.25" customHeight="1">
      <c r="AJ3061"/>
    </row>
    <row r="3062" spans="36:36" ht="11.25" customHeight="1">
      <c r="AJ3062"/>
    </row>
    <row r="3063" spans="36:36" ht="11.25" customHeight="1">
      <c r="AJ3063"/>
    </row>
    <row r="3064" spans="36:36" ht="11.25" customHeight="1">
      <c r="AJ3064"/>
    </row>
    <row r="3065" spans="36:36" ht="11.25" customHeight="1">
      <c r="AJ3065"/>
    </row>
    <row r="3066" spans="36:36" ht="11.25" customHeight="1">
      <c r="AJ3066"/>
    </row>
    <row r="3067" spans="36:36" ht="11.25" customHeight="1">
      <c r="AJ3067"/>
    </row>
    <row r="3068" spans="36:36" ht="11.25" customHeight="1">
      <c r="AJ3068"/>
    </row>
    <row r="3069" spans="36:36" ht="11.25" customHeight="1">
      <c r="AJ3069"/>
    </row>
    <row r="3070" spans="36:36" ht="11.25" customHeight="1">
      <c r="AJ3070"/>
    </row>
    <row r="3071" spans="36:36" ht="11.25" customHeight="1">
      <c r="AJ3071"/>
    </row>
    <row r="3072" spans="36:36" ht="11.25" customHeight="1">
      <c r="AJ3072"/>
    </row>
    <row r="3073" spans="36:36" ht="11.25" customHeight="1">
      <c r="AJ3073"/>
    </row>
    <row r="3074" spans="36:36" ht="11.25" customHeight="1">
      <c r="AJ3074"/>
    </row>
    <row r="3075" spans="36:36" ht="11.25" customHeight="1">
      <c r="AJ3075"/>
    </row>
    <row r="3076" spans="36:36" ht="11.25" customHeight="1">
      <c r="AJ3076"/>
    </row>
    <row r="3077" spans="36:36" ht="11.25" customHeight="1">
      <c r="AJ3077"/>
    </row>
    <row r="3078" spans="36:36" ht="11.25" customHeight="1">
      <c r="AJ3078"/>
    </row>
    <row r="3079" spans="36:36" ht="11.25" customHeight="1">
      <c r="AJ3079"/>
    </row>
    <row r="3080" spans="36:36" ht="11.25" customHeight="1">
      <c r="AJ3080"/>
    </row>
    <row r="3081" spans="36:36" ht="11.25" customHeight="1">
      <c r="AJ3081"/>
    </row>
    <row r="3082" spans="36:36" ht="11.25" customHeight="1">
      <c r="AJ3082"/>
    </row>
    <row r="3083" spans="36:36" ht="11.25" customHeight="1">
      <c r="AJ3083"/>
    </row>
    <row r="3084" spans="36:36" ht="11.25" customHeight="1">
      <c r="AJ3084"/>
    </row>
    <row r="3085" spans="36:36" ht="11.25" customHeight="1">
      <c r="AJ3085"/>
    </row>
    <row r="3086" spans="36:36" ht="11.25" customHeight="1">
      <c r="AJ3086"/>
    </row>
    <row r="3087" spans="36:36" ht="11.25" customHeight="1">
      <c r="AJ3087"/>
    </row>
    <row r="3088" spans="36:36" ht="11.25" customHeight="1">
      <c r="AJ3088"/>
    </row>
    <row r="3089" spans="36:36" ht="11.25" customHeight="1">
      <c r="AJ3089"/>
    </row>
    <row r="3090" spans="36:36" ht="11.25" customHeight="1">
      <c r="AJ3090"/>
    </row>
    <row r="3091" spans="36:36" ht="11.25" customHeight="1">
      <c r="AJ3091"/>
    </row>
    <row r="3092" spans="36:36" ht="11.25" customHeight="1">
      <c r="AJ3092"/>
    </row>
    <row r="3093" spans="36:36" ht="11.25" customHeight="1">
      <c r="AJ3093"/>
    </row>
    <row r="3094" spans="36:36" ht="11.25" customHeight="1">
      <c r="AJ3094"/>
    </row>
    <row r="3095" spans="36:36" ht="11.25" customHeight="1">
      <c r="AJ3095"/>
    </row>
    <row r="3096" spans="36:36" ht="11.25" customHeight="1">
      <c r="AJ3096"/>
    </row>
    <row r="3097" spans="36:36" ht="11.25" customHeight="1">
      <c r="AJ3097"/>
    </row>
    <row r="3098" spans="36:36" ht="11.25" customHeight="1">
      <c r="AJ3098"/>
    </row>
    <row r="3099" spans="36:36" ht="11.25" customHeight="1">
      <c r="AJ3099"/>
    </row>
    <row r="3100" spans="36:36" ht="11.25" customHeight="1">
      <c r="AJ3100"/>
    </row>
    <row r="3101" spans="36:36" ht="11.25" customHeight="1">
      <c r="AJ3101"/>
    </row>
    <row r="3102" spans="36:36" ht="11.25" customHeight="1">
      <c r="AJ3102"/>
    </row>
    <row r="3103" spans="36:36" ht="11.25" customHeight="1">
      <c r="AJ3103"/>
    </row>
    <row r="3104" spans="36:36" ht="11.25" customHeight="1">
      <c r="AJ3104"/>
    </row>
    <row r="3105" spans="36:36" ht="11.25" customHeight="1">
      <c r="AJ3105"/>
    </row>
    <row r="3106" spans="36:36" ht="11.25" customHeight="1">
      <c r="AJ3106"/>
    </row>
    <row r="3107" spans="36:36" ht="11.25" customHeight="1">
      <c r="AJ3107"/>
    </row>
    <row r="3108" spans="36:36" ht="11.25" customHeight="1">
      <c r="AJ3108"/>
    </row>
    <row r="3109" spans="36:36" ht="11.25" customHeight="1">
      <c r="AJ3109"/>
    </row>
    <row r="3110" spans="36:36" ht="11.25" customHeight="1">
      <c r="AJ3110"/>
    </row>
    <row r="3111" spans="36:36" ht="11.25" customHeight="1">
      <c r="AJ3111"/>
    </row>
    <row r="3112" spans="36:36" ht="11.25" customHeight="1">
      <c r="AJ3112"/>
    </row>
    <row r="3113" spans="36:36" ht="11.25" customHeight="1">
      <c r="AJ3113"/>
    </row>
    <row r="3114" spans="36:36" ht="11.25" customHeight="1">
      <c r="AJ3114"/>
    </row>
    <row r="3115" spans="36:36" ht="11.25" customHeight="1">
      <c r="AJ3115"/>
    </row>
    <row r="3116" spans="36:36" ht="11.25" customHeight="1">
      <c r="AJ3116"/>
    </row>
    <row r="3117" spans="36:36" ht="11.25" customHeight="1">
      <c r="AJ3117"/>
    </row>
    <row r="3118" spans="36:36" ht="11.25" customHeight="1">
      <c r="AJ3118"/>
    </row>
    <row r="3119" spans="36:36" ht="11.25" customHeight="1">
      <c r="AJ3119"/>
    </row>
    <row r="3120" spans="36:36" ht="11.25" customHeight="1">
      <c r="AJ3120"/>
    </row>
    <row r="3121" spans="36:36" ht="11.25" customHeight="1">
      <c r="AJ3121"/>
    </row>
    <row r="3122" spans="36:36" ht="11.25" customHeight="1">
      <c r="AJ3122"/>
    </row>
    <row r="3123" spans="36:36" ht="11.25" customHeight="1">
      <c r="AJ3123"/>
    </row>
    <row r="3124" spans="36:36" ht="11.25" customHeight="1">
      <c r="AJ3124"/>
    </row>
    <row r="3125" spans="36:36" ht="11.25" customHeight="1">
      <c r="AJ3125"/>
    </row>
    <row r="3126" spans="36:36" ht="11.25" customHeight="1">
      <c r="AJ3126"/>
    </row>
    <row r="3127" spans="36:36" ht="11.25" customHeight="1">
      <c r="AJ3127"/>
    </row>
    <row r="3128" spans="36:36" ht="11.25" customHeight="1">
      <c r="AJ3128"/>
    </row>
    <row r="3129" spans="36:36" ht="11.25" customHeight="1">
      <c r="AJ3129"/>
    </row>
    <row r="3130" spans="36:36" ht="11.25" customHeight="1">
      <c r="AJ3130"/>
    </row>
    <row r="3131" spans="36:36" ht="11.25" customHeight="1">
      <c r="AJ3131"/>
    </row>
    <row r="3132" spans="36:36" ht="11.25" customHeight="1">
      <c r="AJ3132"/>
    </row>
    <row r="3133" spans="36:36" ht="11.25" customHeight="1">
      <c r="AJ3133"/>
    </row>
    <row r="3134" spans="36:36" ht="11.25" customHeight="1">
      <c r="AJ3134"/>
    </row>
    <row r="3135" spans="36:36" ht="11.25" customHeight="1">
      <c r="AJ3135"/>
    </row>
    <row r="3136" spans="36:36" ht="11.25" customHeight="1">
      <c r="AJ3136"/>
    </row>
    <row r="3137" spans="36:36" ht="11.25" customHeight="1">
      <c r="AJ3137"/>
    </row>
    <row r="3138" spans="36:36" ht="11.25" customHeight="1">
      <c r="AJ3138"/>
    </row>
    <row r="3139" spans="36:36" ht="11.25" customHeight="1">
      <c r="AJ3139"/>
    </row>
    <row r="3140" spans="36:36" ht="11.25" customHeight="1">
      <c r="AJ3140"/>
    </row>
    <row r="3141" spans="36:36" ht="11.25" customHeight="1">
      <c r="AJ3141"/>
    </row>
    <row r="3142" spans="36:36" ht="11.25" customHeight="1">
      <c r="AJ3142"/>
    </row>
    <row r="3143" spans="36:36" ht="11.25" customHeight="1">
      <c r="AJ3143"/>
    </row>
    <row r="3144" spans="36:36" ht="11.25" customHeight="1">
      <c r="AJ3144"/>
    </row>
    <row r="3145" spans="36:36" ht="11.25" customHeight="1">
      <c r="AJ3145"/>
    </row>
    <row r="3146" spans="36:36" ht="11.25" customHeight="1">
      <c r="AJ3146"/>
    </row>
    <row r="3147" spans="36:36" ht="11.25" customHeight="1">
      <c r="AJ3147"/>
    </row>
    <row r="3148" spans="36:36" ht="11.25" customHeight="1">
      <c r="AJ3148"/>
    </row>
    <row r="3149" spans="36:36" ht="11.25" customHeight="1">
      <c r="AJ3149"/>
    </row>
    <row r="3150" spans="36:36" ht="11.25" customHeight="1">
      <c r="AJ3150"/>
    </row>
    <row r="3151" spans="36:36" ht="11.25" customHeight="1">
      <c r="AJ3151"/>
    </row>
    <row r="3152" spans="36:36" ht="11.25" customHeight="1">
      <c r="AJ3152"/>
    </row>
    <row r="3153" spans="36:36" ht="11.25" customHeight="1">
      <c r="AJ3153"/>
    </row>
    <row r="3154" spans="36:36" ht="11.25" customHeight="1">
      <c r="AJ3154"/>
    </row>
    <row r="3155" spans="36:36" ht="11.25" customHeight="1">
      <c r="AJ3155"/>
    </row>
    <row r="3156" spans="36:36" ht="11.25" customHeight="1">
      <c r="AJ3156"/>
    </row>
    <row r="3157" spans="36:36" ht="11.25" customHeight="1">
      <c r="AJ3157"/>
    </row>
    <row r="3158" spans="36:36" ht="11.25" customHeight="1">
      <c r="AJ3158"/>
    </row>
    <row r="3159" spans="36:36" ht="11.25" customHeight="1">
      <c r="AJ3159"/>
    </row>
    <row r="3160" spans="36:36" ht="11.25" customHeight="1">
      <c r="AJ3160"/>
    </row>
    <row r="3161" spans="36:36" ht="11.25" customHeight="1">
      <c r="AJ3161"/>
    </row>
    <row r="3162" spans="36:36" ht="11.25" customHeight="1">
      <c r="AJ3162"/>
    </row>
    <row r="3163" spans="36:36" ht="11.25" customHeight="1">
      <c r="AJ3163"/>
    </row>
    <row r="3164" spans="36:36" ht="11.25" customHeight="1">
      <c r="AJ3164"/>
    </row>
    <row r="3165" spans="36:36" ht="11.25" customHeight="1">
      <c r="AJ3165"/>
    </row>
    <row r="3166" spans="36:36" ht="11.25" customHeight="1">
      <c r="AJ3166"/>
    </row>
    <row r="3167" spans="36:36" ht="11.25" customHeight="1">
      <c r="AJ3167"/>
    </row>
    <row r="3168" spans="36:36" ht="11.25" customHeight="1">
      <c r="AJ3168"/>
    </row>
    <row r="3169" spans="36:36" ht="11.25" customHeight="1">
      <c r="AJ3169"/>
    </row>
    <row r="3170" spans="36:36" ht="11.25" customHeight="1">
      <c r="AJ3170"/>
    </row>
    <row r="3171" spans="36:36" ht="11.25" customHeight="1">
      <c r="AJ3171"/>
    </row>
    <row r="3172" spans="36:36" ht="11.25" customHeight="1">
      <c r="AJ3172"/>
    </row>
    <row r="3173" spans="36:36" ht="11.25" customHeight="1">
      <c r="AJ3173"/>
    </row>
    <row r="3174" spans="36:36" ht="11.25" customHeight="1">
      <c r="AJ3174"/>
    </row>
    <row r="3175" spans="36:36" ht="11.25" customHeight="1">
      <c r="AJ3175"/>
    </row>
    <row r="3176" spans="36:36" ht="11.25" customHeight="1">
      <c r="AJ3176"/>
    </row>
    <row r="3177" spans="36:36" ht="11.25" customHeight="1">
      <c r="AJ3177"/>
    </row>
    <row r="3178" spans="36:36" ht="11.25" customHeight="1">
      <c r="AJ3178"/>
    </row>
    <row r="3179" spans="36:36" ht="11.25" customHeight="1">
      <c r="AJ3179"/>
    </row>
    <row r="3180" spans="36:36" ht="11.25" customHeight="1">
      <c r="AJ3180"/>
    </row>
    <row r="3181" spans="36:36" ht="11.25" customHeight="1">
      <c r="AJ3181"/>
    </row>
    <row r="3182" spans="36:36" ht="11.25" customHeight="1">
      <c r="AJ3182"/>
    </row>
    <row r="3183" spans="36:36" ht="11.25" customHeight="1">
      <c r="AJ3183"/>
    </row>
    <row r="3184" spans="36:36" ht="11.25" customHeight="1">
      <c r="AJ3184"/>
    </row>
    <row r="3185" spans="36:36" ht="11.25" customHeight="1">
      <c r="AJ3185"/>
    </row>
    <row r="3186" spans="36:36" ht="11.25" customHeight="1">
      <c r="AJ3186"/>
    </row>
    <row r="3187" spans="36:36" ht="11.25" customHeight="1">
      <c r="AJ3187"/>
    </row>
    <row r="3188" spans="36:36" ht="11.25" customHeight="1">
      <c r="AJ3188"/>
    </row>
    <row r="3189" spans="36:36" ht="11.25" customHeight="1">
      <c r="AJ3189"/>
    </row>
    <row r="3190" spans="36:36" ht="11.25" customHeight="1">
      <c r="AJ3190"/>
    </row>
    <row r="3191" spans="36:36" ht="11.25" customHeight="1">
      <c r="AJ3191"/>
    </row>
    <row r="3192" spans="36:36" ht="11.25" customHeight="1">
      <c r="AJ3192"/>
    </row>
    <row r="3193" spans="36:36" ht="11.25" customHeight="1">
      <c r="AJ3193"/>
    </row>
    <row r="3194" spans="36:36" ht="11.25" customHeight="1">
      <c r="AJ3194"/>
    </row>
    <row r="3195" spans="36:36" ht="11.25" customHeight="1">
      <c r="AJ3195"/>
    </row>
    <row r="3196" spans="36:36" ht="11.25" customHeight="1">
      <c r="AJ3196"/>
    </row>
    <row r="3197" spans="36:36" ht="11.25" customHeight="1">
      <c r="AJ3197"/>
    </row>
    <row r="3198" spans="36:36" ht="11.25" customHeight="1">
      <c r="AJ3198"/>
    </row>
    <row r="3199" spans="36:36" ht="11.25" customHeight="1">
      <c r="AJ3199"/>
    </row>
    <row r="3200" spans="36:36" ht="11.25" customHeight="1">
      <c r="AJ3200"/>
    </row>
    <row r="3201" spans="36:36" ht="11.25" customHeight="1">
      <c r="AJ3201"/>
    </row>
    <row r="3202" spans="36:36" ht="11.25" customHeight="1">
      <c r="AJ3202"/>
    </row>
    <row r="3203" spans="36:36" ht="11.25" customHeight="1">
      <c r="AJ3203"/>
    </row>
    <row r="3204" spans="36:36" ht="11.25" customHeight="1">
      <c r="AJ3204"/>
    </row>
    <row r="3205" spans="36:36" ht="11.25" customHeight="1">
      <c r="AJ3205"/>
    </row>
    <row r="3206" spans="36:36" ht="11.25" customHeight="1">
      <c r="AJ3206"/>
    </row>
    <row r="3207" spans="36:36" ht="11.25" customHeight="1">
      <c r="AJ3207"/>
    </row>
    <row r="3208" spans="36:36" ht="11.25" customHeight="1">
      <c r="AJ3208"/>
    </row>
    <row r="3209" spans="36:36" ht="11.25" customHeight="1">
      <c r="AJ3209"/>
    </row>
    <row r="3210" spans="36:36" ht="11.25" customHeight="1">
      <c r="AJ3210"/>
    </row>
    <row r="3211" spans="36:36" ht="11.25" customHeight="1">
      <c r="AJ3211"/>
    </row>
    <row r="3212" spans="36:36" ht="11.25" customHeight="1">
      <c r="AJ3212"/>
    </row>
    <row r="3213" spans="36:36" ht="11.25" customHeight="1">
      <c r="AJ3213"/>
    </row>
    <row r="3214" spans="36:36" ht="11.25" customHeight="1">
      <c r="AJ3214"/>
    </row>
    <row r="3215" spans="36:36" ht="11.25" customHeight="1">
      <c r="AJ3215"/>
    </row>
    <row r="3216" spans="36:36" ht="11.25" customHeight="1">
      <c r="AJ3216"/>
    </row>
    <row r="3217" spans="36:36" ht="11.25" customHeight="1">
      <c r="AJ3217"/>
    </row>
    <row r="3218" spans="36:36" ht="11.25" customHeight="1">
      <c r="AJ3218"/>
    </row>
    <row r="3219" spans="36:36" ht="11.25" customHeight="1">
      <c r="AJ3219"/>
    </row>
    <row r="3220" spans="36:36" ht="11.25" customHeight="1">
      <c r="AJ3220"/>
    </row>
    <row r="3221" spans="36:36" ht="11.25" customHeight="1">
      <c r="AJ3221"/>
    </row>
    <row r="3222" spans="36:36" ht="11.25" customHeight="1">
      <c r="AJ3222"/>
    </row>
    <row r="3223" spans="36:36" ht="11.25" customHeight="1">
      <c r="AJ3223"/>
    </row>
    <row r="3224" spans="36:36" ht="11.25" customHeight="1">
      <c r="AJ3224"/>
    </row>
    <row r="3225" spans="36:36" ht="11.25" customHeight="1">
      <c r="AJ3225"/>
    </row>
    <row r="3226" spans="36:36" ht="11.25" customHeight="1">
      <c r="AJ3226"/>
    </row>
    <row r="3227" spans="36:36" ht="11.25" customHeight="1">
      <c r="AJ3227"/>
    </row>
    <row r="3228" spans="36:36" ht="11.25" customHeight="1">
      <c r="AJ3228"/>
    </row>
    <row r="3229" spans="36:36" ht="11.25" customHeight="1">
      <c r="AJ3229"/>
    </row>
    <row r="3230" spans="36:36" ht="11.25" customHeight="1">
      <c r="AJ3230"/>
    </row>
    <row r="3231" spans="36:36" ht="11.25" customHeight="1">
      <c r="AJ3231"/>
    </row>
    <row r="3232" spans="36:36" ht="11.25" customHeight="1">
      <c r="AJ3232"/>
    </row>
    <row r="3233" spans="36:36" ht="11.25" customHeight="1">
      <c r="AJ3233"/>
    </row>
    <row r="3234" spans="36:36" ht="11.25" customHeight="1">
      <c r="AJ3234"/>
    </row>
    <row r="3235" spans="36:36" ht="11.25" customHeight="1">
      <c r="AJ3235"/>
    </row>
    <row r="3236" spans="36:36" ht="11.25" customHeight="1">
      <c r="AJ3236"/>
    </row>
    <row r="3237" spans="36:36" ht="11.25" customHeight="1">
      <c r="AJ3237"/>
    </row>
    <row r="3238" spans="36:36" ht="11.25" customHeight="1">
      <c r="AJ3238"/>
    </row>
    <row r="3239" spans="36:36" ht="11.25" customHeight="1">
      <c r="AJ3239"/>
    </row>
    <row r="3240" spans="36:36" ht="11.25" customHeight="1">
      <c r="AJ3240"/>
    </row>
    <row r="3241" spans="36:36" ht="11.25" customHeight="1">
      <c r="AJ3241"/>
    </row>
    <row r="3242" spans="36:36" ht="11.25" customHeight="1">
      <c r="AJ3242"/>
    </row>
    <row r="3243" spans="36:36" ht="11.25" customHeight="1">
      <c r="AJ3243"/>
    </row>
    <row r="3244" spans="36:36" ht="11.25" customHeight="1">
      <c r="AJ3244"/>
    </row>
    <row r="3245" spans="36:36" ht="11.25" customHeight="1">
      <c r="AJ3245"/>
    </row>
    <row r="3246" spans="36:36" ht="11.25" customHeight="1">
      <c r="AJ3246"/>
    </row>
    <row r="3247" spans="36:36" ht="11.25" customHeight="1">
      <c r="AJ3247"/>
    </row>
    <row r="3248" spans="36:36" ht="11.25" customHeight="1">
      <c r="AJ3248"/>
    </row>
    <row r="3249" spans="36:36" ht="11.25" customHeight="1">
      <c r="AJ3249"/>
    </row>
    <row r="3250" spans="36:36" ht="11.25" customHeight="1">
      <c r="AJ3250"/>
    </row>
    <row r="3251" spans="36:36" ht="11.25" customHeight="1">
      <c r="AJ3251"/>
    </row>
    <row r="3252" spans="36:36" ht="11.25" customHeight="1">
      <c r="AJ3252"/>
    </row>
    <row r="3253" spans="36:36" ht="11.25" customHeight="1">
      <c r="AJ3253"/>
    </row>
    <row r="3254" spans="36:36" ht="11.25" customHeight="1">
      <c r="AJ3254"/>
    </row>
    <row r="3255" spans="36:36" ht="11.25" customHeight="1">
      <c r="AJ3255"/>
    </row>
    <row r="3256" spans="36:36" ht="11.25" customHeight="1">
      <c r="AJ3256"/>
    </row>
    <row r="3257" spans="36:36" ht="11.25" customHeight="1">
      <c r="AJ3257"/>
    </row>
    <row r="3258" spans="36:36" ht="11.25" customHeight="1">
      <c r="AJ3258"/>
    </row>
    <row r="3259" spans="36:36" ht="11.25" customHeight="1">
      <c r="AJ3259"/>
    </row>
    <row r="3260" spans="36:36" ht="11.25" customHeight="1">
      <c r="AJ3260"/>
    </row>
    <row r="3261" spans="36:36" ht="11.25" customHeight="1">
      <c r="AJ3261"/>
    </row>
    <row r="3262" spans="36:36" ht="11.25" customHeight="1">
      <c r="AJ3262"/>
    </row>
    <row r="3263" spans="36:36" ht="11.25" customHeight="1">
      <c r="AJ3263"/>
    </row>
    <row r="3264" spans="36:36" ht="11.25" customHeight="1">
      <c r="AJ3264"/>
    </row>
    <row r="3265" spans="36:36" ht="11.25" customHeight="1">
      <c r="AJ3265"/>
    </row>
    <row r="3266" spans="36:36" ht="11.25" customHeight="1">
      <c r="AJ3266"/>
    </row>
    <row r="3267" spans="36:36" ht="11.25" customHeight="1">
      <c r="AJ3267"/>
    </row>
    <row r="3268" spans="36:36" ht="11.25" customHeight="1">
      <c r="AJ3268"/>
    </row>
    <row r="3269" spans="36:36" ht="11.25" customHeight="1">
      <c r="AJ3269"/>
    </row>
    <row r="3270" spans="36:36" ht="11.25" customHeight="1">
      <c r="AJ3270"/>
    </row>
    <row r="3271" spans="36:36" ht="11.25" customHeight="1">
      <c r="AJ3271"/>
    </row>
    <row r="3272" spans="36:36" ht="11.25" customHeight="1">
      <c r="AJ3272"/>
    </row>
    <row r="3273" spans="36:36" ht="11.25" customHeight="1">
      <c r="AJ3273"/>
    </row>
    <row r="3274" spans="36:36" ht="11.25" customHeight="1">
      <c r="AJ3274"/>
    </row>
    <row r="3275" spans="36:36" ht="11.25" customHeight="1">
      <c r="AJ3275"/>
    </row>
    <row r="3276" spans="36:36" ht="11.25" customHeight="1">
      <c r="AJ3276"/>
    </row>
    <row r="3277" spans="36:36" ht="11.25" customHeight="1">
      <c r="AJ3277"/>
    </row>
    <row r="3278" spans="36:36" ht="11.25" customHeight="1">
      <c r="AJ3278"/>
    </row>
    <row r="3279" spans="36:36" ht="11.25" customHeight="1">
      <c r="AJ3279"/>
    </row>
    <row r="3280" spans="36:36" ht="11.25" customHeight="1">
      <c r="AJ3280"/>
    </row>
    <row r="3281" spans="36:36" ht="11.25" customHeight="1">
      <c r="AJ3281"/>
    </row>
    <row r="3282" spans="36:36" ht="11.25" customHeight="1">
      <c r="AJ3282"/>
    </row>
    <row r="3283" spans="36:36" ht="11.25" customHeight="1">
      <c r="AJ3283"/>
    </row>
    <row r="3284" spans="36:36" ht="11.25" customHeight="1">
      <c r="AJ3284"/>
    </row>
    <row r="3285" spans="36:36" ht="11.25" customHeight="1">
      <c r="AJ3285"/>
    </row>
    <row r="3286" spans="36:36" ht="11.25" customHeight="1">
      <c r="AJ3286"/>
    </row>
    <row r="3287" spans="36:36" ht="11.25" customHeight="1">
      <c r="AJ3287"/>
    </row>
    <row r="3288" spans="36:36" ht="11.25" customHeight="1">
      <c r="AJ3288"/>
    </row>
    <row r="3289" spans="36:36" ht="11.25" customHeight="1">
      <c r="AJ3289"/>
    </row>
    <row r="3290" spans="36:36" ht="11.25" customHeight="1">
      <c r="AJ3290"/>
    </row>
    <row r="3291" spans="36:36" ht="11.25" customHeight="1">
      <c r="AJ3291"/>
    </row>
    <row r="3292" spans="36:36" ht="11.25" customHeight="1">
      <c r="AJ3292"/>
    </row>
    <row r="3293" spans="36:36" ht="11.25" customHeight="1">
      <c r="AJ3293"/>
    </row>
    <row r="3294" spans="36:36" ht="11.25" customHeight="1">
      <c r="AJ3294"/>
    </row>
    <row r="3295" spans="36:36" ht="11.25" customHeight="1">
      <c r="AJ3295"/>
    </row>
    <row r="3296" spans="36:36" ht="11.25" customHeight="1">
      <c r="AJ3296"/>
    </row>
    <row r="3297" spans="36:36" ht="11.25" customHeight="1">
      <c r="AJ3297"/>
    </row>
    <row r="3298" spans="36:36" ht="11.25" customHeight="1">
      <c r="AJ3298"/>
    </row>
    <row r="3299" spans="36:36" ht="11.25" customHeight="1">
      <c r="AJ3299"/>
    </row>
    <row r="3300" spans="36:36" ht="11.25" customHeight="1">
      <c r="AJ3300"/>
    </row>
    <row r="3301" spans="36:36" ht="11.25" customHeight="1">
      <c r="AJ3301"/>
    </row>
    <row r="3302" spans="36:36" ht="11.25" customHeight="1">
      <c r="AJ3302"/>
    </row>
    <row r="3303" spans="36:36" ht="11.25" customHeight="1">
      <c r="AJ3303"/>
    </row>
    <row r="3304" spans="36:36" ht="11.25" customHeight="1">
      <c r="AJ3304"/>
    </row>
    <row r="3305" spans="36:36" ht="11.25" customHeight="1">
      <c r="AJ3305"/>
    </row>
    <row r="3306" spans="36:36" ht="11.25" customHeight="1">
      <c r="AJ3306"/>
    </row>
    <row r="3307" spans="36:36" ht="11.25" customHeight="1">
      <c r="AJ3307"/>
    </row>
    <row r="3308" spans="36:36" ht="11.25" customHeight="1">
      <c r="AJ3308"/>
    </row>
    <row r="3309" spans="36:36" ht="11.25" customHeight="1">
      <c r="AJ3309"/>
    </row>
    <row r="3310" spans="36:36" ht="11.25" customHeight="1">
      <c r="AJ3310"/>
    </row>
    <row r="3311" spans="36:36" ht="11.25" customHeight="1">
      <c r="AJ3311"/>
    </row>
    <row r="3312" spans="36:36" ht="11.25" customHeight="1">
      <c r="AJ3312"/>
    </row>
    <row r="3313" spans="36:36" ht="11.25" customHeight="1">
      <c r="AJ3313"/>
    </row>
    <row r="3314" spans="36:36" ht="11.25" customHeight="1">
      <c r="AJ3314"/>
    </row>
    <row r="3315" spans="36:36" ht="11.25" customHeight="1">
      <c r="AJ3315"/>
    </row>
    <row r="3316" spans="36:36" ht="11.25" customHeight="1">
      <c r="AJ3316"/>
    </row>
    <row r="3317" spans="36:36" ht="11.25" customHeight="1">
      <c r="AJ3317"/>
    </row>
    <row r="3318" spans="36:36" ht="11.25" customHeight="1">
      <c r="AJ3318"/>
    </row>
    <row r="3319" spans="36:36" ht="11.25" customHeight="1">
      <c r="AJ3319"/>
    </row>
    <row r="3320" spans="36:36" ht="11.25" customHeight="1">
      <c r="AJ3320"/>
    </row>
    <row r="3321" spans="36:36" ht="11.25" customHeight="1">
      <c r="AJ3321"/>
    </row>
    <row r="3322" spans="36:36" ht="11.25" customHeight="1">
      <c r="AJ3322"/>
    </row>
    <row r="3323" spans="36:36" ht="11.25" customHeight="1">
      <c r="AJ3323"/>
    </row>
    <row r="3324" spans="36:36" ht="11.25" customHeight="1">
      <c r="AJ3324"/>
    </row>
    <row r="3325" spans="36:36" ht="11.25" customHeight="1">
      <c r="AJ3325"/>
    </row>
    <row r="3326" spans="36:36" ht="11.25" customHeight="1">
      <c r="AJ3326"/>
    </row>
    <row r="3327" spans="36:36" ht="11.25" customHeight="1">
      <c r="AJ3327"/>
    </row>
    <row r="3328" spans="36:36" ht="11.25" customHeight="1">
      <c r="AJ3328"/>
    </row>
    <row r="3329" spans="36:36" ht="11.25" customHeight="1">
      <c r="AJ3329"/>
    </row>
    <row r="3330" spans="36:36" ht="11.25" customHeight="1">
      <c r="AJ3330"/>
    </row>
    <row r="3331" spans="36:36" ht="11.25" customHeight="1">
      <c r="AJ3331"/>
    </row>
    <row r="3332" spans="36:36" ht="11.25" customHeight="1">
      <c r="AJ3332"/>
    </row>
    <row r="3333" spans="36:36" ht="11.25" customHeight="1">
      <c r="AJ3333"/>
    </row>
    <row r="3334" spans="36:36" ht="11.25" customHeight="1">
      <c r="AJ3334"/>
    </row>
    <row r="3335" spans="36:36" ht="11.25" customHeight="1">
      <c r="AJ3335"/>
    </row>
    <row r="3336" spans="36:36" ht="11.25" customHeight="1">
      <c r="AJ3336"/>
    </row>
    <row r="3337" spans="36:36" ht="11.25" customHeight="1">
      <c r="AJ3337"/>
    </row>
    <row r="3338" spans="36:36" ht="11.25" customHeight="1">
      <c r="AJ3338"/>
    </row>
    <row r="3339" spans="36:36" ht="11.25" customHeight="1">
      <c r="AJ3339"/>
    </row>
    <row r="3340" spans="36:36" ht="11.25" customHeight="1">
      <c r="AJ3340"/>
    </row>
    <row r="3341" spans="36:36" ht="11.25" customHeight="1">
      <c r="AJ3341"/>
    </row>
    <row r="3342" spans="36:36" ht="11.25" customHeight="1">
      <c r="AJ3342"/>
    </row>
    <row r="3343" spans="36:36" ht="11.25" customHeight="1">
      <c r="AJ3343"/>
    </row>
    <row r="3344" spans="36:36" ht="11.25" customHeight="1">
      <c r="AJ3344"/>
    </row>
    <row r="3345" spans="36:36" ht="11.25" customHeight="1">
      <c r="AJ3345"/>
    </row>
    <row r="3346" spans="36:36" ht="11.25" customHeight="1">
      <c r="AJ3346"/>
    </row>
    <row r="3347" spans="36:36" ht="11.25" customHeight="1">
      <c r="AJ3347"/>
    </row>
    <row r="3348" spans="36:36" ht="11.25" customHeight="1">
      <c r="AJ3348"/>
    </row>
    <row r="3349" spans="36:36" ht="11.25" customHeight="1">
      <c r="AJ3349"/>
    </row>
    <row r="3350" spans="36:36" ht="11.25" customHeight="1">
      <c r="AJ3350"/>
    </row>
    <row r="3351" spans="36:36" ht="11.25" customHeight="1">
      <c r="AJ3351"/>
    </row>
    <row r="3352" spans="36:36" ht="11.25" customHeight="1">
      <c r="AJ3352"/>
    </row>
    <row r="3353" spans="36:36" ht="11.25" customHeight="1">
      <c r="AJ3353"/>
    </row>
    <row r="3354" spans="36:36" ht="11.25" customHeight="1">
      <c r="AJ3354"/>
    </row>
    <row r="3355" spans="36:36" ht="11.25" customHeight="1">
      <c r="AJ3355"/>
    </row>
    <row r="3356" spans="36:36" ht="11.25" customHeight="1">
      <c r="AJ3356"/>
    </row>
    <row r="3357" spans="36:36" ht="11.25" customHeight="1">
      <c r="AJ3357"/>
    </row>
    <row r="3358" spans="36:36" ht="11.25" customHeight="1">
      <c r="AJ3358"/>
    </row>
    <row r="3359" spans="36:36" ht="11.25" customHeight="1">
      <c r="AJ3359"/>
    </row>
    <row r="3360" spans="36:36" ht="11.25" customHeight="1">
      <c r="AJ3360"/>
    </row>
    <row r="3361" spans="36:36" ht="11.25" customHeight="1">
      <c r="AJ3361"/>
    </row>
    <row r="3362" spans="36:36" ht="11.25" customHeight="1">
      <c r="AJ3362"/>
    </row>
    <row r="3363" spans="36:36" ht="11.25" customHeight="1">
      <c r="AJ3363"/>
    </row>
    <row r="3364" spans="36:36" ht="11.25" customHeight="1">
      <c r="AJ3364"/>
    </row>
    <row r="3365" spans="36:36" ht="11.25" customHeight="1">
      <c r="AJ3365"/>
    </row>
    <row r="3366" spans="36:36" ht="11.25" customHeight="1">
      <c r="AJ3366"/>
    </row>
    <row r="3367" spans="36:36" ht="11.25" customHeight="1">
      <c r="AJ3367"/>
    </row>
    <row r="3368" spans="36:36" ht="11.25" customHeight="1">
      <c r="AJ3368"/>
    </row>
    <row r="3369" spans="36:36" ht="11.25" customHeight="1">
      <c r="AJ3369"/>
    </row>
    <row r="3370" spans="36:36" ht="11.25" customHeight="1">
      <c r="AJ3370"/>
    </row>
    <row r="3371" spans="36:36" ht="11.25" customHeight="1">
      <c r="AJ3371"/>
    </row>
    <row r="3372" spans="36:36" ht="11.25" customHeight="1">
      <c r="AJ3372"/>
    </row>
    <row r="3373" spans="36:36" ht="11.25" customHeight="1">
      <c r="AJ3373"/>
    </row>
    <row r="3374" spans="36:36" ht="11.25" customHeight="1">
      <c r="AJ3374"/>
    </row>
    <row r="3375" spans="36:36" ht="11.25" customHeight="1">
      <c r="AJ3375"/>
    </row>
    <row r="3376" spans="36:36" ht="11.25" customHeight="1">
      <c r="AJ3376"/>
    </row>
    <row r="3377" spans="36:36" ht="11.25" customHeight="1">
      <c r="AJ3377"/>
    </row>
    <row r="3378" spans="36:36" ht="11.25" customHeight="1">
      <c r="AJ3378"/>
    </row>
    <row r="3379" spans="36:36" ht="11.25" customHeight="1">
      <c r="AJ3379"/>
    </row>
    <row r="3380" spans="36:36" ht="11.25" customHeight="1">
      <c r="AJ3380"/>
    </row>
    <row r="3381" spans="36:36" ht="11.25" customHeight="1">
      <c r="AJ3381"/>
    </row>
    <row r="3382" spans="36:36" ht="11.25" customHeight="1">
      <c r="AJ3382"/>
    </row>
    <row r="3383" spans="36:36" ht="11.25" customHeight="1">
      <c r="AJ3383"/>
    </row>
    <row r="3384" spans="36:36" ht="11.25" customHeight="1">
      <c r="AJ3384"/>
    </row>
    <row r="3385" spans="36:36" ht="11.25" customHeight="1">
      <c r="AJ3385"/>
    </row>
    <row r="3386" spans="36:36" ht="11.25" customHeight="1">
      <c r="AJ3386"/>
    </row>
    <row r="3387" spans="36:36" ht="11.25" customHeight="1">
      <c r="AJ3387"/>
    </row>
    <row r="3388" spans="36:36" ht="11.25" customHeight="1">
      <c r="AJ3388"/>
    </row>
    <row r="3389" spans="36:36" ht="11.25" customHeight="1">
      <c r="AJ3389"/>
    </row>
    <row r="3390" spans="36:36" ht="11.25" customHeight="1">
      <c r="AJ3390"/>
    </row>
    <row r="3391" spans="36:36" ht="11.25" customHeight="1">
      <c r="AJ3391"/>
    </row>
    <row r="3392" spans="36:36" ht="11.25" customHeight="1">
      <c r="AJ3392"/>
    </row>
    <row r="3393" spans="36:36" ht="11.25" customHeight="1">
      <c r="AJ3393"/>
    </row>
    <row r="3394" spans="36:36" ht="11.25" customHeight="1">
      <c r="AJ3394"/>
    </row>
    <row r="3395" spans="36:36" ht="11.25" customHeight="1">
      <c r="AJ3395"/>
    </row>
    <row r="3396" spans="36:36" ht="11.25" customHeight="1">
      <c r="AJ3396"/>
    </row>
    <row r="3397" spans="36:36" ht="11.25" customHeight="1">
      <c r="AJ3397"/>
    </row>
    <row r="3398" spans="36:36" ht="11.25" customHeight="1">
      <c r="AJ3398"/>
    </row>
    <row r="3399" spans="36:36" ht="11.25" customHeight="1">
      <c r="AJ3399"/>
    </row>
    <row r="3400" spans="36:36" ht="11.25" customHeight="1">
      <c r="AJ3400"/>
    </row>
    <row r="3401" spans="36:36" ht="11.25" customHeight="1">
      <c r="AJ3401"/>
    </row>
    <row r="3402" spans="36:36" ht="11.25" customHeight="1">
      <c r="AJ3402"/>
    </row>
    <row r="3403" spans="36:36" ht="11.25" customHeight="1">
      <c r="AJ3403"/>
    </row>
    <row r="3404" spans="36:36" ht="11.25" customHeight="1">
      <c r="AJ3404"/>
    </row>
    <row r="3405" spans="36:36" ht="11.25" customHeight="1">
      <c r="AJ3405"/>
    </row>
    <row r="3406" spans="36:36" ht="11.25" customHeight="1">
      <c r="AJ3406"/>
    </row>
    <row r="3407" spans="36:36" ht="11.25" customHeight="1">
      <c r="AJ3407"/>
    </row>
    <row r="3408" spans="36:36" ht="11.25" customHeight="1">
      <c r="AJ3408"/>
    </row>
    <row r="3409" spans="36:36" ht="11.25" customHeight="1">
      <c r="AJ3409"/>
    </row>
    <row r="3410" spans="36:36" ht="11.25" customHeight="1">
      <c r="AJ3410"/>
    </row>
    <row r="3411" spans="36:36" ht="11.25" customHeight="1">
      <c r="AJ3411"/>
    </row>
    <row r="3412" spans="36:36" ht="11.25" customHeight="1">
      <c r="AJ3412"/>
    </row>
    <row r="3413" spans="36:36" ht="11.25" customHeight="1">
      <c r="AJ3413"/>
    </row>
    <row r="3414" spans="36:36" ht="11.25" customHeight="1">
      <c r="AJ3414"/>
    </row>
    <row r="3415" spans="36:36" ht="11.25" customHeight="1">
      <c r="AJ3415"/>
    </row>
    <row r="3416" spans="36:36" ht="11.25" customHeight="1">
      <c r="AJ3416"/>
    </row>
    <row r="3417" spans="36:36" ht="11.25" customHeight="1">
      <c r="AJ3417"/>
    </row>
    <row r="3418" spans="36:36" ht="11.25" customHeight="1">
      <c r="AJ3418"/>
    </row>
    <row r="3419" spans="36:36" ht="11.25" customHeight="1">
      <c r="AJ3419"/>
    </row>
    <row r="3420" spans="36:36" ht="11.25" customHeight="1">
      <c r="AJ3420"/>
    </row>
    <row r="3421" spans="36:36" ht="11.25" customHeight="1">
      <c r="AJ3421"/>
    </row>
    <row r="3422" spans="36:36" ht="11.25" customHeight="1">
      <c r="AJ3422"/>
    </row>
    <row r="3423" spans="36:36" ht="11.25" customHeight="1">
      <c r="AJ3423"/>
    </row>
    <row r="3424" spans="36:36" ht="11.25" customHeight="1">
      <c r="AJ3424"/>
    </row>
    <row r="3425" spans="36:36" ht="11.25" customHeight="1">
      <c r="AJ3425"/>
    </row>
    <row r="3426" spans="36:36" ht="11.25" customHeight="1">
      <c r="AJ3426"/>
    </row>
    <row r="3427" spans="36:36" ht="11.25" customHeight="1">
      <c r="AJ3427"/>
    </row>
    <row r="3428" spans="36:36" ht="11.25" customHeight="1">
      <c r="AJ3428"/>
    </row>
    <row r="3429" spans="36:36" ht="11.25" customHeight="1">
      <c r="AJ3429"/>
    </row>
    <row r="3430" spans="36:36" ht="11.25" customHeight="1">
      <c r="AJ3430"/>
    </row>
    <row r="3431" spans="36:36" ht="11.25" customHeight="1">
      <c r="AJ3431"/>
    </row>
    <row r="3432" spans="36:36" ht="11.25" customHeight="1">
      <c r="AJ3432"/>
    </row>
    <row r="3433" spans="36:36" ht="11.25" customHeight="1">
      <c r="AJ3433"/>
    </row>
    <row r="3434" spans="36:36" ht="11.25" customHeight="1">
      <c r="AJ3434"/>
    </row>
    <row r="3435" spans="36:36" ht="11.25" customHeight="1">
      <c r="AJ3435"/>
    </row>
    <row r="3436" spans="36:36" ht="11.25" customHeight="1">
      <c r="AJ3436"/>
    </row>
    <row r="3437" spans="36:36" ht="11.25" customHeight="1">
      <c r="AJ3437"/>
    </row>
    <row r="3438" spans="36:36" ht="11.25" customHeight="1">
      <c r="AJ3438"/>
    </row>
    <row r="3439" spans="36:36" ht="11.25" customHeight="1">
      <c r="AJ3439"/>
    </row>
    <row r="3440" spans="36:36" ht="11.25" customHeight="1">
      <c r="AJ3440"/>
    </row>
    <row r="3441" spans="36:36" ht="11.25" customHeight="1">
      <c r="AJ3441"/>
    </row>
    <row r="3442" spans="36:36" ht="11.25" customHeight="1">
      <c r="AJ3442"/>
    </row>
    <row r="3443" spans="36:36" ht="11.25" customHeight="1">
      <c r="AJ3443"/>
    </row>
    <row r="3444" spans="36:36" ht="11.25" customHeight="1">
      <c r="AJ3444"/>
    </row>
    <row r="3445" spans="36:36" ht="11.25" customHeight="1">
      <c r="AJ3445"/>
    </row>
    <row r="3446" spans="36:36" ht="11.25" customHeight="1">
      <c r="AJ3446"/>
    </row>
    <row r="3447" spans="36:36" ht="11.25" customHeight="1">
      <c r="AJ3447"/>
    </row>
    <row r="3448" spans="36:36" ht="11.25" customHeight="1">
      <c r="AJ3448"/>
    </row>
    <row r="3449" spans="36:36" ht="11.25" customHeight="1">
      <c r="AJ3449"/>
    </row>
    <row r="3450" spans="36:36" ht="11.25" customHeight="1">
      <c r="AJ3450"/>
    </row>
    <row r="3451" spans="36:36" ht="11.25" customHeight="1">
      <c r="AJ3451"/>
    </row>
    <row r="3452" spans="36:36" ht="11.25" customHeight="1">
      <c r="AJ3452"/>
    </row>
    <row r="3453" spans="36:36" ht="11.25" customHeight="1">
      <c r="AJ3453"/>
    </row>
    <row r="3454" spans="36:36" ht="11.25" customHeight="1">
      <c r="AJ3454"/>
    </row>
    <row r="3455" spans="36:36" ht="11.25" customHeight="1">
      <c r="AJ3455"/>
    </row>
    <row r="3456" spans="36:36" ht="11.25" customHeight="1">
      <c r="AJ3456"/>
    </row>
    <row r="3457" spans="36:36" ht="11.25" customHeight="1">
      <c r="AJ3457"/>
    </row>
    <row r="3458" spans="36:36" ht="11.25" customHeight="1">
      <c r="AJ3458"/>
    </row>
    <row r="3459" spans="36:36" ht="11.25" customHeight="1">
      <c r="AJ3459"/>
    </row>
    <row r="3460" spans="36:36" ht="11.25" customHeight="1">
      <c r="AJ3460"/>
    </row>
    <row r="3461" spans="36:36" ht="11.25" customHeight="1">
      <c r="AJ3461"/>
    </row>
    <row r="3462" spans="36:36" ht="11.25" customHeight="1">
      <c r="AJ3462"/>
    </row>
    <row r="3463" spans="36:36" ht="11.25" customHeight="1">
      <c r="AJ3463"/>
    </row>
    <row r="3464" spans="36:36" ht="11.25" customHeight="1">
      <c r="AJ3464"/>
    </row>
    <row r="3465" spans="36:36" ht="11.25" customHeight="1">
      <c r="AJ3465"/>
    </row>
    <row r="3466" spans="36:36" ht="11.25" customHeight="1">
      <c r="AJ3466"/>
    </row>
    <row r="3467" spans="36:36" ht="11.25" customHeight="1">
      <c r="AJ3467"/>
    </row>
    <row r="3468" spans="36:36" ht="11.25" customHeight="1">
      <c r="AJ3468"/>
    </row>
    <row r="3469" spans="36:36" ht="11.25" customHeight="1">
      <c r="AJ3469"/>
    </row>
    <row r="3470" spans="36:36" ht="11.25" customHeight="1">
      <c r="AJ3470"/>
    </row>
    <row r="3471" spans="36:36" ht="11.25" customHeight="1">
      <c r="AJ3471"/>
    </row>
    <row r="3472" spans="36:36" ht="11.25" customHeight="1">
      <c r="AJ3472"/>
    </row>
    <row r="3473" spans="36:36" ht="11.25" customHeight="1">
      <c r="AJ3473"/>
    </row>
    <row r="3474" spans="36:36" ht="11.25" customHeight="1">
      <c r="AJ3474"/>
    </row>
    <row r="3475" spans="36:36" ht="11.25" customHeight="1">
      <c r="AJ3475"/>
    </row>
    <row r="3476" spans="36:36" ht="11.25" customHeight="1">
      <c r="AJ3476"/>
    </row>
    <row r="3477" spans="36:36" ht="11.25" customHeight="1">
      <c r="AJ3477"/>
    </row>
    <row r="3478" spans="36:36" ht="11.25" customHeight="1">
      <c r="AJ3478"/>
    </row>
    <row r="3479" spans="36:36" ht="11.25" customHeight="1">
      <c r="AJ3479"/>
    </row>
    <row r="3480" spans="36:36" ht="11.25" customHeight="1">
      <c r="AJ3480"/>
    </row>
    <row r="3481" spans="36:36" ht="11.25" customHeight="1">
      <c r="AJ3481"/>
    </row>
    <row r="3482" spans="36:36" ht="11.25" customHeight="1">
      <c r="AJ3482"/>
    </row>
    <row r="3483" spans="36:36" ht="11.25" customHeight="1">
      <c r="AJ3483"/>
    </row>
    <row r="3484" spans="36:36" ht="11.25" customHeight="1">
      <c r="AJ3484"/>
    </row>
    <row r="3485" spans="36:36" ht="11.25" customHeight="1">
      <c r="AJ3485"/>
    </row>
    <row r="3486" spans="36:36" ht="11.25" customHeight="1">
      <c r="AJ3486"/>
    </row>
    <row r="3487" spans="36:36" ht="11.25" customHeight="1">
      <c r="AJ3487"/>
    </row>
    <row r="3488" spans="36:36" ht="11.25" customHeight="1">
      <c r="AJ3488"/>
    </row>
    <row r="3489" spans="36:36" ht="11.25" customHeight="1">
      <c r="AJ3489"/>
    </row>
    <row r="3490" spans="36:36" ht="11.25" customHeight="1">
      <c r="AJ3490"/>
    </row>
    <row r="3491" spans="36:36" ht="11.25" customHeight="1">
      <c r="AJ3491"/>
    </row>
    <row r="3492" spans="36:36" ht="11.25" customHeight="1">
      <c r="AJ3492"/>
    </row>
    <row r="3493" spans="36:36" ht="11.25" customHeight="1">
      <c r="AJ3493"/>
    </row>
    <row r="3494" spans="36:36" ht="11.25" customHeight="1">
      <c r="AJ3494"/>
    </row>
    <row r="3495" spans="36:36" ht="11.25" customHeight="1">
      <c r="AJ3495"/>
    </row>
    <row r="3496" spans="36:36" ht="11.25" customHeight="1">
      <c r="AJ3496"/>
    </row>
    <row r="3497" spans="36:36" ht="11.25" customHeight="1">
      <c r="AJ3497"/>
    </row>
    <row r="3498" spans="36:36" ht="11.25" customHeight="1">
      <c r="AJ3498"/>
    </row>
    <row r="3499" spans="36:36" ht="11.25" customHeight="1">
      <c r="AJ3499"/>
    </row>
    <row r="3500" spans="36:36" ht="11.25" customHeight="1">
      <c r="AJ3500"/>
    </row>
    <row r="3501" spans="36:36" ht="11.25" customHeight="1">
      <c r="AJ3501"/>
    </row>
    <row r="3502" spans="36:36" ht="11.25" customHeight="1">
      <c r="AJ3502"/>
    </row>
    <row r="3503" spans="36:36" ht="11.25" customHeight="1">
      <c r="AJ3503"/>
    </row>
    <row r="3504" spans="36:36" ht="11.25" customHeight="1">
      <c r="AJ3504"/>
    </row>
    <row r="3505" spans="36:36" ht="11.25" customHeight="1">
      <c r="AJ3505"/>
    </row>
    <row r="3506" spans="36:36" ht="11.25" customHeight="1">
      <c r="AJ3506"/>
    </row>
    <row r="3507" spans="36:36" ht="11.25" customHeight="1">
      <c r="AJ3507"/>
    </row>
    <row r="3508" spans="36:36" ht="11.25" customHeight="1">
      <c r="AJ3508"/>
    </row>
    <row r="3509" spans="36:36" ht="11.25" customHeight="1">
      <c r="AJ3509"/>
    </row>
    <row r="3510" spans="36:36" ht="11.25" customHeight="1">
      <c r="AJ3510"/>
    </row>
    <row r="3511" spans="36:36" ht="11.25" customHeight="1">
      <c r="AJ3511"/>
    </row>
    <row r="3512" spans="36:36" ht="11.25" customHeight="1">
      <c r="AJ3512"/>
    </row>
    <row r="3513" spans="36:36" ht="11.25" customHeight="1">
      <c r="AJ3513"/>
    </row>
    <row r="3514" spans="36:36" ht="11.25" customHeight="1">
      <c r="AJ3514"/>
    </row>
    <row r="3515" spans="36:36" ht="11.25" customHeight="1">
      <c r="AJ3515"/>
    </row>
    <row r="3516" spans="36:36" ht="11.25" customHeight="1">
      <c r="AJ3516"/>
    </row>
    <row r="3517" spans="36:36" ht="11.25" customHeight="1">
      <c r="AJ3517"/>
    </row>
    <row r="3518" spans="36:36" ht="11.25" customHeight="1">
      <c r="AJ3518"/>
    </row>
    <row r="3519" spans="36:36" ht="11.25" customHeight="1">
      <c r="AJ3519"/>
    </row>
    <row r="3520" spans="36:36" ht="11.25" customHeight="1">
      <c r="AJ3520"/>
    </row>
    <row r="3521" spans="36:36" ht="11.25" customHeight="1">
      <c r="AJ3521"/>
    </row>
    <row r="3522" spans="36:36" ht="11.25" customHeight="1">
      <c r="AJ3522"/>
    </row>
    <row r="3523" spans="36:36" ht="11.25" customHeight="1">
      <c r="AJ3523"/>
    </row>
    <row r="3524" spans="36:36" ht="11.25" customHeight="1">
      <c r="AJ3524"/>
    </row>
    <row r="3525" spans="36:36" ht="11.25" customHeight="1">
      <c r="AJ3525"/>
    </row>
    <row r="3526" spans="36:36" ht="11.25" customHeight="1">
      <c r="AJ3526"/>
    </row>
    <row r="3527" spans="36:36" ht="11.25" customHeight="1">
      <c r="AJ3527"/>
    </row>
    <row r="3528" spans="36:36" ht="11.25" customHeight="1">
      <c r="AJ3528"/>
    </row>
    <row r="3529" spans="36:36" ht="11.25" customHeight="1">
      <c r="AJ3529"/>
    </row>
    <row r="3530" spans="36:36" ht="11.25" customHeight="1">
      <c r="AJ3530"/>
    </row>
    <row r="3531" spans="36:36" ht="11.25" customHeight="1">
      <c r="AJ3531"/>
    </row>
    <row r="3532" spans="36:36" ht="11.25" customHeight="1">
      <c r="AJ3532"/>
    </row>
    <row r="3533" spans="36:36" ht="11.25" customHeight="1">
      <c r="AJ3533"/>
    </row>
    <row r="3534" spans="36:36" ht="11.25" customHeight="1">
      <c r="AJ3534"/>
    </row>
    <row r="3535" spans="36:36" ht="11.25" customHeight="1">
      <c r="AJ3535"/>
    </row>
    <row r="3536" spans="36:36" ht="11.25" customHeight="1">
      <c r="AJ3536"/>
    </row>
    <row r="3537" spans="36:36" ht="11.25" customHeight="1">
      <c r="AJ3537"/>
    </row>
    <row r="3538" spans="36:36" ht="11.25" customHeight="1">
      <c r="AJ3538"/>
    </row>
    <row r="3539" spans="36:36" ht="11.25" customHeight="1">
      <c r="AJ3539"/>
    </row>
    <row r="3540" spans="36:36" ht="11.25" customHeight="1">
      <c r="AJ3540"/>
    </row>
    <row r="3541" spans="36:36" ht="11.25" customHeight="1">
      <c r="AJ3541"/>
    </row>
    <row r="3542" spans="36:36" ht="11.25" customHeight="1">
      <c r="AJ3542"/>
    </row>
    <row r="3543" spans="36:36" ht="11.25" customHeight="1">
      <c r="AJ3543"/>
    </row>
    <row r="3544" spans="36:36" ht="11.25" customHeight="1">
      <c r="AJ3544"/>
    </row>
    <row r="3545" spans="36:36" ht="11.25" customHeight="1">
      <c r="AJ3545"/>
    </row>
    <row r="3546" spans="36:36" ht="11.25" customHeight="1">
      <c r="AJ3546"/>
    </row>
    <row r="3547" spans="36:36" ht="11.25" customHeight="1">
      <c r="AJ3547"/>
    </row>
    <row r="3548" spans="36:36" ht="11.25" customHeight="1">
      <c r="AJ3548"/>
    </row>
    <row r="3549" spans="36:36" ht="11.25" customHeight="1">
      <c r="AJ3549"/>
    </row>
    <row r="3550" spans="36:36" ht="11.25" customHeight="1">
      <c r="AJ3550"/>
    </row>
    <row r="3551" spans="36:36" ht="11.25" customHeight="1">
      <c r="AJ3551"/>
    </row>
    <row r="3552" spans="36:36" ht="11.25" customHeight="1">
      <c r="AJ3552"/>
    </row>
    <row r="3553" spans="36:36" ht="11.25" customHeight="1">
      <c r="AJ3553"/>
    </row>
    <row r="3554" spans="36:36" ht="11.25" customHeight="1">
      <c r="AJ3554"/>
    </row>
    <row r="3555" spans="36:36" ht="11.25" customHeight="1">
      <c r="AJ3555"/>
    </row>
    <row r="3556" spans="36:36" ht="11.25" customHeight="1">
      <c r="AJ3556"/>
    </row>
    <row r="3557" spans="36:36" ht="11.25" customHeight="1">
      <c r="AJ3557"/>
    </row>
    <row r="3558" spans="36:36" ht="11.25" customHeight="1">
      <c r="AJ3558"/>
    </row>
    <row r="3559" spans="36:36" ht="11.25" customHeight="1">
      <c r="AJ3559"/>
    </row>
    <row r="3560" spans="36:36" ht="11.25" customHeight="1">
      <c r="AJ3560"/>
    </row>
    <row r="3561" spans="36:36" ht="11.25" customHeight="1">
      <c r="AJ3561"/>
    </row>
    <row r="3562" spans="36:36" ht="11.25" customHeight="1">
      <c r="AJ3562"/>
    </row>
    <row r="3563" spans="36:36" ht="11.25" customHeight="1">
      <c r="AJ3563"/>
    </row>
    <row r="3564" spans="36:36" ht="11.25" customHeight="1">
      <c r="AJ3564"/>
    </row>
    <row r="3565" spans="36:36" ht="11.25" customHeight="1">
      <c r="AJ3565"/>
    </row>
    <row r="3566" spans="36:36" ht="11.25" customHeight="1">
      <c r="AJ3566"/>
    </row>
    <row r="3567" spans="36:36" ht="11.25" customHeight="1">
      <c r="AJ3567"/>
    </row>
    <row r="3568" spans="36:36" ht="11.25" customHeight="1">
      <c r="AJ3568"/>
    </row>
    <row r="3569" spans="36:36" ht="11.25" customHeight="1">
      <c r="AJ3569"/>
    </row>
    <row r="3570" spans="36:36" ht="11.25" customHeight="1">
      <c r="AJ3570"/>
    </row>
    <row r="3571" spans="36:36" ht="11.25" customHeight="1">
      <c r="AJ3571"/>
    </row>
    <row r="3572" spans="36:36" ht="11.25" customHeight="1">
      <c r="AJ3572"/>
    </row>
    <row r="3573" spans="36:36" ht="11.25" customHeight="1">
      <c r="AJ3573"/>
    </row>
    <row r="3574" spans="36:36" ht="11.25" customHeight="1">
      <c r="AJ3574"/>
    </row>
    <row r="3575" spans="36:36" ht="11.25" customHeight="1">
      <c r="AJ3575"/>
    </row>
    <row r="3576" spans="36:36" ht="11.25" customHeight="1">
      <c r="AJ3576"/>
    </row>
    <row r="3577" spans="36:36" ht="11.25" customHeight="1">
      <c r="AJ3577"/>
    </row>
    <row r="3578" spans="36:36" ht="11.25" customHeight="1">
      <c r="AJ3578"/>
    </row>
    <row r="3579" spans="36:36" ht="11.25" customHeight="1">
      <c r="AJ3579"/>
    </row>
    <row r="3580" spans="36:36" ht="11.25" customHeight="1">
      <c r="AJ3580"/>
    </row>
    <row r="3581" spans="36:36" ht="11.25" customHeight="1">
      <c r="AJ3581"/>
    </row>
    <row r="3582" spans="36:36" ht="11.25" customHeight="1">
      <c r="AJ3582"/>
    </row>
    <row r="3583" spans="36:36" ht="11.25" customHeight="1">
      <c r="AJ3583"/>
    </row>
    <row r="3584" spans="36:36" ht="11.25" customHeight="1">
      <c r="AJ3584"/>
    </row>
    <row r="3585" spans="36:36" ht="11.25" customHeight="1">
      <c r="AJ3585"/>
    </row>
    <row r="3586" spans="36:36" ht="11.25" customHeight="1">
      <c r="AJ3586"/>
    </row>
    <row r="3587" spans="36:36" ht="11.25" customHeight="1">
      <c r="AJ3587"/>
    </row>
    <row r="3588" spans="36:36" ht="11.25" customHeight="1">
      <c r="AJ3588"/>
    </row>
    <row r="3589" spans="36:36" ht="11.25" customHeight="1">
      <c r="AJ3589"/>
    </row>
    <row r="3590" spans="36:36" ht="11.25" customHeight="1">
      <c r="AJ3590"/>
    </row>
    <row r="3591" spans="36:36" ht="11.25" customHeight="1">
      <c r="AJ3591"/>
    </row>
    <row r="3592" spans="36:36" ht="11.25" customHeight="1">
      <c r="AJ3592"/>
    </row>
    <row r="3593" spans="36:36" ht="11.25" customHeight="1">
      <c r="AJ3593"/>
    </row>
    <row r="3594" spans="36:36" ht="11.25" customHeight="1">
      <c r="AJ3594"/>
    </row>
    <row r="3595" spans="36:36" ht="11.25" customHeight="1">
      <c r="AJ3595"/>
    </row>
    <row r="3596" spans="36:36" ht="11.25" customHeight="1">
      <c r="AJ3596"/>
    </row>
    <row r="3597" spans="36:36" ht="11.25" customHeight="1">
      <c r="AJ3597"/>
    </row>
    <row r="3598" spans="36:36" ht="11.25" customHeight="1">
      <c r="AJ3598"/>
    </row>
    <row r="3599" spans="36:36" ht="11.25" customHeight="1">
      <c r="AJ3599"/>
    </row>
    <row r="3600" spans="36:36" ht="11.25" customHeight="1">
      <c r="AJ3600"/>
    </row>
    <row r="3601" spans="36:36" ht="11.25" customHeight="1">
      <c r="AJ3601"/>
    </row>
    <row r="3602" spans="36:36" ht="11.25" customHeight="1">
      <c r="AJ3602"/>
    </row>
    <row r="3603" spans="36:36" ht="11.25" customHeight="1">
      <c r="AJ3603"/>
    </row>
    <row r="3604" spans="36:36" ht="11.25" customHeight="1">
      <c r="AJ3604"/>
    </row>
    <row r="3605" spans="36:36" ht="11.25" customHeight="1">
      <c r="AJ3605"/>
    </row>
    <row r="3606" spans="36:36" ht="11.25" customHeight="1">
      <c r="AJ3606"/>
    </row>
    <row r="3607" spans="36:36" ht="11.25" customHeight="1">
      <c r="AJ3607"/>
    </row>
    <row r="3608" spans="36:36" ht="11.25" customHeight="1">
      <c r="AJ3608"/>
    </row>
    <row r="3609" spans="36:36" ht="11.25" customHeight="1">
      <c r="AJ3609"/>
    </row>
    <row r="3610" spans="36:36" ht="11.25" customHeight="1">
      <c r="AJ3610"/>
    </row>
    <row r="3611" spans="36:36" ht="11.25" customHeight="1">
      <c r="AJ3611"/>
    </row>
    <row r="3612" spans="36:36" ht="11.25" customHeight="1">
      <c r="AJ3612"/>
    </row>
    <row r="3613" spans="36:36" ht="11.25" customHeight="1">
      <c r="AJ3613"/>
    </row>
    <row r="3614" spans="36:36" ht="11.25" customHeight="1">
      <c r="AJ3614"/>
    </row>
    <row r="3615" spans="36:36" ht="11.25" customHeight="1">
      <c r="AJ3615"/>
    </row>
    <row r="3616" spans="36:36" ht="11.25" customHeight="1">
      <c r="AJ3616"/>
    </row>
    <row r="3617" spans="36:36" ht="11.25" customHeight="1">
      <c r="AJ3617"/>
    </row>
    <row r="3618" spans="36:36" ht="11.25" customHeight="1">
      <c r="AJ3618"/>
    </row>
    <row r="3619" spans="36:36" ht="11.25" customHeight="1">
      <c r="AJ3619"/>
    </row>
    <row r="3620" spans="36:36" ht="11.25" customHeight="1">
      <c r="AJ3620"/>
    </row>
    <row r="3621" spans="36:36" ht="11.25" customHeight="1">
      <c r="AJ3621"/>
    </row>
    <row r="3622" spans="36:36" ht="11.25" customHeight="1">
      <c r="AJ3622"/>
    </row>
    <row r="3623" spans="36:36" ht="11.25" customHeight="1">
      <c r="AJ3623"/>
    </row>
    <row r="3624" spans="36:36" ht="11.25" customHeight="1">
      <c r="AJ3624"/>
    </row>
    <row r="3625" spans="36:36" ht="11.25" customHeight="1">
      <c r="AJ3625"/>
    </row>
    <row r="3626" spans="36:36" ht="11.25" customHeight="1">
      <c r="AJ3626"/>
    </row>
    <row r="3627" spans="36:36" ht="11.25" customHeight="1">
      <c r="AJ3627"/>
    </row>
    <row r="3628" spans="36:36" ht="11.25" customHeight="1">
      <c r="AJ3628"/>
    </row>
    <row r="3629" spans="36:36" ht="11.25" customHeight="1">
      <c r="AJ3629"/>
    </row>
    <row r="3630" spans="36:36" ht="11.25" customHeight="1">
      <c r="AJ3630"/>
    </row>
    <row r="3631" spans="36:36" ht="11.25" customHeight="1">
      <c r="AJ3631"/>
    </row>
    <row r="3632" spans="36:36" ht="11.25" customHeight="1">
      <c r="AJ3632"/>
    </row>
    <row r="3633" spans="36:36" ht="11.25" customHeight="1">
      <c r="AJ3633"/>
    </row>
    <row r="3634" spans="36:36" ht="11.25" customHeight="1">
      <c r="AJ3634"/>
    </row>
    <row r="3635" spans="36:36" ht="11.25" customHeight="1">
      <c r="AJ3635"/>
    </row>
    <row r="3636" spans="36:36" ht="11.25" customHeight="1">
      <c r="AJ3636"/>
    </row>
    <row r="3637" spans="36:36" ht="11.25" customHeight="1">
      <c r="AJ3637"/>
    </row>
    <row r="3638" spans="36:36" ht="11.25" customHeight="1">
      <c r="AJ3638"/>
    </row>
    <row r="3639" spans="36:36" ht="11.25" customHeight="1">
      <c r="AJ3639"/>
    </row>
    <row r="3640" spans="36:36" ht="11.25" customHeight="1">
      <c r="AJ3640"/>
    </row>
    <row r="3641" spans="36:36" ht="11.25" customHeight="1">
      <c r="AJ3641"/>
    </row>
    <row r="3642" spans="36:36" ht="11.25" customHeight="1">
      <c r="AJ3642"/>
    </row>
    <row r="3643" spans="36:36" ht="11.25" customHeight="1">
      <c r="AJ3643"/>
    </row>
    <row r="3644" spans="36:36" ht="11.25" customHeight="1">
      <c r="AJ3644"/>
    </row>
    <row r="3645" spans="36:36" ht="11.25" customHeight="1">
      <c r="AJ3645"/>
    </row>
    <row r="3646" spans="36:36" ht="11.25" customHeight="1">
      <c r="AJ3646"/>
    </row>
    <row r="3647" spans="36:36" ht="11.25" customHeight="1">
      <c r="AJ3647"/>
    </row>
    <row r="3648" spans="36:36" ht="11.25" customHeight="1">
      <c r="AJ3648"/>
    </row>
    <row r="3649" spans="36:36" ht="11.25" customHeight="1">
      <c r="AJ3649"/>
    </row>
    <row r="3650" spans="36:36" ht="11.25" customHeight="1">
      <c r="AJ3650"/>
    </row>
    <row r="3651" spans="36:36" ht="11.25" customHeight="1">
      <c r="AJ3651"/>
    </row>
    <row r="3652" spans="36:36" ht="11.25" customHeight="1">
      <c r="AJ3652"/>
    </row>
    <row r="3653" spans="36:36" ht="11.25" customHeight="1">
      <c r="AJ3653"/>
    </row>
    <row r="3654" spans="36:36" ht="11.25" customHeight="1">
      <c r="AJ3654"/>
    </row>
    <row r="3655" spans="36:36" ht="11.25" customHeight="1">
      <c r="AJ3655"/>
    </row>
    <row r="3656" spans="36:36" ht="11.25" customHeight="1">
      <c r="AJ3656"/>
    </row>
    <row r="3657" spans="36:36" ht="11.25" customHeight="1">
      <c r="AJ3657"/>
    </row>
    <row r="3658" spans="36:36" ht="11.25" customHeight="1">
      <c r="AJ3658"/>
    </row>
    <row r="3659" spans="36:36" ht="11.25" customHeight="1">
      <c r="AJ3659"/>
    </row>
    <row r="3660" spans="36:36" ht="11.25" customHeight="1">
      <c r="AJ3660"/>
    </row>
    <row r="3661" spans="36:36" ht="11.25" customHeight="1">
      <c r="AJ3661"/>
    </row>
    <row r="3662" spans="36:36" ht="11.25" customHeight="1">
      <c r="AJ3662"/>
    </row>
    <row r="3663" spans="36:36" ht="11.25" customHeight="1">
      <c r="AJ3663"/>
    </row>
    <row r="3664" spans="36:36" ht="11.25" customHeight="1">
      <c r="AJ3664"/>
    </row>
    <row r="3665" spans="36:36" ht="11.25" customHeight="1">
      <c r="AJ3665"/>
    </row>
    <row r="3666" spans="36:36" ht="11.25" customHeight="1">
      <c r="AJ3666"/>
    </row>
    <row r="3667" spans="36:36" ht="11.25" customHeight="1">
      <c r="AJ3667"/>
    </row>
    <row r="3668" spans="36:36" ht="11.25" customHeight="1">
      <c r="AJ3668"/>
    </row>
    <row r="3669" spans="36:36" ht="11.25" customHeight="1">
      <c r="AJ3669"/>
    </row>
    <row r="3670" spans="36:36" ht="11.25" customHeight="1">
      <c r="AJ3670"/>
    </row>
    <row r="3671" spans="36:36" ht="11.25" customHeight="1">
      <c r="AJ3671"/>
    </row>
    <row r="3672" spans="36:36" ht="11.25" customHeight="1">
      <c r="AJ3672"/>
    </row>
    <row r="3673" spans="36:36" ht="11.25" customHeight="1">
      <c r="AJ3673"/>
    </row>
    <row r="3674" spans="36:36" ht="11.25" customHeight="1">
      <c r="AJ3674"/>
    </row>
    <row r="3675" spans="36:36" ht="11.25" customHeight="1">
      <c r="AJ3675"/>
    </row>
    <row r="3676" spans="36:36" ht="11.25" customHeight="1">
      <c r="AJ3676"/>
    </row>
    <row r="3677" spans="36:36" ht="11.25" customHeight="1">
      <c r="AJ3677"/>
    </row>
    <row r="3678" spans="36:36" ht="11.25" customHeight="1">
      <c r="AJ3678"/>
    </row>
    <row r="3679" spans="36:36" ht="11.25" customHeight="1">
      <c r="AJ3679"/>
    </row>
    <row r="3680" spans="36:36" ht="11.25" customHeight="1">
      <c r="AJ3680"/>
    </row>
    <row r="3681" spans="36:36" ht="11.25" customHeight="1">
      <c r="AJ3681"/>
    </row>
    <row r="3682" spans="36:36" ht="11.25" customHeight="1">
      <c r="AJ3682"/>
    </row>
    <row r="3683" spans="36:36" ht="11.25" customHeight="1">
      <c r="AJ3683"/>
    </row>
    <row r="3684" spans="36:36" ht="11.25" customHeight="1">
      <c r="AJ3684"/>
    </row>
    <row r="3685" spans="36:36" ht="11.25" customHeight="1">
      <c r="AJ3685"/>
    </row>
    <row r="3686" spans="36:36" ht="11.25" customHeight="1">
      <c r="AJ3686"/>
    </row>
    <row r="3687" spans="36:36" ht="11.25" customHeight="1">
      <c r="AJ3687"/>
    </row>
    <row r="3688" spans="36:36" ht="11.25" customHeight="1">
      <c r="AJ3688"/>
    </row>
    <row r="3689" spans="36:36" ht="11.25" customHeight="1">
      <c r="AJ3689"/>
    </row>
    <row r="3690" spans="36:36" ht="11.25" customHeight="1">
      <c r="AJ3690"/>
    </row>
    <row r="3691" spans="36:36" ht="11.25" customHeight="1">
      <c r="AJ3691"/>
    </row>
    <row r="3692" spans="36:36" ht="11.25" customHeight="1">
      <c r="AJ3692"/>
    </row>
    <row r="3693" spans="36:36" ht="11.25" customHeight="1">
      <c r="AJ3693"/>
    </row>
    <row r="3694" spans="36:36" ht="11.25" customHeight="1">
      <c r="AJ3694"/>
    </row>
    <row r="3695" spans="36:36" ht="11.25" customHeight="1">
      <c r="AJ3695"/>
    </row>
    <row r="3696" spans="36:36" ht="11.25" customHeight="1">
      <c r="AJ3696"/>
    </row>
    <row r="3697" spans="36:36" ht="11.25" customHeight="1">
      <c r="AJ3697"/>
    </row>
    <row r="3698" spans="36:36" ht="11.25" customHeight="1">
      <c r="AJ3698"/>
    </row>
    <row r="3699" spans="36:36" ht="11.25" customHeight="1">
      <c r="AJ3699"/>
    </row>
    <row r="3700" spans="36:36" ht="11.25" customHeight="1">
      <c r="AJ3700"/>
    </row>
    <row r="3701" spans="36:36" ht="11.25" customHeight="1">
      <c r="AJ3701"/>
    </row>
    <row r="3702" spans="36:36" ht="11.25" customHeight="1">
      <c r="AJ3702"/>
    </row>
    <row r="3703" spans="36:36" ht="11.25" customHeight="1">
      <c r="AJ3703"/>
    </row>
    <row r="3704" spans="36:36" ht="11.25" customHeight="1">
      <c r="AJ3704"/>
    </row>
    <row r="3705" spans="36:36" ht="11.25" customHeight="1">
      <c r="AJ3705"/>
    </row>
    <row r="3706" spans="36:36" ht="11.25" customHeight="1">
      <c r="AJ3706"/>
    </row>
    <row r="3707" spans="36:36" ht="11.25" customHeight="1">
      <c r="AJ3707"/>
    </row>
    <row r="3708" spans="36:36" ht="11.25" customHeight="1">
      <c r="AJ3708"/>
    </row>
    <row r="3709" spans="36:36" ht="11.25" customHeight="1">
      <c r="AJ3709"/>
    </row>
    <row r="3710" spans="36:36" ht="11.25" customHeight="1">
      <c r="AJ3710"/>
    </row>
    <row r="3711" spans="36:36" ht="11.25" customHeight="1">
      <c r="AJ3711"/>
    </row>
    <row r="3712" spans="36:36" ht="11.25" customHeight="1">
      <c r="AJ3712"/>
    </row>
    <row r="3713" spans="36:36" ht="11.25" customHeight="1">
      <c r="AJ3713"/>
    </row>
    <row r="3714" spans="36:36" ht="11.25" customHeight="1">
      <c r="AJ3714"/>
    </row>
    <row r="3715" spans="36:36" ht="11.25" customHeight="1">
      <c r="AJ3715"/>
    </row>
    <row r="3716" spans="36:36" ht="11.25" customHeight="1">
      <c r="AJ3716"/>
    </row>
    <row r="3717" spans="36:36" ht="11.25" customHeight="1">
      <c r="AJ3717"/>
    </row>
    <row r="3718" spans="36:36" ht="11.25" customHeight="1">
      <c r="AJ3718"/>
    </row>
    <row r="3719" spans="36:36" ht="11.25" customHeight="1">
      <c r="AJ3719"/>
    </row>
    <row r="3720" spans="36:36" ht="11.25" customHeight="1">
      <c r="AJ3720"/>
    </row>
    <row r="3721" spans="36:36" ht="11.25" customHeight="1">
      <c r="AJ3721"/>
    </row>
    <row r="3722" spans="36:36" ht="11.25" customHeight="1">
      <c r="AJ3722"/>
    </row>
    <row r="3723" spans="36:36" ht="11.25" customHeight="1">
      <c r="AJ3723"/>
    </row>
    <row r="3724" spans="36:36" ht="11.25" customHeight="1">
      <c r="AJ3724"/>
    </row>
    <row r="3725" spans="36:36" ht="11.25" customHeight="1">
      <c r="AJ3725"/>
    </row>
    <row r="3726" spans="36:36" ht="11.25" customHeight="1">
      <c r="AJ3726"/>
    </row>
    <row r="3727" spans="36:36" ht="11.25" customHeight="1">
      <c r="AJ3727"/>
    </row>
    <row r="3728" spans="36:36" ht="11.25" customHeight="1">
      <c r="AJ3728"/>
    </row>
    <row r="3729" spans="36:36" ht="11.25" customHeight="1">
      <c r="AJ3729"/>
    </row>
    <row r="3730" spans="36:36" ht="11.25" customHeight="1">
      <c r="AJ3730"/>
    </row>
    <row r="3731" spans="36:36" ht="11.25" customHeight="1">
      <c r="AJ3731"/>
    </row>
    <row r="3732" spans="36:36" ht="11.25" customHeight="1">
      <c r="AJ3732"/>
    </row>
    <row r="3733" spans="36:36" ht="11.25" customHeight="1">
      <c r="AJ3733"/>
    </row>
    <row r="3734" spans="36:36" ht="11.25" customHeight="1">
      <c r="AJ3734"/>
    </row>
    <row r="3735" spans="36:36" ht="11.25" customHeight="1">
      <c r="AJ3735"/>
    </row>
    <row r="3736" spans="36:36" ht="11.25" customHeight="1">
      <c r="AJ3736"/>
    </row>
    <row r="3737" spans="36:36" ht="11.25" customHeight="1">
      <c r="AJ3737"/>
    </row>
    <row r="3738" spans="36:36" ht="11.25" customHeight="1">
      <c r="AJ3738"/>
    </row>
    <row r="3739" spans="36:36" ht="11.25" customHeight="1">
      <c r="AJ3739"/>
    </row>
    <row r="3740" spans="36:36" ht="11.25" customHeight="1">
      <c r="AJ3740"/>
    </row>
    <row r="3741" spans="36:36" ht="11.25" customHeight="1">
      <c r="AJ3741"/>
    </row>
    <row r="3742" spans="36:36" ht="11.25" customHeight="1">
      <c r="AJ3742"/>
    </row>
    <row r="3743" spans="36:36" ht="11.25" customHeight="1">
      <c r="AJ3743"/>
    </row>
    <row r="3744" spans="36:36" ht="11.25" customHeight="1">
      <c r="AJ3744"/>
    </row>
    <row r="3745" spans="36:36" ht="11.25" customHeight="1">
      <c r="AJ3745"/>
    </row>
    <row r="3746" spans="36:36" ht="11.25" customHeight="1">
      <c r="AJ3746"/>
    </row>
    <row r="3747" spans="36:36" ht="11.25" customHeight="1">
      <c r="AJ3747"/>
    </row>
    <row r="3748" spans="36:36" ht="11.25" customHeight="1">
      <c r="AJ3748"/>
    </row>
    <row r="3749" spans="36:36" ht="11.25" customHeight="1">
      <c r="AJ3749"/>
    </row>
    <row r="3750" spans="36:36" ht="11.25" customHeight="1">
      <c r="AJ3750"/>
    </row>
    <row r="3751" spans="36:36" ht="11.25" customHeight="1">
      <c r="AJ3751"/>
    </row>
    <row r="3752" spans="36:36" ht="11.25" customHeight="1">
      <c r="AJ3752"/>
    </row>
    <row r="3753" spans="36:36" ht="11.25" customHeight="1">
      <c r="AJ3753"/>
    </row>
    <row r="3754" spans="36:36" ht="11.25" customHeight="1">
      <c r="AJ3754"/>
    </row>
    <row r="3755" spans="36:36" ht="11.25" customHeight="1">
      <c r="AJ3755"/>
    </row>
    <row r="3756" spans="36:36" ht="11.25" customHeight="1">
      <c r="AJ3756"/>
    </row>
    <row r="3757" spans="36:36" ht="11.25" customHeight="1">
      <c r="AJ3757"/>
    </row>
    <row r="3758" spans="36:36" ht="11.25" customHeight="1">
      <c r="AJ3758"/>
    </row>
    <row r="3759" spans="36:36" ht="11.25" customHeight="1">
      <c r="AJ3759"/>
    </row>
    <row r="3760" spans="36:36" ht="11.25" customHeight="1">
      <c r="AJ3760"/>
    </row>
    <row r="3761" spans="36:36" ht="11.25" customHeight="1">
      <c r="AJ3761"/>
    </row>
    <row r="3762" spans="36:36" ht="11.25" customHeight="1">
      <c r="AJ3762"/>
    </row>
    <row r="3763" spans="36:36" ht="11.25" customHeight="1">
      <c r="AJ3763"/>
    </row>
    <row r="3764" spans="36:36" ht="11.25" customHeight="1">
      <c r="AJ3764"/>
    </row>
    <row r="3765" spans="36:36" ht="11.25" customHeight="1">
      <c r="AJ3765"/>
    </row>
    <row r="3766" spans="36:36" ht="11.25" customHeight="1">
      <c r="AJ3766"/>
    </row>
    <row r="3767" spans="36:36" ht="11.25" customHeight="1">
      <c r="AJ3767"/>
    </row>
    <row r="3768" spans="36:36" ht="11.25" customHeight="1">
      <c r="AJ3768"/>
    </row>
    <row r="3769" spans="36:36" ht="11.25" customHeight="1">
      <c r="AJ3769"/>
    </row>
    <row r="3770" spans="36:36" ht="11.25" customHeight="1">
      <c r="AJ3770"/>
    </row>
    <row r="3771" spans="36:36" ht="11.25" customHeight="1">
      <c r="AJ3771"/>
    </row>
    <row r="3772" spans="36:36" ht="11.25" customHeight="1">
      <c r="AJ3772"/>
    </row>
    <row r="3773" spans="36:36" ht="11.25" customHeight="1">
      <c r="AJ3773"/>
    </row>
    <row r="3774" spans="36:36" ht="11.25" customHeight="1">
      <c r="AJ3774"/>
    </row>
    <row r="3775" spans="36:36" ht="11.25" customHeight="1">
      <c r="AJ3775"/>
    </row>
    <row r="3776" spans="36:36" ht="11.25" customHeight="1">
      <c r="AJ3776"/>
    </row>
    <row r="3777" spans="36:36" ht="11.25" customHeight="1">
      <c r="AJ3777"/>
    </row>
    <row r="3778" spans="36:36" ht="11.25" customHeight="1">
      <c r="AJ3778"/>
    </row>
    <row r="3779" spans="36:36" ht="11.25" customHeight="1">
      <c r="AJ3779"/>
    </row>
    <row r="3780" spans="36:36" ht="11.25" customHeight="1">
      <c r="AJ3780"/>
    </row>
    <row r="3781" spans="36:36" ht="11.25" customHeight="1">
      <c r="AJ3781"/>
    </row>
    <row r="3782" spans="36:36" ht="11.25" customHeight="1">
      <c r="AJ3782"/>
    </row>
    <row r="3783" spans="36:36" ht="11.25" customHeight="1">
      <c r="AJ3783"/>
    </row>
    <row r="3784" spans="36:36" ht="11.25" customHeight="1">
      <c r="AJ3784"/>
    </row>
    <row r="3785" spans="36:36" ht="11.25" customHeight="1">
      <c r="AJ3785"/>
    </row>
    <row r="3786" spans="36:36" ht="11.25" customHeight="1">
      <c r="AJ3786"/>
    </row>
    <row r="3787" spans="36:36" ht="11.25" customHeight="1">
      <c r="AJ3787"/>
    </row>
    <row r="3788" spans="36:36" ht="11.25" customHeight="1">
      <c r="AJ3788"/>
    </row>
    <row r="3789" spans="36:36" ht="11.25" customHeight="1">
      <c r="AJ3789"/>
    </row>
    <row r="3790" spans="36:36" ht="11.25" customHeight="1">
      <c r="AJ3790"/>
    </row>
    <row r="3791" spans="36:36" ht="11.25" customHeight="1">
      <c r="AJ3791"/>
    </row>
    <row r="3792" spans="36:36" ht="11.25" customHeight="1">
      <c r="AJ3792"/>
    </row>
    <row r="3793" spans="36:36" ht="11.25" customHeight="1">
      <c r="AJ3793"/>
    </row>
    <row r="3794" spans="36:36" ht="11.25" customHeight="1">
      <c r="AJ3794"/>
    </row>
    <row r="3795" spans="36:36" ht="11.25" customHeight="1">
      <c r="AJ3795"/>
    </row>
    <row r="3796" spans="36:36" ht="11.25" customHeight="1">
      <c r="AJ3796"/>
    </row>
    <row r="3797" spans="36:36" ht="11.25" customHeight="1">
      <c r="AJ3797"/>
    </row>
    <row r="3798" spans="36:36" ht="11.25" customHeight="1">
      <c r="AJ3798"/>
    </row>
    <row r="3799" spans="36:36" ht="11.25" customHeight="1">
      <c r="AJ3799"/>
    </row>
    <row r="3800" spans="36:36" ht="11.25" customHeight="1">
      <c r="AJ3800"/>
    </row>
    <row r="3801" spans="36:36" ht="11.25" customHeight="1">
      <c r="AJ3801"/>
    </row>
    <row r="3802" spans="36:36" ht="11.25" customHeight="1">
      <c r="AJ3802"/>
    </row>
    <row r="3803" spans="36:36" ht="11.25" customHeight="1">
      <c r="AJ3803"/>
    </row>
    <row r="3804" spans="36:36" ht="11.25" customHeight="1">
      <c r="AJ3804"/>
    </row>
    <row r="3805" spans="36:36" ht="11.25" customHeight="1">
      <c r="AJ3805"/>
    </row>
    <row r="3806" spans="36:36" ht="11.25" customHeight="1">
      <c r="AJ3806"/>
    </row>
    <row r="3807" spans="36:36" ht="11.25" customHeight="1">
      <c r="AJ3807"/>
    </row>
    <row r="3808" spans="36:36" ht="11.25" customHeight="1">
      <c r="AJ3808"/>
    </row>
    <row r="3809" spans="36:36" ht="11.25" customHeight="1">
      <c r="AJ3809"/>
    </row>
    <row r="3810" spans="36:36" ht="11.25" customHeight="1">
      <c r="AJ3810"/>
    </row>
    <row r="3811" spans="36:36" ht="11.25" customHeight="1">
      <c r="AJ3811"/>
    </row>
    <row r="3812" spans="36:36" ht="11.25" customHeight="1">
      <c r="AJ3812"/>
    </row>
    <row r="3813" spans="36:36" ht="11.25" customHeight="1">
      <c r="AJ3813"/>
    </row>
    <row r="3814" spans="36:36" ht="11.25" customHeight="1">
      <c r="AJ3814"/>
    </row>
    <row r="3815" spans="36:36" ht="11.25" customHeight="1">
      <c r="AJ3815"/>
    </row>
    <row r="3816" spans="36:36" ht="11.25" customHeight="1">
      <c r="AJ3816"/>
    </row>
    <row r="3817" spans="36:36" ht="11.25" customHeight="1">
      <c r="AJ3817"/>
    </row>
    <row r="3818" spans="36:36" ht="11.25" customHeight="1">
      <c r="AJ3818"/>
    </row>
    <row r="3819" spans="36:36" ht="11.25" customHeight="1">
      <c r="AJ3819"/>
    </row>
    <row r="3820" spans="36:36" ht="11.25" customHeight="1">
      <c r="AJ3820"/>
    </row>
    <row r="3821" spans="36:36" ht="11.25" customHeight="1">
      <c r="AJ3821"/>
    </row>
    <row r="3822" spans="36:36" ht="11.25" customHeight="1">
      <c r="AJ3822"/>
    </row>
    <row r="3823" spans="36:36" ht="11.25" customHeight="1">
      <c r="AJ3823"/>
    </row>
    <row r="3824" spans="36:36" ht="11.25" customHeight="1">
      <c r="AJ3824"/>
    </row>
    <row r="3825" spans="36:36" ht="11.25" customHeight="1">
      <c r="AJ3825"/>
    </row>
    <row r="3826" spans="36:36" ht="11.25" customHeight="1">
      <c r="AJ3826"/>
    </row>
    <row r="3827" spans="36:36" ht="11.25" customHeight="1">
      <c r="AJ3827"/>
    </row>
    <row r="3828" spans="36:36" ht="11.25" customHeight="1">
      <c r="AJ3828"/>
    </row>
    <row r="3829" spans="36:36" ht="11.25" customHeight="1">
      <c r="AJ3829"/>
    </row>
    <row r="3830" spans="36:36" ht="11.25" customHeight="1">
      <c r="AJ3830"/>
    </row>
    <row r="3831" spans="36:36" ht="11.25" customHeight="1">
      <c r="AJ3831"/>
    </row>
    <row r="3832" spans="36:36" ht="11.25" customHeight="1">
      <c r="AJ3832"/>
    </row>
    <row r="3833" spans="36:36" ht="11.25" customHeight="1">
      <c r="AJ3833"/>
    </row>
    <row r="3834" spans="36:36" ht="11.25" customHeight="1">
      <c r="AJ3834"/>
    </row>
    <row r="3835" spans="36:36" ht="11.25" customHeight="1">
      <c r="AJ3835"/>
    </row>
    <row r="3836" spans="36:36" ht="11.25" customHeight="1">
      <c r="AJ3836"/>
    </row>
    <row r="3837" spans="36:36" ht="11.25" customHeight="1">
      <c r="AJ3837"/>
    </row>
    <row r="3838" spans="36:36" ht="11.25" customHeight="1">
      <c r="AJ3838"/>
    </row>
    <row r="3839" spans="36:36" ht="11.25" customHeight="1">
      <c r="AJ3839"/>
    </row>
    <row r="3840" spans="36:36" ht="11.25" customHeight="1">
      <c r="AJ3840"/>
    </row>
    <row r="3841" spans="36:36" ht="11.25" customHeight="1">
      <c r="AJ3841"/>
    </row>
    <row r="3842" spans="36:36" ht="11.25" customHeight="1">
      <c r="AJ3842"/>
    </row>
    <row r="3843" spans="36:36" ht="11.25" customHeight="1">
      <c r="AJ3843"/>
    </row>
    <row r="3844" spans="36:36" ht="11.25" customHeight="1">
      <c r="AJ3844"/>
    </row>
    <row r="3845" spans="36:36" ht="11.25" customHeight="1">
      <c r="AJ3845"/>
    </row>
    <row r="3846" spans="36:36" ht="11.25" customHeight="1">
      <c r="AJ3846"/>
    </row>
    <row r="3847" spans="36:36" ht="11.25" customHeight="1">
      <c r="AJ3847"/>
    </row>
    <row r="3848" spans="36:36" ht="11.25" customHeight="1">
      <c r="AJ3848"/>
    </row>
    <row r="3849" spans="36:36" ht="11.25" customHeight="1">
      <c r="AJ3849"/>
    </row>
    <row r="3850" spans="36:36" ht="11.25" customHeight="1">
      <c r="AJ3850"/>
    </row>
    <row r="3851" spans="36:36" ht="11.25" customHeight="1">
      <c r="AJ3851"/>
    </row>
    <row r="3852" spans="36:36" ht="11.25" customHeight="1">
      <c r="AJ3852"/>
    </row>
    <row r="3853" spans="36:36" ht="11.25" customHeight="1">
      <c r="AJ3853"/>
    </row>
    <row r="3854" spans="36:36" ht="11.25" customHeight="1">
      <c r="AJ3854"/>
    </row>
    <row r="3855" spans="36:36" ht="11.25" customHeight="1">
      <c r="AJ3855"/>
    </row>
    <row r="3856" spans="36:36" ht="11.25" customHeight="1">
      <c r="AJ3856"/>
    </row>
    <row r="3857" spans="36:36" ht="11.25" customHeight="1">
      <c r="AJ3857"/>
    </row>
    <row r="3858" spans="36:36" ht="11.25" customHeight="1">
      <c r="AJ3858"/>
    </row>
    <row r="3859" spans="36:36" ht="11.25" customHeight="1">
      <c r="AJ3859"/>
    </row>
    <row r="3860" spans="36:36" ht="11.25" customHeight="1">
      <c r="AJ3860"/>
    </row>
    <row r="3861" spans="36:36" ht="11.25" customHeight="1">
      <c r="AJ3861"/>
    </row>
    <row r="3862" spans="36:36" ht="11.25" customHeight="1">
      <c r="AJ3862"/>
    </row>
    <row r="3863" spans="36:36" ht="11.25" customHeight="1">
      <c r="AJ3863"/>
    </row>
    <row r="3864" spans="36:36" ht="11.25" customHeight="1">
      <c r="AJ3864"/>
    </row>
    <row r="3865" spans="36:36" ht="11.25" customHeight="1">
      <c r="AJ3865"/>
    </row>
    <row r="3866" spans="36:36" ht="11.25" customHeight="1">
      <c r="AJ3866"/>
    </row>
    <row r="3867" spans="36:36" ht="11.25" customHeight="1">
      <c r="AJ3867"/>
    </row>
    <row r="3868" spans="36:36" ht="11.25" customHeight="1">
      <c r="AJ3868"/>
    </row>
    <row r="3869" spans="36:36" ht="11.25" customHeight="1">
      <c r="AJ3869"/>
    </row>
    <row r="3870" spans="36:36" ht="11.25" customHeight="1">
      <c r="AJ3870"/>
    </row>
    <row r="3871" spans="36:36" ht="11.25" customHeight="1">
      <c r="AJ3871"/>
    </row>
    <row r="3872" spans="36:36" ht="11.25" customHeight="1">
      <c r="AJ3872"/>
    </row>
    <row r="3873" spans="36:36" ht="11.25" customHeight="1">
      <c r="AJ3873"/>
    </row>
    <row r="3874" spans="36:36" ht="11.25" customHeight="1">
      <c r="AJ3874"/>
    </row>
    <row r="3875" spans="36:36" ht="11.25" customHeight="1">
      <c r="AJ3875"/>
    </row>
    <row r="3876" spans="36:36" ht="11.25" customHeight="1">
      <c r="AJ3876"/>
    </row>
    <row r="3877" spans="36:36" ht="11.25" customHeight="1">
      <c r="AJ3877"/>
    </row>
    <row r="3878" spans="36:36" ht="11.25" customHeight="1">
      <c r="AJ3878"/>
    </row>
    <row r="3879" spans="36:36" ht="11.25" customHeight="1">
      <c r="AJ3879"/>
    </row>
    <row r="3880" spans="36:36" ht="11.25" customHeight="1">
      <c r="AJ3880"/>
    </row>
    <row r="3881" spans="36:36" ht="11.25" customHeight="1">
      <c r="AJ3881"/>
    </row>
    <row r="3882" spans="36:36" ht="11.25" customHeight="1">
      <c r="AJ3882"/>
    </row>
    <row r="3883" spans="36:36" ht="11.25" customHeight="1">
      <c r="AJ3883"/>
    </row>
    <row r="3884" spans="36:36" ht="11.25" customHeight="1">
      <c r="AJ3884"/>
    </row>
    <row r="3885" spans="36:36" ht="11.25" customHeight="1">
      <c r="AJ3885"/>
    </row>
    <row r="3886" spans="36:36" ht="11.25" customHeight="1">
      <c r="AJ3886"/>
    </row>
    <row r="3887" spans="36:36" ht="11.25" customHeight="1">
      <c r="AJ3887"/>
    </row>
    <row r="3888" spans="36:36" ht="11.25" customHeight="1">
      <c r="AJ3888"/>
    </row>
    <row r="3889" spans="36:36" ht="11.25" customHeight="1">
      <c r="AJ3889"/>
    </row>
    <row r="3890" spans="36:36" ht="11.25" customHeight="1">
      <c r="AJ3890"/>
    </row>
    <row r="3891" spans="36:36" ht="11.25" customHeight="1">
      <c r="AJ3891"/>
    </row>
    <row r="3892" spans="36:36" ht="11.25" customHeight="1">
      <c r="AJ3892"/>
    </row>
    <row r="3893" spans="36:36" ht="11.25" customHeight="1">
      <c r="AJ3893"/>
    </row>
    <row r="3894" spans="36:36" ht="11.25" customHeight="1">
      <c r="AJ3894"/>
    </row>
    <row r="3895" spans="36:36" ht="11.25" customHeight="1">
      <c r="AJ3895"/>
    </row>
    <row r="3896" spans="36:36" ht="11.25" customHeight="1">
      <c r="AJ3896"/>
    </row>
    <row r="3897" spans="36:36" ht="11.25" customHeight="1">
      <c r="AJ3897"/>
    </row>
    <row r="3898" spans="36:36" ht="11.25" customHeight="1">
      <c r="AJ3898"/>
    </row>
    <row r="3899" spans="36:36" ht="11.25" customHeight="1">
      <c r="AJ3899"/>
    </row>
    <row r="3900" spans="36:36" ht="11.25" customHeight="1">
      <c r="AJ3900"/>
    </row>
    <row r="3901" spans="36:36" ht="11.25" customHeight="1">
      <c r="AJ3901"/>
    </row>
    <row r="3902" spans="36:36" ht="11.25" customHeight="1">
      <c r="AJ3902"/>
    </row>
    <row r="3903" spans="36:36" ht="11.25" customHeight="1">
      <c r="AJ3903"/>
    </row>
    <row r="3904" spans="36:36" ht="11.25" customHeight="1">
      <c r="AJ3904"/>
    </row>
    <row r="3905" spans="36:36" ht="11.25" customHeight="1">
      <c r="AJ3905"/>
    </row>
    <row r="3906" spans="36:36" ht="11.25" customHeight="1">
      <c r="AJ3906"/>
    </row>
    <row r="3907" spans="36:36" ht="11.25" customHeight="1">
      <c r="AJ3907"/>
    </row>
    <row r="3908" spans="36:36" ht="11.25" customHeight="1">
      <c r="AJ3908"/>
    </row>
    <row r="3909" spans="36:36" ht="11.25" customHeight="1">
      <c r="AJ3909"/>
    </row>
    <row r="3910" spans="36:36" ht="11.25" customHeight="1">
      <c r="AJ3910"/>
    </row>
    <row r="3911" spans="36:36" ht="11.25" customHeight="1">
      <c r="AJ3911"/>
    </row>
    <row r="3912" spans="36:36" ht="11.25" customHeight="1">
      <c r="AJ3912"/>
    </row>
    <row r="3913" spans="36:36" ht="11.25" customHeight="1">
      <c r="AJ3913"/>
    </row>
    <row r="3914" spans="36:36" ht="11.25" customHeight="1">
      <c r="AJ3914"/>
    </row>
    <row r="3915" spans="36:36" ht="11.25" customHeight="1">
      <c r="AJ3915"/>
    </row>
    <row r="3916" spans="36:36" ht="11.25" customHeight="1">
      <c r="AJ3916"/>
    </row>
    <row r="3917" spans="36:36" ht="11.25" customHeight="1">
      <c r="AJ3917"/>
    </row>
    <row r="3918" spans="36:36" ht="11.25" customHeight="1">
      <c r="AJ3918"/>
    </row>
    <row r="3919" spans="36:36" ht="11.25" customHeight="1">
      <c r="AJ3919"/>
    </row>
    <row r="3920" spans="36:36" ht="11.25" customHeight="1">
      <c r="AJ3920"/>
    </row>
    <row r="3921" spans="36:36" ht="11.25" customHeight="1">
      <c r="AJ3921"/>
    </row>
    <row r="3922" spans="36:36" ht="11.25" customHeight="1">
      <c r="AJ3922"/>
    </row>
    <row r="3923" spans="36:36" ht="11.25" customHeight="1">
      <c r="AJ3923"/>
    </row>
    <row r="3924" spans="36:36" ht="11.25" customHeight="1">
      <c r="AJ3924"/>
    </row>
    <row r="3925" spans="36:36" ht="11.25" customHeight="1">
      <c r="AJ3925"/>
    </row>
    <row r="3926" spans="36:36" ht="11.25" customHeight="1">
      <c r="AJ3926"/>
    </row>
    <row r="3927" spans="36:36" ht="11.25" customHeight="1">
      <c r="AJ3927"/>
    </row>
    <row r="3928" spans="36:36" ht="11.25" customHeight="1">
      <c r="AJ3928"/>
    </row>
    <row r="3929" spans="36:36" ht="11.25" customHeight="1">
      <c r="AJ3929"/>
    </row>
    <row r="3930" spans="36:36" ht="11.25" customHeight="1">
      <c r="AJ3930"/>
    </row>
    <row r="3931" spans="36:36" ht="11.25" customHeight="1">
      <c r="AJ3931"/>
    </row>
    <row r="3932" spans="36:36" ht="11.25" customHeight="1">
      <c r="AJ3932"/>
    </row>
    <row r="3933" spans="36:36" ht="11.25" customHeight="1">
      <c r="AJ3933"/>
    </row>
    <row r="3934" spans="36:36" ht="11.25" customHeight="1">
      <c r="AJ3934"/>
    </row>
    <row r="3935" spans="36:36" ht="11.25" customHeight="1">
      <c r="AJ3935"/>
    </row>
    <row r="3936" spans="36:36" ht="11.25" customHeight="1">
      <c r="AJ3936"/>
    </row>
    <row r="3937" spans="36:36" ht="11.25" customHeight="1">
      <c r="AJ3937"/>
    </row>
    <row r="3938" spans="36:36" ht="11.25" customHeight="1">
      <c r="AJ3938"/>
    </row>
    <row r="3939" spans="36:36" ht="11.25" customHeight="1">
      <c r="AJ3939"/>
    </row>
    <row r="3940" spans="36:36" ht="11.25" customHeight="1">
      <c r="AJ3940"/>
    </row>
    <row r="3941" spans="36:36" ht="11.25" customHeight="1">
      <c r="AJ3941"/>
    </row>
    <row r="3942" spans="36:36" ht="11.25" customHeight="1">
      <c r="AJ3942"/>
    </row>
    <row r="3943" spans="36:36" ht="11.25" customHeight="1">
      <c r="AJ3943"/>
    </row>
    <row r="3944" spans="36:36" ht="11.25" customHeight="1">
      <c r="AJ3944"/>
    </row>
    <row r="3945" spans="36:36" ht="11.25" customHeight="1">
      <c r="AJ3945"/>
    </row>
    <row r="3946" spans="36:36" ht="11.25" customHeight="1">
      <c r="AJ3946"/>
    </row>
    <row r="3947" spans="36:36" ht="11.25" customHeight="1">
      <c r="AJ3947"/>
    </row>
    <row r="3948" spans="36:36" ht="11.25" customHeight="1">
      <c r="AJ3948"/>
    </row>
    <row r="3949" spans="36:36" ht="11.25" customHeight="1">
      <c r="AJ3949"/>
    </row>
    <row r="3950" spans="36:36" ht="11.25" customHeight="1">
      <c r="AJ3950"/>
    </row>
    <row r="3951" spans="36:36" ht="11.25" customHeight="1">
      <c r="AJ3951"/>
    </row>
    <row r="3952" spans="36:36" ht="11.25" customHeight="1">
      <c r="AJ3952"/>
    </row>
    <row r="3953" spans="36:36" ht="11.25" customHeight="1">
      <c r="AJ3953"/>
    </row>
    <row r="3954" spans="36:36" ht="11.25" customHeight="1">
      <c r="AJ3954"/>
    </row>
    <row r="3955" spans="36:36" ht="11.25" customHeight="1">
      <c r="AJ3955"/>
    </row>
    <row r="3956" spans="36:36" ht="11.25" customHeight="1">
      <c r="AJ3956"/>
    </row>
    <row r="3957" spans="36:36" ht="11.25" customHeight="1">
      <c r="AJ3957"/>
    </row>
    <row r="3958" spans="36:36" ht="11.25" customHeight="1">
      <c r="AJ3958"/>
    </row>
    <row r="3959" spans="36:36" ht="11.25" customHeight="1">
      <c r="AJ3959"/>
    </row>
    <row r="3960" spans="36:36" ht="11.25" customHeight="1">
      <c r="AJ3960"/>
    </row>
    <row r="3961" spans="36:36" ht="11.25" customHeight="1">
      <c r="AJ3961"/>
    </row>
    <row r="3962" spans="36:36" ht="11.25" customHeight="1">
      <c r="AJ3962"/>
    </row>
    <row r="3963" spans="36:36" ht="11.25" customHeight="1">
      <c r="AJ3963"/>
    </row>
    <row r="3964" spans="36:36" ht="11.25" customHeight="1">
      <c r="AJ3964"/>
    </row>
    <row r="3965" spans="36:36" ht="11.25" customHeight="1">
      <c r="AJ3965"/>
    </row>
    <row r="3966" spans="36:36" ht="11.25" customHeight="1">
      <c r="AJ3966"/>
    </row>
    <row r="3967" spans="36:36" ht="11.25" customHeight="1">
      <c r="AJ3967"/>
    </row>
    <row r="3968" spans="36:36" ht="11.25" customHeight="1">
      <c r="AJ3968"/>
    </row>
    <row r="3969" spans="36:36" ht="11.25" customHeight="1">
      <c r="AJ3969"/>
    </row>
    <row r="3970" spans="36:36" ht="11.25" customHeight="1">
      <c r="AJ3970"/>
    </row>
    <row r="3971" spans="36:36" ht="11.25" customHeight="1">
      <c r="AJ3971"/>
    </row>
    <row r="3972" spans="36:36" ht="11.25" customHeight="1">
      <c r="AJ3972"/>
    </row>
    <row r="3973" spans="36:36" ht="11.25" customHeight="1">
      <c r="AJ3973"/>
    </row>
    <row r="3974" spans="36:36" ht="11.25" customHeight="1">
      <c r="AJ3974"/>
    </row>
    <row r="3975" spans="36:36" ht="11.25" customHeight="1">
      <c r="AJ3975"/>
    </row>
    <row r="3976" spans="36:36" ht="11.25" customHeight="1">
      <c r="AJ3976"/>
    </row>
    <row r="3977" spans="36:36" ht="11.25" customHeight="1">
      <c r="AJ3977"/>
    </row>
    <row r="3978" spans="36:36" ht="11.25" customHeight="1">
      <c r="AJ3978"/>
    </row>
    <row r="3979" spans="36:36" ht="11.25" customHeight="1">
      <c r="AJ3979"/>
    </row>
    <row r="3980" spans="36:36" ht="11.25" customHeight="1">
      <c r="AJ3980"/>
    </row>
    <row r="3981" spans="36:36" ht="11.25" customHeight="1">
      <c r="AJ3981"/>
    </row>
    <row r="3982" spans="36:36" ht="11.25" customHeight="1">
      <c r="AJ3982"/>
    </row>
    <row r="3983" spans="36:36" ht="11.25" customHeight="1">
      <c r="AJ3983"/>
    </row>
    <row r="3984" spans="36:36" ht="11.25" customHeight="1">
      <c r="AJ3984"/>
    </row>
    <row r="3985" spans="36:36" ht="11.25" customHeight="1">
      <c r="AJ3985"/>
    </row>
    <row r="3986" spans="36:36" ht="11.25" customHeight="1">
      <c r="AJ3986"/>
    </row>
    <row r="3987" spans="36:36" ht="11.25" customHeight="1">
      <c r="AJ3987"/>
    </row>
    <row r="3988" spans="36:36" ht="11.25" customHeight="1">
      <c r="AJ3988"/>
    </row>
    <row r="3989" spans="36:36" ht="11.25" customHeight="1">
      <c r="AJ3989"/>
    </row>
    <row r="3990" spans="36:36" ht="11.25" customHeight="1">
      <c r="AJ3990"/>
    </row>
    <row r="3991" spans="36:36" ht="11.25" customHeight="1">
      <c r="AJ3991"/>
    </row>
    <row r="3992" spans="36:36" ht="11.25" customHeight="1">
      <c r="AJ3992"/>
    </row>
    <row r="3993" spans="36:36" ht="11.25" customHeight="1">
      <c r="AJ3993"/>
    </row>
    <row r="3994" spans="36:36" ht="11.25" customHeight="1">
      <c r="AJ3994"/>
    </row>
    <row r="3995" spans="36:36" ht="11.25" customHeight="1">
      <c r="AJ3995"/>
    </row>
    <row r="3996" spans="36:36" ht="11.25" customHeight="1">
      <c r="AJ3996"/>
    </row>
    <row r="3997" spans="36:36" ht="11.25" customHeight="1">
      <c r="AJ3997"/>
    </row>
    <row r="3998" spans="36:36" ht="11.25" customHeight="1">
      <c r="AJ3998"/>
    </row>
    <row r="3999" spans="36:36" ht="11.25" customHeight="1">
      <c r="AJ3999"/>
    </row>
    <row r="4000" spans="36:36" ht="11.25" customHeight="1">
      <c r="AJ4000"/>
    </row>
    <row r="4001" spans="36:36" ht="11.25" customHeight="1">
      <c r="AJ4001"/>
    </row>
    <row r="4002" spans="36:36" ht="11.25" customHeight="1">
      <c r="AJ4002"/>
    </row>
    <row r="4003" spans="36:36" ht="11.25" customHeight="1">
      <c r="AJ4003"/>
    </row>
    <row r="4004" spans="36:36" ht="11.25" customHeight="1">
      <c r="AJ4004"/>
    </row>
    <row r="4005" spans="36:36" ht="11.25" customHeight="1">
      <c r="AJ4005"/>
    </row>
    <row r="4006" spans="36:36" ht="11.25" customHeight="1">
      <c r="AJ4006"/>
    </row>
    <row r="4007" spans="36:36" ht="11.25" customHeight="1">
      <c r="AJ4007"/>
    </row>
    <row r="4008" spans="36:36" ht="11.25" customHeight="1">
      <c r="AJ4008"/>
    </row>
    <row r="4009" spans="36:36" ht="11.25" customHeight="1">
      <c r="AJ4009"/>
    </row>
    <row r="4010" spans="36:36" ht="11.25" customHeight="1">
      <c r="AJ4010"/>
    </row>
    <row r="4011" spans="36:36" ht="11.25" customHeight="1">
      <c r="AJ4011"/>
    </row>
    <row r="4012" spans="36:36" ht="11.25" customHeight="1">
      <c r="AJ4012"/>
    </row>
    <row r="4013" spans="36:36" ht="11.25" customHeight="1">
      <c r="AJ4013"/>
    </row>
    <row r="4014" spans="36:36" ht="11.25" customHeight="1">
      <c r="AJ4014"/>
    </row>
    <row r="4015" spans="36:36" ht="11.25" customHeight="1">
      <c r="AJ4015"/>
    </row>
    <row r="4016" spans="36:36" ht="11.25" customHeight="1">
      <c r="AJ4016"/>
    </row>
    <row r="4017" spans="36:36" ht="11.25" customHeight="1">
      <c r="AJ4017"/>
    </row>
    <row r="4018" spans="36:36" ht="11.25" customHeight="1">
      <c r="AJ4018"/>
    </row>
    <row r="4019" spans="36:36" ht="11.25" customHeight="1">
      <c r="AJ4019"/>
    </row>
    <row r="4020" spans="36:36" ht="11.25" customHeight="1">
      <c r="AJ4020"/>
    </row>
    <row r="4021" spans="36:36" ht="11.25" customHeight="1">
      <c r="AJ4021"/>
    </row>
    <row r="4022" spans="36:36" ht="11.25" customHeight="1">
      <c r="AJ4022"/>
    </row>
    <row r="4023" spans="36:36" ht="11.25" customHeight="1">
      <c r="AJ4023"/>
    </row>
    <row r="4024" spans="36:36" ht="11.25" customHeight="1">
      <c r="AJ4024"/>
    </row>
    <row r="4025" spans="36:36" ht="11.25" customHeight="1">
      <c r="AJ4025"/>
    </row>
    <row r="4026" spans="36:36" ht="11.25" customHeight="1">
      <c r="AJ4026"/>
    </row>
    <row r="4027" spans="36:36" ht="11.25" customHeight="1">
      <c r="AJ4027"/>
    </row>
    <row r="4028" spans="36:36" ht="11.25" customHeight="1">
      <c r="AJ4028"/>
    </row>
    <row r="4029" spans="36:36" ht="11.25" customHeight="1">
      <c r="AJ4029"/>
    </row>
    <row r="4030" spans="36:36" ht="11.25" customHeight="1">
      <c r="AJ4030"/>
    </row>
    <row r="4031" spans="36:36" ht="11.25" customHeight="1">
      <c r="AJ4031"/>
    </row>
    <row r="4032" spans="36:36" ht="11.25" customHeight="1">
      <c r="AJ4032"/>
    </row>
    <row r="4033" spans="36:36" ht="11.25" customHeight="1">
      <c r="AJ4033"/>
    </row>
    <row r="4034" spans="36:36" ht="11.25" customHeight="1">
      <c r="AJ4034"/>
    </row>
    <row r="4035" spans="36:36" ht="11.25" customHeight="1">
      <c r="AJ4035"/>
    </row>
    <row r="4036" spans="36:36" ht="11.25" customHeight="1">
      <c r="AJ4036"/>
    </row>
    <row r="4037" spans="36:36" ht="11.25" customHeight="1">
      <c r="AJ4037"/>
    </row>
    <row r="4038" spans="36:36" ht="11.25" customHeight="1">
      <c r="AJ4038"/>
    </row>
    <row r="4039" spans="36:36" ht="11.25" customHeight="1">
      <c r="AJ4039"/>
    </row>
    <row r="4040" spans="36:36" ht="11.25" customHeight="1">
      <c r="AJ4040"/>
    </row>
    <row r="4041" spans="36:36" ht="11.25" customHeight="1">
      <c r="AJ4041"/>
    </row>
    <row r="4042" spans="36:36" ht="11.25" customHeight="1">
      <c r="AJ4042"/>
    </row>
    <row r="4043" spans="36:36" ht="11.25" customHeight="1">
      <c r="AJ4043"/>
    </row>
    <row r="4044" spans="36:36" ht="11.25" customHeight="1">
      <c r="AJ4044"/>
    </row>
    <row r="4045" spans="36:36" ht="11.25" customHeight="1">
      <c r="AJ4045"/>
    </row>
    <row r="4046" spans="36:36" ht="11.25" customHeight="1">
      <c r="AJ4046"/>
    </row>
    <row r="4047" spans="36:36" ht="11.25" customHeight="1">
      <c r="AJ4047"/>
    </row>
    <row r="4048" spans="36:36" ht="11.25" customHeight="1">
      <c r="AJ4048"/>
    </row>
    <row r="4049" spans="36:36" ht="11.25" customHeight="1">
      <c r="AJ4049"/>
    </row>
    <row r="4050" spans="36:36" ht="11.25" customHeight="1">
      <c r="AJ4050"/>
    </row>
    <row r="4051" spans="36:36" ht="11.25" customHeight="1">
      <c r="AJ4051"/>
    </row>
    <row r="4052" spans="36:36" ht="11.25" customHeight="1">
      <c r="AJ4052"/>
    </row>
    <row r="4053" spans="36:36" ht="11.25" customHeight="1">
      <c r="AJ4053"/>
    </row>
    <row r="4054" spans="36:36" ht="11.25" customHeight="1">
      <c r="AJ4054"/>
    </row>
    <row r="4055" spans="36:36" ht="11.25" customHeight="1">
      <c r="AJ4055"/>
    </row>
    <row r="4056" spans="36:36" ht="11.25" customHeight="1">
      <c r="AJ4056"/>
    </row>
    <row r="4057" spans="36:36" ht="11.25" customHeight="1">
      <c r="AJ4057"/>
    </row>
    <row r="4058" spans="36:36" ht="11.25" customHeight="1">
      <c r="AJ4058"/>
    </row>
    <row r="4059" spans="36:36" ht="11.25" customHeight="1">
      <c r="AJ4059"/>
    </row>
    <row r="4060" spans="36:36" ht="11.25" customHeight="1">
      <c r="AJ4060"/>
    </row>
    <row r="4061" spans="36:36" ht="11.25" customHeight="1">
      <c r="AJ4061"/>
    </row>
    <row r="4062" spans="36:36" ht="11.25" customHeight="1">
      <c r="AJ4062"/>
    </row>
    <row r="4063" spans="36:36" ht="11.25" customHeight="1">
      <c r="AJ4063"/>
    </row>
    <row r="4064" spans="36:36" ht="11.25" customHeight="1">
      <c r="AJ4064"/>
    </row>
    <row r="4065" spans="36:36" ht="11.25" customHeight="1">
      <c r="AJ4065"/>
    </row>
    <row r="4066" spans="36:36" ht="11.25" customHeight="1">
      <c r="AJ4066"/>
    </row>
    <row r="4067" spans="36:36" ht="11.25" customHeight="1">
      <c r="AJ4067"/>
    </row>
    <row r="4068" spans="36:36" ht="11.25" customHeight="1">
      <c r="AJ4068"/>
    </row>
    <row r="4069" spans="36:36" ht="11.25" customHeight="1">
      <c r="AJ4069"/>
    </row>
    <row r="4070" spans="36:36" ht="11.25" customHeight="1">
      <c r="AJ4070"/>
    </row>
    <row r="4071" spans="36:36" ht="11.25" customHeight="1">
      <c r="AJ4071"/>
    </row>
    <row r="4072" spans="36:36" ht="11.25" customHeight="1">
      <c r="AJ4072"/>
    </row>
    <row r="4073" spans="36:36" ht="11.25" customHeight="1">
      <c r="AJ4073"/>
    </row>
    <row r="4074" spans="36:36" ht="11.25" customHeight="1">
      <c r="AJ4074"/>
    </row>
    <row r="4075" spans="36:36" ht="11.25" customHeight="1">
      <c r="AJ4075"/>
    </row>
    <row r="4076" spans="36:36" ht="11.25" customHeight="1">
      <c r="AJ4076"/>
    </row>
    <row r="4077" spans="36:36" ht="11.25" customHeight="1">
      <c r="AJ4077"/>
    </row>
    <row r="4078" spans="36:36" ht="11.25" customHeight="1">
      <c r="AJ4078"/>
    </row>
    <row r="4079" spans="36:36" ht="11.25" customHeight="1">
      <c r="AJ4079"/>
    </row>
    <row r="4080" spans="36:36" ht="11.25" customHeight="1">
      <c r="AJ4080"/>
    </row>
    <row r="4081" spans="36:36" ht="11.25" customHeight="1">
      <c r="AJ4081"/>
    </row>
    <row r="4082" spans="36:36" ht="11.25" customHeight="1">
      <c r="AJ4082"/>
    </row>
    <row r="4083" spans="36:36" ht="11.25" customHeight="1">
      <c r="AJ4083"/>
    </row>
    <row r="4084" spans="36:36" ht="11.25" customHeight="1">
      <c r="AJ4084"/>
    </row>
    <row r="4085" spans="36:36" ht="11.25" customHeight="1">
      <c r="AJ4085"/>
    </row>
    <row r="4086" spans="36:36" ht="11.25" customHeight="1">
      <c r="AJ4086"/>
    </row>
    <row r="4087" spans="36:36" ht="11.25" customHeight="1">
      <c r="AJ4087"/>
    </row>
    <row r="4088" spans="36:36" ht="11.25" customHeight="1">
      <c r="AJ4088"/>
    </row>
    <row r="4089" spans="36:36" ht="11.25" customHeight="1">
      <c r="AJ4089"/>
    </row>
    <row r="4090" spans="36:36" ht="11.25" customHeight="1">
      <c r="AJ4090"/>
    </row>
    <row r="4091" spans="36:36" ht="11.25" customHeight="1">
      <c r="AJ4091"/>
    </row>
    <row r="4092" spans="36:36" ht="11.25" customHeight="1">
      <c r="AJ4092"/>
    </row>
    <row r="4093" spans="36:36" ht="11.25" customHeight="1">
      <c r="AJ4093"/>
    </row>
    <row r="4094" spans="36:36" ht="11.25" customHeight="1">
      <c r="AJ4094"/>
    </row>
    <row r="4095" spans="36:36" ht="11.25" customHeight="1">
      <c r="AJ4095"/>
    </row>
    <row r="4096" spans="36:36" ht="11.25" customHeight="1">
      <c r="AJ4096"/>
    </row>
    <row r="4097" spans="36:36" ht="11.25" customHeight="1">
      <c r="AJ4097"/>
    </row>
    <row r="4098" spans="36:36" ht="11.25" customHeight="1">
      <c r="AJ4098"/>
    </row>
    <row r="4099" spans="36:36" ht="11.25" customHeight="1">
      <c r="AJ4099"/>
    </row>
    <row r="4100" spans="36:36" ht="11.25" customHeight="1">
      <c r="AJ4100"/>
    </row>
    <row r="4101" spans="36:36" ht="11.25" customHeight="1">
      <c r="AJ4101"/>
    </row>
    <row r="4102" spans="36:36" ht="11.25" customHeight="1">
      <c r="AJ4102"/>
    </row>
    <row r="4103" spans="36:36" ht="11.25" customHeight="1">
      <c r="AJ4103"/>
    </row>
    <row r="4104" spans="36:36" ht="11.25" customHeight="1">
      <c r="AJ4104"/>
    </row>
    <row r="4105" spans="36:36" ht="11.25" customHeight="1">
      <c r="AJ4105"/>
    </row>
    <row r="4106" spans="36:36" ht="11.25" customHeight="1">
      <c r="AJ4106"/>
    </row>
    <row r="4107" spans="36:36" ht="11.25" customHeight="1">
      <c r="AJ4107"/>
    </row>
    <row r="4108" spans="36:36" ht="11.25" customHeight="1">
      <c r="AJ4108"/>
    </row>
    <row r="4109" spans="36:36" ht="11.25" customHeight="1">
      <c r="AJ4109"/>
    </row>
    <row r="4110" spans="36:36" ht="11.25" customHeight="1">
      <c r="AJ4110"/>
    </row>
    <row r="4111" spans="36:36" ht="11.25" customHeight="1">
      <c r="AJ4111"/>
    </row>
    <row r="4112" spans="36:36" ht="11.25" customHeight="1">
      <c r="AJ4112"/>
    </row>
    <row r="4113" spans="36:36" ht="11.25" customHeight="1">
      <c r="AJ4113"/>
    </row>
    <row r="4114" spans="36:36" ht="11.25" customHeight="1">
      <c r="AJ4114"/>
    </row>
    <row r="4115" spans="36:36" ht="11.25" customHeight="1">
      <c r="AJ4115"/>
    </row>
    <row r="4116" spans="36:36" ht="11.25" customHeight="1">
      <c r="AJ4116"/>
    </row>
    <row r="4117" spans="36:36" ht="11.25" customHeight="1">
      <c r="AJ4117"/>
    </row>
    <row r="4118" spans="36:36" ht="11.25" customHeight="1">
      <c r="AJ4118"/>
    </row>
    <row r="4119" spans="36:36" ht="11.25" customHeight="1">
      <c r="AJ4119"/>
    </row>
    <row r="4120" spans="36:36" ht="11.25" customHeight="1">
      <c r="AJ4120"/>
    </row>
    <row r="4121" spans="36:36" ht="11.25" customHeight="1">
      <c r="AJ4121"/>
    </row>
    <row r="4122" spans="36:36" ht="11.25" customHeight="1">
      <c r="AJ4122"/>
    </row>
    <row r="4123" spans="36:36" ht="11.25" customHeight="1">
      <c r="AJ4123"/>
    </row>
    <row r="4124" spans="36:36" ht="11.25" customHeight="1">
      <c r="AJ4124"/>
    </row>
    <row r="4125" spans="36:36" ht="11.25" customHeight="1">
      <c r="AJ4125"/>
    </row>
    <row r="4126" spans="36:36" ht="11.25" customHeight="1">
      <c r="AJ4126"/>
    </row>
    <row r="4127" spans="36:36" ht="11.25" customHeight="1">
      <c r="AJ4127"/>
    </row>
    <row r="4128" spans="36:36" ht="11.25" customHeight="1">
      <c r="AJ4128"/>
    </row>
    <row r="4129" spans="36:36" ht="11.25" customHeight="1">
      <c r="AJ4129"/>
    </row>
    <row r="4130" spans="36:36" ht="11.25" customHeight="1">
      <c r="AJ4130"/>
    </row>
    <row r="4131" spans="36:36" ht="11.25" customHeight="1">
      <c r="AJ4131"/>
    </row>
    <row r="4132" spans="36:36" ht="11.25" customHeight="1">
      <c r="AJ4132"/>
    </row>
    <row r="4133" spans="36:36" ht="11.25" customHeight="1">
      <c r="AJ4133"/>
    </row>
    <row r="4134" spans="36:36" ht="11.25" customHeight="1">
      <c r="AJ4134"/>
    </row>
    <row r="4135" spans="36:36" ht="11.25" customHeight="1">
      <c r="AJ4135"/>
    </row>
    <row r="4136" spans="36:36" ht="11.25" customHeight="1">
      <c r="AJ4136"/>
    </row>
    <row r="4137" spans="36:36" ht="11.25" customHeight="1">
      <c r="AJ4137"/>
    </row>
    <row r="4138" spans="36:36" ht="11.25" customHeight="1">
      <c r="AJ4138"/>
    </row>
    <row r="4139" spans="36:36" ht="11.25" customHeight="1">
      <c r="AJ4139"/>
    </row>
    <row r="4140" spans="36:36" ht="11.25" customHeight="1">
      <c r="AJ4140"/>
    </row>
    <row r="4141" spans="36:36" ht="11.25" customHeight="1">
      <c r="AJ4141"/>
    </row>
    <row r="4142" spans="36:36" ht="11.25" customHeight="1">
      <c r="AJ4142"/>
    </row>
    <row r="4143" spans="36:36" ht="11.25" customHeight="1">
      <c r="AJ4143"/>
    </row>
    <row r="4144" spans="36:36" ht="11.25" customHeight="1">
      <c r="AJ4144"/>
    </row>
    <row r="4145" spans="36:36" ht="11.25" customHeight="1">
      <c r="AJ4145"/>
    </row>
    <row r="4146" spans="36:36" ht="11.25" customHeight="1">
      <c r="AJ4146"/>
    </row>
    <row r="4147" spans="36:36" ht="11.25" customHeight="1">
      <c r="AJ4147"/>
    </row>
    <row r="4148" spans="36:36" ht="11.25" customHeight="1">
      <c r="AJ4148"/>
    </row>
    <row r="4149" spans="36:36" ht="11.25" customHeight="1">
      <c r="AJ4149"/>
    </row>
    <row r="4150" spans="36:36" ht="11.25" customHeight="1">
      <c r="AJ4150"/>
    </row>
    <row r="4151" spans="36:36" ht="11.25" customHeight="1">
      <c r="AJ4151"/>
    </row>
    <row r="4152" spans="36:36" ht="11.25" customHeight="1">
      <c r="AJ4152"/>
    </row>
    <row r="4153" spans="36:36" ht="11.25" customHeight="1">
      <c r="AJ4153"/>
    </row>
    <row r="4154" spans="36:36" ht="11.25" customHeight="1">
      <c r="AJ4154"/>
    </row>
    <row r="4155" spans="36:36" ht="11.25" customHeight="1">
      <c r="AJ4155"/>
    </row>
    <row r="4156" spans="36:36" ht="11.25" customHeight="1">
      <c r="AJ4156"/>
    </row>
    <row r="4157" spans="36:36" ht="11.25" customHeight="1">
      <c r="AJ4157"/>
    </row>
    <row r="4158" spans="36:36" ht="11.25" customHeight="1">
      <c r="AJ4158"/>
    </row>
    <row r="4159" spans="36:36" ht="11.25" customHeight="1">
      <c r="AJ4159"/>
    </row>
    <row r="4160" spans="36:36" ht="11.25" customHeight="1">
      <c r="AJ4160"/>
    </row>
    <row r="4161" spans="36:36" ht="11.25" customHeight="1">
      <c r="AJ4161"/>
    </row>
    <row r="4162" spans="36:36" ht="11.25" customHeight="1">
      <c r="AJ4162"/>
    </row>
    <row r="4163" spans="36:36" ht="11.25" customHeight="1">
      <c r="AJ4163"/>
    </row>
    <row r="4164" spans="36:36" ht="11.25" customHeight="1">
      <c r="AJ4164"/>
    </row>
    <row r="4165" spans="36:36" ht="11.25" customHeight="1">
      <c r="AJ4165"/>
    </row>
    <row r="4166" spans="36:36" ht="11.25" customHeight="1">
      <c r="AJ4166"/>
    </row>
    <row r="4167" spans="36:36" ht="11.25" customHeight="1">
      <c r="AJ4167"/>
    </row>
    <row r="4168" spans="36:36" ht="11.25" customHeight="1">
      <c r="AJ4168"/>
    </row>
    <row r="4169" spans="36:36" ht="11.25" customHeight="1">
      <c r="AJ4169"/>
    </row>
    <row r="4170" spans="36:36" ht="11.25" customHeight="1">
      <c r="AJ4170"/>
    </row>
    <row r="4171" spans="36:36" ht="11.25" customHeight="1">
      <c r="AJ4171"/>
    </row>
    <row r="4172" spans="36:36" ht="11.25" customHeight="1">
      <c r="AJ4172"/>
    </row>
    <row r="4173" spans="36:36" ht="11.25" customHeight="1">
      <c r="AJ4173"/>
    </row>
    <row r="4174" spans="36:36" ht="11.25" customHeight="1">
      <c r="AJ4174"/>
    </row>
    <row r="4175" spans="36:36" ht="11.25" customHeight="1">
      <c r="AJ4175"/>
    </row>
    <row r="4176" spans="36:36" ht="11.25" customHeight="1">
      <c r="AJ4176"/>
    </row>
    <row r="4177" spans="36:36" ht="11.25" customHeight="1">
      <c r="AJ4177"/>
    </row>
    <row r="4178" spans="36:36" ht="11.25" customHeight="1">
      <c r="AJ4178"/>
    </row>
    <row r="4179" spans="36:36" ht="11.25" customHeight="1">
      <c r="AJ4179"/>
    </row>
    <row r="4180" spans="36:36" ht="11.25" customHeight="1">
      <c r="AJ4180"/>
    </row>
    <row r="4181" spans="36:36" ht="11.25" customHeight="1">
      <c r="AJ4181"/>
    </row>
    <row r="4182" spans="36:36" ht="11.25" customHeight="1">
      <c r="AJ4182"/>
    </row>
    <row r="4183" spans="36:36" ht="11.25" customHeight="1">
      <c r="AJ4183"/>
    </row>
    <row r="4184" spans="36:36" ht="11.25" customHeight="1">
      <c r="AJ4184"/>
    </row>
    <row r="4185" spans="36:36" ht="11.25" customHeight="1">
      <c r="AJ4185"/>
    </row>
    <row r="4186" spans="36:36" ht="11.25" customHeight="1">
      <c r="AJ4186"/>
    </row>
    <row r="4187" spans="36:36" ht="11.25" customHeight="1">
      <c r="AJ4187"/>
    </row>
    <row r="4188" spans="36:36" ht="11.25" customHeight="1">
      <c r="AJ4188"/>
    </row>
    <row r="4189" spans="36:36" ht="11.25" customHeight="1">
      <c r="AJ4189"/>
    </row>
    <row r="4190" spans="36:36" ht="11.25" customHeight="1">
      <c r="AJ4190"/>
    </row>
    <row r="4191" spans="36:36" ht="11.25" customHeight="1">
      <c r="AJ4191"/>
    </row>
    <row r="4192" spans="36:36" ht="11.25" customHeight="1">
      <c r="AJ4192"/>
    </row>
    <row r="4193" spans="36:36" ht="11.25" customHeight="1">
      <c r="AJ4193"/>
    </row>
    <row r="4194" spans="36:36" ht="11.25" customHeight="1">
      <c r="AJ4194"/>
    </row>
    <row r="4195" spans="36:36" ht="11.25" customHeight="1">
      <c r="AJ4195"/>
    </row>
    <row r="4196" spans="36:36" ht="11.25" customHeight="1">
      <c r="AJ4196"/>
    </row>
    <row r="4197" spans="36:36" ht="11.25" customHeight="1">
      <c r="AJ4197"/>
    </row>
    <row r="4198" spans="36:36" ht="11.25" customHeight="1">
      <c r="AJ4198"/>
    </row>
    <row r="4199" spans="36:36" ht="11.25" customHeight="1">
      <c r="AJ4199"/>
    </row>
    <row r="4200" spans="36:36" ht="11.25" customHeight="1">
      <c r="AJ4200"/>
    </row>
    <row r="4201" spans="36:36" ht="11.25" customHeight="1">
      <c r="AJ4201"/>
    </row>
    <row r="4202" spans="36:36" ht="11.25" customHeight="1">
      <c r="AJ4202"/>
    </row>
    <row r="4203" spans="36:36" ht="11.25" customHeight="1">
      <c r="AJ4203"/>
    </row>
    <row r="4204" spans="36:36" ht="11.25" customHeight="1">
      <c r="AJ4204"/>
    </row>
    <row r="4205" spans="36:36" ht="11.25" customHeight="1">
      <c r="AJ4205"/>
    </row>
    <row r="4206" spans="36:36" ht="11.25" customHeight="1">
      <c r="AJ4206"/>
    </row>
    <row r="4207" spans="36:36" ht="11.25" customHeight="1">
      <c r="AJ4207"/>
    </row>
    <row r="4208" spans="36:36" ht="11.25" customHeight="1">
      <c r="AJ4208"/>
    </row>
    <row r="4209" spans="36:36" ht="11.25" customHeight="1">
      <c r="AJ4209"/>
    </row>
    <row r="4210" spans="36:36" ht="11.25" customHeight="1">
      <c r="AJ4210"/>
    </row>
    <row r="4211" spans="36:36" ht="11.25" customHeight="1">
      <c r="AJ4211"/>
    </row>
    <row r="4212" spans="36:36" ht="11.25" customHeight="1">
      <c r="AJ4212"/>
    </row>
    <row r="4213" spans="36:36" ht="11.25" customHeight="1">
      <c r="AJ4213"/>
    </row>
    <row r="4214" spans="36:36" ht="11.25" customHeight="1">
      <c r="AJ4214"/>
    </row>
    <row r="4215" spans="36:36" ht="11.25" customHeight="1">
      <c r="AJ4215"/>
    </row>
    <row r="4216" spans="36:36" ht="11.25" customHeight="1">
      <c r="AJ4216"/>
    </row>
    <row r="4217" spans="36:36" ht="11.25" customHeight="1">
      <c r="AJ4217"/>
    </row>
    <row r="4218" spans="36:36" ht="11.25" customHeight="1">
      <c r="AJ4218"/>
    </row>
    <row r="4219" spans="36:36" ht="11.25" customHeight="1">
      <c r="AJ4219"/>
    </row>
    <row r="4220" spans="36:36" ht="11.25" customHeight="1">
      <c r="AJ4220"/>
    </row>
    <row r="4221" spans="36:36" ht="11.25" customHeight="1">
      <c r="AJ4221"/>
    </row>
    <row r="4222" spans="36:36" ht="11.25" customHeight="1">
      <c r="AJ4222"/>
    </row>
    <row r="4223" spans="36:36" ht="11.25" customHeight="1">
      <c r="AJ4223"/>
    </row>
    <row r="4224" spans="36:36" ht="11.25" customHeight="1">
      <c r="AJ4224"/>
    </row>
    <row r="4225" spans="36:36" ht="11.25" customHeight="1">
      <c r="AJ4225"/>
    </row>
    <row r="4226" spans="36:36" ht="11.25" customHeight="1">
      <c r="AJ4226"/>
    </row>
    <row r="4227" spans="36:36" ht="11.25" customHeight="1">
      <c r="AJ4227"/>
    </row>
    <row r="4228" spans="36:36" ht="11.25" customHeight="1">
      <c r="AJ4228"/>
    </row>
    <row r="4229" spans="36:36" ht="11.25" customHeight="1">
      <c r="AJ4229"/>
    </row>
    <row r="4230" spans="36:36" ht="11.25" customHeight="1">
      <c r="AJ4230"/>
    </row>
    <row r="4231" spans="36:36" ht="11.25" customHeight="1">
      <c r="AJ4231"/>
    </row>
    <row r="4232" spans="36:36" ht="11.25" customHeight="1">
      <c r="AJ4232"/>
    </row>
    <row r="4233" spans="36:36" ht="11.25" customHeight="1">
      <c r="AJ4233"/>
    </row>
    <row r="4234" spans="36:36" ht="11.25" customHeight="1">
      <c r="AJ4234"/>
    </row>
    <row r="4235" spans="36:36" ht="11.25" customHeight="1">
      <c r="AJ4235"/>
    </row>
    <row r="4236" spans="36:36" ht="11.25" customHeight="1">
      <c r="AJ4236"/>
    </row>
    <row r="4237" spans="36:36" ht="11.25" customHeight="1">
      <c r="AJ4237"/>
    </row>
    <row r="4238" spans="36:36" ht="11.25" customHeight="1">
      <c r="AJ4238"/>
    </row>
    <row r="4239" spans="36:36" ht="11.25" customHeight="1">
      <c r="AJ4239"/>
    </row>
    <row r="4240" spans="36:36" ht="11.25" customHeight="1">
      <c r="AJ4240"/>
    </row>
    <row r="4241" spans="36:36" ht="11.25" customHeight="1">
      <c r="AJ4241"/>
    </row>
    <row r="4242" spans="36:36" ht="11.25" customHeight="1">
      <c r="AJ4242"/>
    </row>
    <row r="4243" spans="36:36" ht="11.25" customHeight="1">
      <c r="AJ4243"/>
    </row>
    <row r="4244" spans="36:36" ht="11.25" customHeight="1">
      <c r="AJ4244"/>
    </row>
    <row r="4245" spans="36:36" ht="11.25" customHeight="1">
      <c r="AJ4245"/>
    </row>
    <row r="4246" spans="36:36" ht="11.25" customHeight="1">
      <c r="AJ4246"/>
    </row>
    <row r="4247" spans="36:36" ht="11.25" customHeight="1">
      <c r="AJ4247"/>
    </row>
    <row r="4248" spans="36:36" ht="11.25" customHeight="1">
      <c r="AJ4248"/>
    </row>
    <row r="4249" spans="36:36" ht="11.25" customHeight="1">
      <c r="AJ4249"/>
    </row>
    <row r="4250" spans="36:36" ht="11.25" customHeight="1">
      <c r="AJ4250"/>
    </row>
    <row r="4251" spans="36:36" ht="11.25" customHeight="1">
      <c r="AJ4251"/>
    </row>
    <row r="4252" spans="36:36" ht="11.25" customHeight="1">
      <c r="AJ4252"/>
    </row>
    <row r="4253" spans="36:36" ht="11.25" customHeight="1">
      <c r="AJ4253"/>
    </row>
    <row r="4254" spans="36:36" ht="11.25" customHeight="1">
      <c r="AJ4254"/>
    </row>
    <row r="4255" spans="36:36" ht="11.25" customHeight="1">
      <c r="AJ4255"/>
    </row>
    <row r="4256" spans="36:36" ht="11.25" customHeight="1">
      <c r="AJ4256"/>
    </row>
    <row r="4257" spans="36:36" ht="11.25" customHeight="1">
      <c r="AJ4257"/>
    </row>
    <row r="4258" spans="36:36" ht="11.25" customHeight="1">
      <c r="AJ4258"/>
    </row>
    <row r="4259" spans="36:36" ht="11.25" customHeight="1">
      <c r="AJ4259"/>
    </row>
    <row r="4260" spans="36:36" ht="11.25" customHeight="1">
      <c r="AJ4260"/>
    </row>
    <row r="4261" spans="36:36" ht="11.25" customHeight="1">
      <c r="AJ4261"/>
    </row>
    <row r="4262" spans="36:36" ht="11.25" customHeight="1">
      <c r="AJ4262"/>
    </row>
    <row r="4263" spans="36:36" ht="11.25" customHeight="1">
      <c r="AJ4263"/>
    </row>
    <row r="4264" spans="36:36" ht="11.25" customHeight="1">
      <c r="AJ4264"/>
    </row>
    <row r="4265" spans="36:36" ht="11.25" customHeight="1">
      <c r="AJ4265"/>
    </row>
    <row r="4266" spans="36:36" ht="11.25" customHeight="1">
      <c r="AJ4266"/>
    </row>
    <row r="4267" spans="36:36" ht="11.25" customHeight="1">
      <c r="AJ4267"/>
    </row>
    <row r="4268" spans="36:36" ht="11.25" customHeight="1">
      <c r="AJ4268"/>
    </row>
    <row r="4269" spans="36:36" ht="11.25" customHeight="1">
      <c r="AJ4269"/>
    </row>
    <row r="4270" spans="36:36" ht="11.25" customHeight="1">
      <c r="AJ4270"/>
    </row>
    <row r="4271" spans="36:36" ht="11.25" customHeight="1">
      <c r="AJ4271"/>
    </row>
    <row r="4272" spans="36:36" ht="11.25" customHeight="1">
      <c r="AJ4272"/>
    </row>
    <row r="4273" spans="36:36" ht="11.25" customHeight="1">
      <c r="AJ4273"/>
    </row>
    <row r="4274" spans="36:36" ht="11.25" customHeight="1">
      <c r="AJ4274"/>
    </row>
    <row r="4275" spans="36:36" ht="11.25" customHeight="1">
      <c r="AJ4275"/>
    </row>
    <row r="4276" spans="36:36" ht="11.25" customHeight="1">
      <c r="AJ4276"/>
    </row>
    <row r="4277" spans="36:36" ht="11.25" customHeight="1">
      <c r="AJ4277"/>
    </row>
    <row r="4278" spans="36:36" ht="11.25" customHeight="1">
      <c r="AJ4278"/>
    </row>
    <row r="4279" spans="36:36" ht="11.25" customHeight="1">
      <c r="AJ4279"/>
    </row>
    <row r="4280" spans="36:36" ht="11.25" customHeight="1">
      <c r="AJ4280"/>
    </row>
    <row r="4281" spans="36:36" ht="11.25" customHeight="1">
      <c r="AJ4281"/>
    </row>
    <row r="4282" spans="36:36" ht="11.25" customHeight="1">
      <c r="AJ4282"/>
    </row>
    <row r="4283" spans="36:36" ht="11.25" customHeight="1">
      <c r="AJ4283"/>
    </row>
    <row r="4284" spans="36:36" ht="11.25" customHeight="1">
      <c r="AJ4284"/>
    </row>
    <row r="4285" spans="36:36" ht="11.25" customHeight="1">
      <c r="AJ4285"/>
    </row>
    <row r="4286" spans="36:36" ht="11.25" customHeight="1">
      <c r="AJ4286"/>
    </row>
    <row r="4287" spans="36:36" ht="11.25" customHeight="1">
      <c r="AJ4287"/>
    </row>
    <row r="4288" spans="36:36" ht="11.25" customHeight="1">
      <c r="AJ4288"/>
    </row>
    <row r="4289" spans="36:36" ht="11.25" customHeight="1">
      <c r="AJ4289"/>
    </row>
    <row r="4290" spans="36:36" ht="11.25" customHeight="1">
      <c r="AJ4290"/>
    </row>
    <row r="4291" spans="36:36" ht="11.25" customHeight="1">
      <c r="AJ4291"/>
    </row>
    <row r="4292" spans="36:36" ht="11.25" customHeight="1">
      <c r="AJ4292"/>
    </row>
    <row r="4293" spans="36:36" ht="11.25" customHeight="1">
      <c r="AJ4293"/>
    </row>
    <row r="4294" spans="36:36" ht="11.25" customHeight="1">
      <c r="AJ4294"/>
    </row>
    <row r="4295" spans="36:36" ht="11.25" customHeight="1">
      <c r="AJ4295"/>
    </row>
    <row r="4296" spans="36:36" ht="11.25" customHeight="1">
      <c r="AJ4296"/>
    </row>
    <row r="4297" spans="36:36" ht="11.25" customHeight="1">
      <c r="AJ4297"/>
    </row>
    <row r="4298" spans="36:36" ht="11.25" customHeight="1">
      <c r="AJ4298"/>
    </row>
    <row r="4299" spans="36:36" ht="11.25" customHeight="1">
      <c r="AJ4299"/>
    </row>
    <row r="4300" spans="36:36" ht="11.25" customHeight="1">
      <c r="AJ4300"/>
    </row>
    <row r="4301" spans="36:36" ht="11.25" customHeight="1">
      <c r="AJ4301"/>
    </row>
    <row r="4302" spans="36:36" ht="11.25" customHeight="1">
      <c r="AJ4302"/>
    </row>
    <row r="4303" spans="36:36" ht="11.25" customHeight="1">
      <c r="AJ4303"/>
    </row>
    <row r="4304" spans="36:36" ht="11.25" customHeight="1">
      <c r="AJ4304"/>
    </row>
    <row r="4305" spans="36:36" ht="11.25" customHeight="1">
      <c r="AJ4305"/>
    </row>
    <row r="4306" spans="36:36" ht="11.25" customHeight="1">
      <c r="AJ4306"/>
    </row>
    <row r="4307" spans="36:36" ht="11.25" customHeight="1">
      <c r="AJ4307"/>
    </row>
    <row r="4308" spans="36:36" ht="11.25" customHeight="1">
      <c r="AJ4308"/>
    </row>
    <row r="4309" spans="36:36" ht="11.25" customHeight="1">
      <c r="AJ4309"/>
    </row>
    <row r="4310" spans="36:36" ht="11.25" customHeight="1">
      <c r="AJ4310"/>
    </row>
    <row r="4311" spans="36:36" ht="11.25" customHeight="1">
      <c r="AJ4311"/>
    </row>
    <row r="4312" spans="36:36" ht="11.25" customHeight="1">
      <c r="AJ4312"/>
    </row>
    <row r="4313" spans="36:36" ht="11.25" customHeight="1">
      <c r="AJ4313"/>
    </row>
    <row r="4314" spans="36:36" ht="11.25" customHeight="1">
      <c r="AJ4314"/>
    </row>
    <row r="4315" spans="36:36" ht="11.25" customHeight="1">
      <c r="AJ4315"/>
    </row>
    <row r="4316" spans="36:36" ht="11.25" customHeight="1">
      <c r="AJ4316"/>
    </row>
    <row r="4317" spans="36:36" ht="11.25" customHeight="1">
      <c r="AJ4317"/>
    </row>
    <row r="4318" spans="36:36" ht="11.25" customHeight="1">
      <c r="AJ4318"/>
    </row>
    <row r="4319" spans="36:36" ht="11.25" customHeight="1">
      <c r="AJ4319"/>
    </row>
    <row r="4320" spans="36:36" ht="11.25" customHeight="1">
      <c r="AJ4320"/>
    </row>
    <row r="4321" spans="36:36" ht="11.25" customHeight="1">
      <c r="AJ4321"/>
    </row>
    <row r="4322" spans="36:36" ht="11.25" customHeight="1">
      <c r="AJ4322"/>
    </row>
    <row r="4323" spans="36:36" ht="11.25" customHeight="1">
      <c r="AJ4323"/>
    </row>
    <row r="4324" spans="36:36" ht="11.25" customHeight="1">
      <c r="AJ4324"/>
    </row>
    <row r="4325" spans="36:36" ht="11.25" customHeight="1">
      <c r="AJ4325"/>
    </row>
    <row r="4326" spans="36:36" ht="11.25" customHeight="1">
      <c r="AJ4326"/>
    </row>
    <row r="4327" spans="36:36" ht="11.25" customHeight="1">
      <c r="AJ4327"/>
    </row>
    <row r="4328" spans="36:36" ht="11.25" customHeight="1">
      <c r="AJ4328"/>
    </row>
    <row r="4329" spans="36:36" ht="11.25" customHeight="1">
      <c r="AJ4329"/>
    </row>
    <row r="4330" spans="36:36" ht="11.25" customHeight="1">
      <c r="AJ4330"/>
    </row>
    <row r="4331" spans="36:36" ht="11.25" customHeight="1">
      <c r="AJ4331"/>
    </row>
    <row r="4332" spans="36:36" ht="11.25" customHeight="1">
      <c r="AJ4332"/>
    </row>
    <row r="4333" spans="36:36" ht="11.25" customHeight="1">
      <c r="AJ4333"/>
    </row>
    <row r="4334" spans="36:36" ht="11.25" customHeight="1">
      <c r="AJ4334"/>
    </row>
    <row r="4335" spans="36:36" ht="11.25" customHeight="1">
      <c r="AJ4335"/>
    </row>
    <row r="4336" spans="36:36" ht="11.25" customHeight="1">
      <c r="AJ4336"/>
    </row>
    <row r="4337" spans="36:36" ht="11.25" customHeight="1">
      <c r="AJ4337"/>
    </row>
    <row r="4338" spans="36:36" ht="11.25" customHeight="1">
      <c r="AJ4338"/>
    </row>
    <row r="4339" spans="36:36" ht="11.25" customHeight="1">
      <c r="AJ4339"/>
    </row>
    <row r="4340" spans="36:36" ht="11.25" customHeight="1">
      <c r="AJ4340"/>
    </row>
    <row r="4341" spans="36:36" ht="11.25" customHeight="1">
      <c r="AJ4341"/>
    </row>
    <row r="4342" spans="36:36" ht="11.25" customHeight="1">
      <c r="AJ4342"/>
    </row>
    <row r="4343" spans="36:36" ht="11.25" customHeight="1">
      <c r="AJ4343"/>
    </row>
    <row r="4344" spans="36:36" ht="11.25" customHeight="1">
      <c r="AJ4344"/>
    </row>
    <row r="4345" spans="36:36" ht="11.25" customHeight="1">
      <c r="AJ4345"/>
    </row>
    <row r="4346" spans="36:36" ht="11.25" customHeight="1">
      <c r="AJ4346"/>
    </row>
    <row r="4347" spans="36:36" ht="11.25" customHeight="1">
      <c r="AJ4347"/>
    </row>
    <row r="4348" spans="36:36" ht="11.25" customHeight="1">
      <c r="AJ4348"/>
    </row>
    <row r="4349" spans="36:36" ht="11.25" customHeight="1">
      <c r="AJ4349"/>
    </row>
    <row r="4350" spans="36:36" ht="11.25" customHeight="1">
      <c r="AJ4350"/>
    </row>
    <row r="4351" spans="36:36" ht="11.25" customHeight="1">
      <c r="AJ4351"/>
    </row>
    <row r="4352" spans="36:36" ht="11.25" customHeight="1">
      <c r="AJ4352"/>
    </row>
    <row r="4353" spans="36:36" ht="11.25" customHeight="1">
      <c r="AJ4353"/>
    </row>
    <row r="4354" spans="36:36" ht="11.25" customHeight="1">
      <c r="AJ4354"/>
    </row>
    <row r="4355" spans="36:36" ht="11.25" customHeight="1">
      <c r="AJ4355"/>
    </row>
    <row r="4356" spans="36:36" ht="11.25" customHeight="1">
      <c r="AJ4356"/>
    </row>
    <row r="4357" spans="36:36" ht="11.25" customHeight="1">
      <c r="AJ4357"/>
    </row>
    <row r="4358" spans="36:36" ht="11.25" customHeight="1">
      <c r="AJ4358"/>
    </row>
    <row r="4359" spans="36:36" ht="11.25" customHeight="1">
      <c r="AJ4359"/>
    </row>
    <row r="4360" spans="36:36" ht="11.25" customHeight="1">
      <c r="AJ4360"/>
    </row>
    <row r="4361" spans="36:36" ht="11.25" customHeight="1">
      <c r="AJ4361"/>
    </row>
    <row r="4362" spans="36:36" ht="11.25" customHeight="1">
      <c r="AJ4362"/>
    </row>
    <row r="4363" spans="36:36" ht="11.25" customHeight="1">
      <c r="AJ4363"/>
    </row>
    <row r="4364" spans="36:36" ht="11.25" customHeight="1">
      <c r="AJ4364"/>
    </row>
    <row r="4365" spans="36:36" ht="11.25" customHeight="1">
      <c r="AJ4365"/>
    </row>
    <row r="4366" spans="36:36" ht="11.25" customHeight="1">
      <c r="AJ4366"/>
    </row>
    <row r="4367" spans="36:36" ht="11.25" customHeight="1">
      <c r="AJ4367"/>
    </row>
    <row r="4368" spans="36:36" ht="11.25" customHeight="1">
      <c r="AJ4368"/>
    </row>
    <row r="4369" spans="36:36" ht="11.25" customHeight="1">
      <c r="AJ4369"/>
    </row>
    <row r="4370" spans="36:36" ht="11.25" customHeight="1">
      <c r="AJ4370"/>
    </row>
    <row r="4371" spans="36:36" ht="11.25" customHeight="1">
      <c r="AJ4371"/>
    </row>
    <row r="4372" spans="36:36" ht="11.25" customHeight="1">
      <c r="AJ4372"/>
    </row>
    <row r="4373" spans="36:36" ht="11.25" customHeight="1">
      <c r="AJ4373"/>
    </row>
    <row r="4374" spans="36:36" ht="11.25" customHeight="1">
      <c r="AJ4374"/>
    </row>
    <row r="4375" spans="36:36" ht="11.25" customHeight="1">
      <c r="AJ4375"/>
    </row>
    <row r="4376" spans="36:36" ht="11.25" customHeight="1">
      <c r="AJ4376"/>
    </row>
    <row r="4377" spans="36:36" ht="11.25" customHeight="1">
      <c r="AJ4377"/>
    </row>
    <row r="4378" spans="36:36" ht="11.25" customHeight="1">
      <c r="AJ4378"/>
    </row>
    <row r="4379" spans="36:36" ht="11.25" customHeight="1">
      <c r="AJ4379"/>
    </row>
    <row r="4380" spans="36:36" ht="11.25" customHeight="1">
      <c r="AJ4380"/>
    </row>
    <row r="4381" spans="36:36" ht="11.25" customHeight="1">
      <c r="AJ4381"/>
    </row>
    <row r="4382" spans="36:36" ht="11.25" customHeight="1">
      <c r="AJ4382"/>
    </row>
    <row r="4383" spans="36:36" ht="11.25" customHeight="1">
      <c r="AJ4383"/>
    </row>
    <row r="4384" spans="36:36" ht="11.25" customHeight="1">
      <c r="AJ4384"/>
    </row>
    <row r="4385" spans="36:36" ht="11.25" customHeight="1">
      <c r="AJ4385"/>
    </row>
    <row r="4386" spans="36:36" ht="11.25" customHeight="1">
      <c r="AJ4386"/>
    </row>
    <row r="4387" spans="36:36" ht="11.25" customHeight="1">
      <c r="AJ4387"/>
    </row>
    <row r="4388" spans="36:36" ht="11.25" customHeight="1">
      <c r="AJ4388"/>
    </row>
    <row r="4389" spans="36:36" ht="11.25" customHeight="1">
      <c r="AJ4389"/>
    </row>
    <row r="4390" spans="36:36" ht="11.25" customHeight="1">
      <c r="AJ4390"/>
    </row>
    <row r="4391" spans="36:36" ht="11.25" customHeight="1">
      <c r="AJ4391"/>
    </row>
    <row r="4392" spans="36:36" ht="11.25" customHeight="1">
      <c r="AJ4392"/>
    </row>
    <row r="4393" spans="36:36" ht="11.25" customHeight="1">
      <c r="AJ4393"/>
    </row>
    <row r="4394" spans="36:36" ht="11.25" customHeight="1">
      <c r="AJ4394"/>
    </row>
    <row r="4395" spans="36:36" ht="11.25" customHeight="1">
      <c r="AJ4395"/>
    </row>
    <row r="4396" spans="36:36" ht="11.25" customHeight="1">
      <c r="AJ4396"/>
    </row>
    <row r="4397" spans="36:36" ht="11.25" customHeight="1">
      <c r="AJ4397"/>
    </row>
    <row r="4398" spans="36:36" ht="11.25" customHeight="1">
      <c r="AJ4398"/>
    </row>
    <row r="4399" spans="36:36" ht="11.25" customHeight="1">
      <c r="AJ4399"/>
    </row>
    <row r="4400" spans="36:36" ht="11.25" customHeight="1">
      <c r="AJ4400"/>
    </row>
    <row r="4401" spans="36:36" ht="11.25" customHeight="1">
      <c r="AJ4401"/>
    </row>
    <row r="4402" spans="36:36" ht="11.25" customHeight="1">
      <c r="AJ4402"/>
    </row>
    <row r="4403" spans="36:36" ht="11.25" customHeight="1">
      <c r="AJ4403"/>
    </row>
    <row r="4404" spans="36:36" ht="11.25" customHeight="1">
      <c r="AJ4404"/>
    </row>
    <row r="4405" spans="36:36" ht="11.25" customHeight="1">
      <c r="AJ4405"/>
    </row>
    <row r="4406" spans="36:36" ht="11.25" customHeight="1">
      <c r="AJ4406"/>
    </row>
    <row r="4407" spans="36:36" ht="11.25" customHeight="1">
      <c r="AJ4407"/>
    </row>
    <row r="4408" spans="36:36" ht="11.25" customHeight="1">
      <c r="AJ4408"/>
    </row>
    <row r="4409" spans="36:36" ht="11.25" customHeight="1">
      <c r="AJ4409"/>
    </row>
    <row r="4410" spans="36:36" ht="11.25" customHeight="1">
      <c r="AJ4410"/>
    </row>
    <row r="4411" spans="36:36" ht="11.25" customHeight="1">
      <c r="AJ4411"/>
    </row>
    <row r="4412" spans="36:36" ht="11.25" customHeight="1">
      <c r="AJ4412"/>
    </row>
    <row r="4413" spans="36:36" ht="11.25" customHeight="1">
      <c r="AJ4413"/>
    </row>
    <row r="4414" spans="36:36" ht="11.25" customHeight="1">
      <c r="AJ4414"/>
    </row>
    <row r="4415" spans="36:36" ht="11.25" customHeight="1">
      <c r="AJ4415"/>
    </row>
    <row r="4416" spans="36:36" ht="11.25" customHeight="1">
      <c r="AJ4416"/>
    </row>
    <row r="4417" spans="36:36" ht="11.25" customHeight="1">
      <c r="AJ4417"/>
    </row>
    <row r="4418" spans="36:36" ht="11.25" customHeight="1">
      <c r="AJ4418"/>
    </row>
    <row r="4419" spans="36:36" ht="11.25" customHeight="1">
      <c r="AJ4419"/>
    </row>
    <row r="4420" spans="36:36" ht="11.25" customHeight="1">
      <c r="AJ4420"/>
    </row>
    <row r="4421" spans="36:36" ht="11.25" customHeight="1">
      <c r="AJ4421"/>
    </row>
    <row r="4422" spans="36:36" ht="11.25" customHeight="1">
      <c r="AJ4422"/>
    </row>
    <row r="4423" spans="36:36" ht="11.25" customHeight="1">
      <c r="AJ4423"/>
    </row>
    <row r="4424" spans="36:36" ht="11.25" customHeight="1">
      <c r="AJ4424"/>
    </row>
    <row r="4425" spans="36:36" ht="11.25" customHeight="1">
      <c r="AJ4425"/>
    </row>
    <row r="4426" spans="36:36" ht="11.25" customHeight="1">
      <c r="AJ4426"/>
    </row>
    <row r="4427" spans="36:36" ht="11.25" customHeight="1">
      <c r="AJ4427"/>
    </row>
    <row r="4428" spans="36:36" ht="11.25" customHeight="1">
      <c r="AJ4428"/>
    </row>
    <row r="4429" spans="36:36" ht="11.25" customHeight="1">
      <c r="AJ4429"/>
    </row>
    <row r="4430" spans="36:36" ht="11.25" customHeight="1">
      <c r="AJ4430"/>
    </row>
    <row r="4431" spans="36:36" ht="11.25" customHeight="1">
      <c r="AJ4431"/>
    </row>
    <row r="4432" spans="36:36" ht="11.25" customHeight="1">
      <c r="AJ4432"/>
    </row>
    <row r="4433" spans="36:36" ht="11.25" customHeight="1">
      <c r="AJ4433"/>
    </row>
    <row r="4434" spans="36:36" ht="11.25" customHeight="1">
      <c r="AJ4434"/>
    </row>
    <row r="4435" spans="36:36" ht="11.25" customHeight="1">
      <c r="AJ4435"/>
    </row>
    <row r="4436" spans="36:36" ht="11.25" customHeight="1">
      <c r="AJ4436"/>
    </row>
    <row r="4437" spans="36:36" ht="11.25" customHeight="1">
      <c r="AJ4437"/>
    </row>
    <row r="4438" spans="36:36" ht="11.25" customHeight="1">
      <c r="AJ4438"/>
    </row>
    <row r="4439" spans="36:36" ht="11.25" customHeight="1">
      <c r="AJ4439"/>
    </row>
    <row r="4440" spans="36:36" ht="11.25" customHeight="1">
      <c r="AJ4440"/>
    </row>
    <row r="4441" spans="36:36" ht="11.25" customHeight="1">
      <c r="AJ4441"/>
    </row>
    <row r="4442" spans="36:36" ht="11.25" customHeight="1">
      <c r="AJ4442"/>
    </row>
    <row r="4443" spans="36:36" ht="11.25" customHeight="1">
      <c r="AJ4443"/>
    </row>
    <row r="4444" spans="36:36" ht="11.25" customHeight="1">
      <c r="AJ4444"/>
    </row>
    <row r="4445" spans="36:36" ht="11.25" customHeight="1">
      <c r="AJ4445"/>
    </row>
    <row r="4446" spans="36:36" ht="11.25" customHeight="1">
      <c r="AJ4446"/>
    </row>
    <row r="4447" spans="36:36" ht="11.25" customHeight="1">
      <c r="AJ4447"/>
    </row>
    <row r="4448" spans="36:36" ht="11.25" customHeight="1">
      <c r="AJ4448"/>
    </row>
    <row r="4449" spans="36:36" ht="11.25" customHeight="1">
      <c r="AJ4449"/>
    </row>
    <row r="4450" spans="36:36" ht="11.25" customHeight="1">
      <c r="AJ4450"/>
    </row>
    <row r="4451" spans="36:36" ht="11.25" customHeight="1">
      <c r="AJ4451"/>
    </row>
    <row r="4452" spans="36:36" ht="11.25" customHeight="1">
      <c r="AJ4452"/>
    </row>
    <row r="4453" spans="36:36" ht="11.25" customHeight="1">
      <c r="AJ4453"/>
    </row>
    <row r="4454" spans="36:36" ht="11.25" customHeight="1">
      <c r="AJ4454"/>
    </row>
    <row r="4455" spans="36:36" ht="11.25" customHeight="1">
      <c r="AJ4455"/>
    </row>
    <row r="4456" spans="36:36" ht="11.25" customHeight="1">
      <c r="AJ4456"/>
    </row>
    <row r="4457" spans="36:36" ht="11.25" customHeight="1">
      <c r="AJ4457"/>
    </row>
    <row r="4458" spans="36:36" ht="11.25" customHeight="1">
      <c r="AJ4458"/>
    </row>
    <row r="4459" spans="36:36" ht="11.25" customHeight="1">
      <c r="AJ4459"/>
    </row>
    <row r="4460" spans="36:36" ht="11.25" customHeight="1">
      <c r="AJ4460"/>
    </row>
    <row r="4461" spans="36:36" ht="11.25" customHeight="1">
      <c r="AJ4461"/>
    </row>
    <row r="4462" spans="36:36" ht="11.25" customHeight="1">
      <c r="AJ4462"/>
    </row>
    <row r="4463" spans="36:36" ht="11.25" customHeight="1">
      <c r="AJ4463"/>
    </row>
    <row r="4464" spans="36:36" ht="11.25" customHeight="1">
      <c r="AJ4464"/>
    </row>
    <row r="4465" spans="36:36" ht="11.25" customHeight="1">
      <c r="AJ4465"/>
    </row>
    <row r="4466" spans="36:36" ht="11.25" customHeight="1">
      <c r="AJ4466"/>
    </row>
    <row r="4467" spans="36:36" ht="11.25" customHeight="1">
      <c r="AJ4467"/>
    </row>
    <row r="4468" spans="36:36" ht="11.25" customHeight="1">
      <c r="AJ4468"/>
    </row>
    <row r="4469" spans="36:36" ht="11.25" customHeight="1">
      <c r="AJ4469"/>
    </row>
    <row r="4470" spans="36:36" ht="11.25" customHeight="1">
      <c r="AJ4470"/>
    </row>
    <row r="4471" spans="36:36" ht="11.25" customHeight="1">
      <c r="AJ4471"/>
    </row>
    <row r="4472" spans="36:36" ht="11.25" customHeight="1">
      <c r="AJ4472"/>
    </row>
    <row r="4473" spans="36:36" ht="11.25" customHeight="1">
      <c r="AJ4473"/>
    </row>
    <row r="4474" spans="36:36" ht="11.25" customHeight="1">
      <c r="AJ4474"/>
    </row>
    <row r="4475" spans="36:36" ht="11.25" customHeight="1">
      <c r="AJ4475"/>
    </row>
    <row r="4476" spans="36:36" ht="11.25" customHeight="1">
      <c r="AJ4476"/>
    </row>
    <row r="4477" spans="36:36" ht="11.25" customHeight="1">
      <c r="AJ4477"/>
    </row>
    <row r="4478" spans="36:36" ht="11.25" customHeight="1">
      <c r="AJ4478"/>
    </row>
    <row r="4479" spans="36:36" ht="11.25" customHeight="1">
      <c r="AJ4479"/>
    </row>
    <row r="4480" spans="36:36" ht="11.25" customHeight="1">
      <c r="AJ4480"/>
    </row>
    <row r="4481" spans="36:36" ht="11.25" customHeight="1">
      <c r="AJ4481"/>
    </row>
    <row r="4482" spans="36:36" ht="11.25" customHeight="1">
      <c r="AJ4482"/>
    </row>
    <row r="4483" spans="36:36" ht="11.25" customHeight="1">
      <c r="AJ4483"/>
    </row>
    <row r="4484" spans="36:36" ht="11.25" customHeight="1">
      <c r="AJ4484"/>
    </row>
    <row r="4485" spans="36:36" ht="11.25" customHeight="1">
      <c r="AJ4485"/>
    </row>
    <row r="4486" spans="36:36" ht="11.25" customHeight="1">
      <c r="AJ4486"/>
    </row>
    <row r="4487" spans="36:36" ht="11.25" customHeight="1">
      <c r="AJ4487"/>
    </row>
    <row r="4488" spans="36:36" ht="11.25" customHeight="1">
      <c r="AJ4488"/>
    </row>
    <row r="4489" spans="36:36" ht="11.25" customHeight="1">
      <c r="AJ4489"/>
    </row>
    <row r="4490" spans="36:36" ht="11.25" customHeight="1">
      <c r="AJ4490"/>
    </row>
    <row r="4491" spans="36:36" ht="11.25" customHeight="1">
      <c r="AJ4491"/>
    </row>
    <row r="4492" spans="36:36" ht="11.25" customHeight="1">
      <c r="AJ4492"/>
    </row>
    <row r="4493" spans="36:36" ht="11.25" customHeight="1">
      <c r="AJ4493"/>
    </row>
    <row r="4494" spans="36:36" ht="11.25" customHeight="1">
      <c r="AJ4494"/>
    </row>
    <row r="4495" spans="36:36" ht="11.25" customHeight="1">
      <c r="AJ4495"/>
    </row>
    <row r="4496" spans="36:36" ht="11.25" customHeight="1">
      <c r="AJ4496"/>
    </row>
    <row r="4497" spans="36:36" ht="11.25" customHeight="1">
      <c r="AJ4497"/>
    </row>
    <row r="4498" spans="36:36" ht="11.25" customHeight="1">
      <c r="AJ4498"/>
    </row>
    <row r="4499" spans="36:36" ht="11.25" customHeight="1">
      <c r="AJ4499"/>
    </row>
    <row r="4500" spans="36:36" ht="11.25" customHeight="1">
      <c r="AJ4500"/>
    </row>
    <row r="4501" spans="36:36" ht="11.25" customHeight="1">
      <c r="AJ4501"/>
    </row>
    <row r="4502" spans="36:36" ht="11.25" customHeight="1">
      <c r="AJ4502"/>
    </row>
    <row r="4503" spans="36:36" ht="11.25" customHeight="1">
      <c r="AJ4503"/>
    </row>
    <row r="4504" spans="36:36" ht="11.25" customHeight="1">
      <c r="AJ4504"/>
    </row>
    <row r="4505" spans="36:36" ht="11.25" customHeight="1">
      <c r="AJ4505"/>
    </row>
    <row r="4506" spans="36:36" ht="11.25" customHeight="1">
      <c r="AJ4506"/>
    </row>
    <row r="4507" spans="36:36" ht="11.25" customHeight="1">
      <c r="AJ4507"/>
    </row>
    <row r="4508" spans="36:36" ht="11.25" customHeight="1">
      <c r="AJ4508"/>
    </row>
    <row r="4509" spans="36:36" ht="11.25" customHeight="1">
      <c r="AJ4509"/>
    </row>
    <row r="4510" spans="36:36" ht="11.25" customHeight="1">
      <c r="AJ4510"/>
    </row>
    <row r="4511" spans="36:36" ht="11.25" customHeight="1">
      <c r="AJ4511"/>
    </row>
    <row r="4512" spans="36:36" ht="11.25" customHeight="1">
      <c r="AJ4512"/>
    </row>
    <row r="4513" spans="36:36" ht="11.25" customHeight="1">
      <c r="AJ4513"/>
    </row>
    <row r="4514" spans="36:36" ht="11.25" customHeight="1">
      <c r="AJ4514"/>
    </row>
    <row r="4515" spans="36:36" ht="11.25" customHeight="1">
      <c r="AJ4515"/>
    </row>
    <row r="4516" spans="36:36" ht="11.25" customHeight="1">
      <c r="AJ4516"/>
    </row>
    <row r="4517" spans="36:36" ht="11.25" customHeight="1">
      <c r="AJ4517"/>
    </row>
    <row r="4518" spans="36:36" ht="11.25" customHeight="1">
      <c r="AJ4518"/>
    </row>
    <row r="4519" spans="36:36" ht="11.25" customHeight="1">
      <c r="AJ4519"/>
    </row>
    <row r="4520" spans="36:36" ht="11.25" customHeight="1">
      <c r="AJ4520"/>
    </row>
    <row r="4521" spans="36:36" ht="11.25" customHeight="1">
      <c r="AJ4521"/>
    </row>
    <row r="4522" spans="36:36" ht="11.25" customHeight="1">
      <c r="AJ4522"/>
    </row>
    <row r="4523" spans="36:36" ht="11.25" customHeight="1">
      <c r="AJ4523"/>
    </row>
    <row r="4524" spans="36:36" ht="11.25" customHeight="1">
      <c r="AJ4524"/>
    </row>
    <row r="4525" spans="36:36" ht="11.25" customHeight="1">
      <c r="AJ4525"/>
    </row>
    <row r="4526" spans="36:36" ht="11.25" customHeight="1">
      <c r="AJ4526"/>
    </row>
    <row r="4527" spans="36:36" ht="11.25" customHeight="1">
      <c r="AJ4527"/>
    </row>
    <row r="4528" spans="36:36" ht="11.25" customHeight="1">
      <c r="AJ4528"/>
    </row>
    <row r="4529" spans="36:36" ht="11.25" customHeight="1">
      <c r="AJ4529"/>
    </row>
    <row r="4530" spans="36:36" ht="11.25" customHeight="1">
      <c r="AJ4530"/>
    </row>
    <row r="4531" spans="36:36" ht="11.25" customHeight="1">
      <c r="AJ4531"/>
    </row>
    <row r="4532" spans="36:36" ht="11.25" customHeight="1">
      <c r="AJ4532"/>
    </row>
    <row r="4533" spans="36:36" ht="11.25" customHeight="1">
      <c r="AJ4533"/>
    </row>
    <row r="4534" spans="36:36" ht="11.25" customHeight="1">
      <c r="AJ4534"/>
    </row>
    <row r="4535" spans="36:36" ht="11.25" customHeight="1">
      <c r="AJ4535"/>
    </row>
    <row r="4536" spans="36:36" ht="11.25" customHeight="1">
      <c r="AJ4536"/>
    </row>
    <row r="4537" spans="36:36" ht="11.25" customHeight="1">
      <c r="AJ4537"/>
    </row>
    <row r="4538" spans="36:36" ht="11.25" customHeight="1">
      <c r="AJ4538"/>
    </row>
    <row r="4539" spans="36:36" ht="11.25" customHeight="1">
      <c r="AJ4539"/>
    </row>
    <row r="4540" spans="36:36" ht="11.25" customHeight="1">
      <c r="AJ4540"/>
    </row>
    <row r="4541" spans="36:36" ht="11.25" customHeight="1">
      <c r="AJ4541"/>
    </row>
    <row r="4542" spans="36:36" ht="11.25" customHeight="1">
      <c r="AJ4542"/>
    </row>
    <row r="4543" spans="36:36" ht="11.25" customHeight="1">
      <c r="AJ4543"/>
    </row>
    <row r="4544" spans="36:36" ht="11.25" customHeight="1">
      <c r="AJ4544"/>
    </row>
    <row r="4545" spans="36:36" ht="11.25" customHeight="1">
      <c r="AJ4545"/>
    </row>
    <row r="4546" spans="36:36" ht="11.25" customHeight="1">
      <c r="AJ4546"/>
    </row>
    <row r="4547" spans="36:36" ht="11.25" customHeight="1">
      <c r="AJ4547"/>
    </row>
    <row r="4548" spans="36:36" ht="11.25" customHeight="1">
      <c r="AJ4548"/>
    </row>
    <row r="4549" spans="36:36" ht="11.25" customHeight="1">
      <c r="AJ4549"/>
    </row>
    <row r="4550" spans="36:36" ht="11.25" customHeight="1">
      <c r="AJ4550"/>
    </row>
    <row r="4551" spans="36:36" ht="11.25" customHeight="1">
      <c r="AJ4551"/>
    </row>
    <row r="4552" spans="36:36" ht="11.25" customHeight="1">
      <c r="AJ4552"/>
    </row>
    <row r="4553" spans="36:36" ht="11.25" customHeight="1">
      <c r="AJ4553"/>
    </row>
    <row r="4554" spans="36:36" ht="11.25" customHeight="1">
      <c r="AJ4554"/>
    </row>
    <row r="4555" spans="36:36" ht="11.25" customHeight="1">
      <c r="AJ4555"/>
    </row>
    <row r="4556" spans="36:36" ht="11.25" customHeight="1">
      <c r="AJ4556"/>
    </row>
    <row r="4557" spans="36:36" ht="11.25" customHeight="1">
      <c r="AJ4557"/>
    </row>
    <row r="4558" spans="36:36" ht="11.25" customHeight="1">
      <c r="AJ4558"/>
    </row>
    <row r="4559" spans="36:36" ht="11.25" customHeight="1">
      <c r="AJ4559"/>
    </row>
    <row r="4560" spans="36:36" ht="11.25" customHeight="1">
      <c r="AJ4560"/>
    </row>
    <row r="4561" spans="36:36" ht="11.25" customHeight="1">
      <c r="AJ4561"/>
    </row>
    <row r="4562" spans="36:36" ht="11.25" customHeight="1">
      <c r="AJ4562"/>
    </row>
    <row r="4563" spans="36:36" ht="11.25" customHeight="1">
      <c r="AJ4563"/>
    </row>
    <row r="4564" spans="36:36" ht="11.25" customHeight="1">
      <c r="AJ4564"/>
    </row>
    <row r="4565" spans="36:36" ht="11.25" customHeight="1">
      <c r="AJ4565"/>
    </row>
    <row r="4566" spans="36:36" ht="11.25" customHeight="1">
      <c r="AJ4566"/>
    </row>
    <row r="4567" spans="36:36" ht="11.25" customHeight="1">
      <c r="AJ4567"/>
    </row>
    <row r="4568" spans="36:36" ht="11.25" customHeight="1">
      <c r="AJ4568"/>
    </row>
    <row r="4569" spans="36:36" ht="11.25" customHeight="1">
      <c r="AJ4569"/>
    </row>
    <row r="4570" spans="36:36" ht="11.25" customHeight="1">
      <c r="AJ4570"/>
    </row>
    <row r="4571" spans="36:36" ht="11.25" customHeight="1">
      <c r="AJ4571"/>
    </row>
    <row r="4572" spans="36:36" ht="11.25" customHeight="1">
      <c r="AJ4572"/>
    </row>
    <row r="4573" spans="36:36" ht="11.25" customHeight="1">
      <c r="AJ4573"/>
    </row>
    <row r="4574" spans="36:36" ht="11.25" customHeight="1">
      <c r="AJ4574"/>
    </row>
    <row r="4575" spans="36:36" ht="11.25" customHeight="1">
      <c r="AJ4575"/>
    </row>
    <row r="4576" spans="36:36" ht="11.25" customHeight="1">
      <c r="AJ4576"/>
    </row>
    <row r="4577" spans="36:36" ht="11.25" customHeight="1">
      <c r="AJ4577"/>
    </row>
    <row r="4578" spans="36:36" ht="11.25" customHeight="1">
      <c r="AJ4578"/>
    </row>
    <row r="4579" spans="36:36" ht="11.25" customHeight="1">
      <c r="AJ4579"/>
    </row>
    <row r="4580" spans="36:36" ht="11.25" customHeight="1">
      <c r="AJ4580"/>
    </row>
    <row r="4581" spans="36:36" ht="11.25" customHeight="1">
      <c r="AJ4581"/>
    </row>
    <row r="4582" spans="36:36" ht="11.25" customHeight="1">
      <c r="AJ4582"/>
    </row>
    <row r="4583" spans="36:36" ht="11.25" customHeight="1">
      <c r="AJ4583"/>
    </row>
    <row r="4584" spans="36:36" ht="11.25" customHeight="1">
      <c r="AJ4584"/>
    </row>
    <row r="4585" spans="36:36" ht="11.25" customHeight="1">
      <c r="AJ4585"/>
    </row>
    <row r="4586" spans="36:36" ht="11.25" customHeight="1">
      <c r="AJ4586"/>
    </row>
    <row r="4587" spans="36:36" ht="11.25" customHeight="1">
      <c r="AJ4587"/>
    </row>
    <row r="4588" spans="36:36" ht="11.25" customHeight="1">
      <c r="AJ4588"/>
    </row>
    <row r="4589" spans="36:36" ht="11.25" customHeight="1">
      <c r="AJ4589"/>
    </row>
    <row r="4590" spans="36:36" ht="11.25" customHeight="1">
      <c r="AJ4590"/>
    </row>
    <row r="4591" spans="36:36" ht="11.25" customHeight="1">
      <c r="AJ4591"/>
    </row>
    <row r="4592" spans="36:36" ht="11.25" customHeight="1">
      <c r="AJ4592"/>
    </row>
    <row r="4593" spans="36:36" ht="11.25" customHeight="1">
      <c r="AJ4593"/>
    </row>
    <row r="4594" spans="36:36" ht="11.25" customHeight="1">
      <c r="AJ4594"/>
    </row>
    <row r="4595" spans="36:36" ht="11.25" customHeight="1">
      <c r="AJ4595"/>
    </row>
    <row r="4596" spans="36:36" ht="11.25" customHeight="1">
      <c r="AJ4596"/>
    </row>
    <row r="4597" spans="36:36" ht="11.25" customHeight="1">
      <c r="AJ4597"/>
    </row>
    <row r="4598" spans="36:36" ht="11.25" customHeight="1">
      <c r="AJ4598"/>
    </row>
    <row r="4599" spans="36:36" ht="11.25" customHeight="1">
      <c r="AJ4599"/>
    </row>
    <row r="4600" spans="36:36" ht="11.25" customHeight="1">
      <c r="AJ4600"/>
    </row>
    <row r="4601" spans="36:36" ht="11.25" customHeight="1">
      <c r="AJ4601"/>
    </row>
    <row r="4602" spans="36:36" ht="11.25" customHeight="1">
      <c r="AJ4602"/>
    </row>
    <row r="4603" spans="36:36" ht="11.25" customHeight="1">
      <c r="AJ4603"/>
    </row>
    <row r="4604" spans="36:36" ht="11.25" customHeight="1">
      <c r="AJ4604"/>
    </row>
    <row r="4605" spans="36:36" ht="11.25" customHeight="1">
      <c r="AJ4605"/>
    </row>
    <row r="4606" spans="36:36" ht="11.25" customHeight="1">
      <c r="AJ4606"/>
    </row>
    <row r="4607" spans="36:36" ht="11.25" customHeight="1">
      <c r="AJ4607"/>
    </row>
    <row r="4608" spans="36:36" ht="11.25" customHeight="1">
      <c r="AJ4608"/>
    </row>
    <row r="4609" spans="36:36" ht="11.25" customHeight="1">
      <c r="AJ4609"/>
    </row>
    <row r="4610" spans="36:36" ht="11.25" customHeight="1">
      <c r="AJ4610"/>
    </row>
    <row r="4611" spans="36:36" ht="11.25" customHeight="1">
      <c r="AJ4611"/>
    </row>
    <row r="4612" spans="36:36" ht="11.25" customHeight="1">
      <c r="AJ4612"/>
    </row>
    <row r="4613" spans="36:36" ht="11.25" customHeight="1">
      <c r="AJ4613"/>
    </row>
    <row r="4614" spans="36:36" ht="11.25" customHeight="1">
      <c r="AJ4614"/>
    </row>
    <row r="4615" spans="36:36" ht="11.25" customHeight="1">
      <c r="AJ4615"/>
    </row>
    <row r="4616" spans="36:36" ht="11.25" customHeight="1">
      <c r="AJ4616"/>
    </row>
    <row r="4617" spans="36:36" ht="11.25" customHeight="1">
      <c r="AJ4617"/>
    </row>
    <row r="4618" spans="36:36" ht="11.25" customHeight="1">
      <c r="AJ4618"/>
    </row>
    <row r="4619" spans="36:36" ht="11.25" customHeight="1">
      <c r="AJ4619"/>
    </row>
    <row r="4620" spans="36:36" ht="11.25" customHeight="1">
      <c r="AJ4620"/>
    </row>
    <row r="4621" spans="36:36" ht="11.25" customHeight="1">
      <c r="AJ4621"/>
    </row>
    <row r="4622" spans="36:36" ht="11.25" customHeight="1">
      <c r="AJ4622"/>
    </row>
    <row r="4623" spans="36:36" ht="11.25" customHeight="1">
      <c r="AJ4623"/>
    </row>
    <row r="4624" spans="36:36" ht="11.25" customHeight="1">
      <c r="AJ4624"/>
    </row>
    <row r="4625" spans="36:36" ht="11.25" customHeight="1">
      <c r="AJ4625"/>
    </row>
    <row r="4626" spans="36:36" ht="11.25" customHeight="1">
      <c r="AJ4626"/>
    </row>
    <row r="4627" spans="36:36" ht="11.25" customHeight="1">
      <c r="AJ4627"/>
    </row>
    <row r="4628" spans="36:36" ht="11.25" customHeight="1">
      <c r="AJ4628"/>
    </row>
    <row r="4629" spans="36:36" ht="11.25" customHeight="1">
      <c r="AJ4629"/>
    </row>
    <row r="4630" spans="36:36" ht="11.25" customHeight="1">
      <c r="AJ4630"/>
    </row>
    <row r="4631" spans="36:36" ht="11.25" customHeight="1">
      <c r="AJ4631"/>
    </row>
    <row r="4632" spans="36:36" ht="11.25" customHeight="1">
      <c r="AJ4632"/>
    </row>
    <row r="4633" spans="36:36" ht="11.25" customHeight="1">
      <c r="AJ4633"/>
    </row>
    <row r="4634" spans="36:36" ht="11.25" customHeight="1">
      <c r="AJ4634"/>
    </row>
    <row r="4635" spans="36:36" ht="11.25" customHeight="1">
      <c r="AJ4635"/>
    </row>
    <row r="4636" spans="36:36" ht="11.25" customHeight="1">
      <c r="AJ4636"/>
    </row>
    <row r="4637" spans="36:36" ht="11.25" customHeight="1">
      <c r="AJ4637"/>
    </row>
    <row r="4638" spans="36:36" ht="11.25" customHeight="1">
      <c r="AJ4638"/>
    </row>
    <row r="4639" spans="36:36" ht="11.25" customHeight="1">
      <c r="AJ4639"/>
    </row>
    <row r="4640" spans="36:36" ht="11.25" customHeight="1">
      <c r="AJ4640"/>
    </row>
    <row r="4641" spans="36:36" ht="11.25" customHeight="1">
      <c r="AJ4641"/>
    </row>
    <row r="4642" spans="36:36" ht="11.25" customHeight="1">
      <c r="AJ4642"/>
    </row>
    <row r="4643" spans="36:36" ht="11.25" customHeight="1">
      <c r="AJ4643"/>
    </row>
    <row r="4644" spans="36:36" ht="11.25" customHeight="1">
      <c r="AJ4644"/>
    </row>
    <row r="4645" spans="36:36" ht="11.25" customHeight="1">
      <c r="AJ4645"/>
    </row>
    <row r="4646" spans="36:36" ht="11.25" customHeight="1">
      <c r="AJ4646"/>
    </row>
    <row r="4647" spans="36:36" ht="11.25" customHeight="1">
      <c r="AJ4647"/>
    </row>
    <row r="4648" spans="36:36" ht="11.25" customHeight="1">
      <c r="AJ4648"/>
    </row>
    <row r="4649" spans="36:36" ht="11.25" customHeight="1">
      <c r="AJ4649"/>
    </row>
    <row r="4650" spans="36:36" ht="11.25" customHeight="1">
      <c r="AJ4650"/>
    </row>
    <row r="4651" spans="36:36" ht="11.25" customHeight="1">
      <c r="AJ4651"/>
    </row>
    <row r="4652" spans="36:36" ht="11.25" customHeight="1">
      <c r="AJ4652"/>
    </row>
    <row r="4653" spans="36:36" ht="11.25" customHeight="1">
      <c r="AJ4653"/>
    </row>
    <row r="4654" spans="36:36" ht="11.25" customHeight="1">
      <c r="AJ4654"/>
    </row>
    <row r="4655" spans="36:36" ht="11.25" customHeight="1">
      <c r="AJ4655"/>
    </row>
    <row r="4656" spans="36:36" ht="11.25" customHeight="1">
      <c r="AJ4656"/>
    </row>
    <row r="4657" spans="36:36" ht="11.25" customHeight="1">
      <c r="AJ4657"/>
    </row>
    <row r="4658" spans="36:36" ht="11.25" customHeight="1">
      <c r="AJ4658"/>
    </row>
    <row r="4659" spans="36:36" ht="11.25" customHeight="1">
      <c r="AJ4659"/>
    </row>
    <row r="4660" spans="36:36" ht="11.25" customHeight="1">
      <c r="AJ4660"/>
    </row>
    <row r="4661" spans="36:36" ht="11.25" customHeight="1">
      <c r="AJ4661"/>
    </row>
    <row r="4662" spans="36:36" ht="11.25" customHeight="1">
      <c r="AJ4662"/>
    </row>
    <row r="4663" spans="36:36" ht="11.25" customHeight="1">
      <c r="AJ4663"/>
    </row>
    <row r="4664" spans="36:36" ht="11.25" customHeight="1">
      <c r="AJ4664"/>
    </row>
    <row r="4665" spans="36:36" ht="11.25" customHeight="1">
      <c r="AJ4665"/>
    </row>
    <row r="4666" spans="36:36" ht="11.25" customHeight="1">
      <c r="AJ4666"/>
    </row>
    <row r="4667" spans="36:36" ht="11.25" customHeight="1">
      <c r="AJ4667"/>
    </row>
    <row r="4668" spans="36:36" ht="11.25" customHeight="1">
      <c r="AJ4668"/>
    </row>
    <row r="4669" spans="36:36" ht="11.25" customHeight="1">
      <c r="AJ4669"/>
    </row>
    <row r="4670" spans="36:36" ht="11.25" customHeight="1">
      <c r="AJ4670"/>
    </row>
    <row r="4671" spans="36:36" ht="11.25" customHeight="1">
      <c r="AJ4671"/>
    </row>
    <row r="4672" spans="36:36" ht="11.25" customHeight="1">
      <c r="AJ4672"/>
    </row>
    <row r="4673" spans="36:36" ht="11.25" customHeight="1">
      <c r="AJ4673"/>
    </row>
    <row r="4674" spans="36:36" ht="11.25" customHeight="1">
      <c r="AJ4674"/>
    </row>
    <row r="4675" spans="36:36" ht="11.25" customHeight="1">
      <c r="AJ4675"/>
    </row>
    <row r="4676" spans="36:36" ht="11.25" customHeight="1">
      <c r="AJ4676"/>
    </row>
    <row r="4677" spans="36:36" ht="11.25" customHeight="1">
      <c r="AJ4677"/>
    </row>
    <row r="4678" spans="36:36" ht="11.25" customHeight="1">
      <c r="AJ4678"/>
    </row>
    <row r="4679" spans="36:36" ht="11.25" customHeight="1">
      <c r="AJ4679"/>
    </row>
    <row r="4680" spans="36:36" ht="11.25" customHeight="1">
      <c r="AJ4680"/>
    </row>
    <row r="4681" spans="36:36" ht="11.25" customHeight="1">
      <c r="AJ4681"/>
    </row>
    <row r="4682" spans="36:36" ht="11.25" customHeight="1">
      <c r="AJ4682"/>
    </row>
    <row r="4683" spans="36:36" ht="11.25" customHeight="1">
      <c r="AJ4683"/>
    </row>
    <row r="4684" spans="36:36" ht="11.25" customHeight="1">
      <c r="AJ4684"/>
    </row>
    <row r="4685" spans="36:36" ht="11.25" customHeight="1">
      <c r="AJ4685"/>
    </row>
    <row r="4686" spans="36:36" ht="11.25" customHeight="1">
      <c r="AJ4686"/>
    </row>
    <row r="4687" spans="36:36" ht="11.25" customHeight="1">
      <c r="AJ4687"/>
    </row>
    <row r="4688" spans="36:36" ht="11.25" customHeight="1">
      <c r="AJ4688"/>
    </row>
    <row r="4689" spans="36:36" ht="11.25" customHeight="1">
      <c r="AJ4689"/>
    </row>
    <row r="4690" spans="36:36" ht="11.25" customHeight="1">
      <c r="AJ4690"/>
    </row>
    <row r="4691" spans="36:36" ht="11.25" customHeight="1">
      <c r="AJ4691"/>
    </row>
    <row r="4692" spans="36:36" ht="11.25" customHeight="1">
      <c r="AJ4692"/>
    </row>
    <row r="4693" spans="36:36" ht="11.25" customHeight="1">
      <c r="AJ4693"/>
    </row>
    <row r="4694" spans="36:36" ht="11.25" customHeight="1">
      <c r="AJ4694"/>
    </row>
    <row r="4695" spans="36:36" ht="11.25" customHeight="1">
      <c r="AJ4695"/>
    </row>
    <row r="4696" spans="36:36" ht="11.25" customHeight="1">
      <c r="AJ4696"/>
    </row>
    <row r="4697" spans="36:36" ht="11.25" customHeight="1">
      <c r="AJ4697"/>
    </row>
    <row r="4698" spans="36:36" ht="11.25" customHeight="1">
      <c r="AJ4698"/>
    </row>
    <row r="4699" spans="36:36" ht="11.25" customHeight="1">
      <c r="AJ4699"/>
    </row>
    <row r="4700" spans="36:36" ht="11.25" customHeight="1">
      <c r="AJ4700"/>
    </row>
    <row r="4701" spans="36:36" ht="11.25" customHeight="1">
      <c r="AJ4701"/>
    </row>
    <row r="4702" spans="36:36" ht="11.25" customHeight="1">
      <c r="AJ4702"/>
    </row>
    <row r="4703" spans="36:36" ht="11.25" customHeight="1">
      <c r="AJ4703"/>
    </row>
    <row r="4704" spans="36:36" ht="11.25" customHeight="1">
      <c r="AJ4704"/>
    </row>
    <row r="4705" spans="36:36" ht="11.25" customHeight="1">
      <c r="AJ4705"/>
    </row>
    <row r="4706" spans="36:36" ht="11.25" customHeight="1">
      <c r="AJ4706"/>
    </row>
    <row r="4707" spans="36:36" ht="11.25" customHeight="1">
      <c r="AJ4707"/>
    </row>
    <row r="4708" spans="36:36" ht="11.25" customHeight="1">
      <c r="AJ4708"/>
    </row>
    <row r="4709" spans="36:36" ht="11.25" customHeight="1">
      <c r="AJ4709"/>
    </row>
    <row r="4710" spans="36:36" ht="11.25" customHeight="1">
      <c r="AJ4710"/>
    </row>
    <row r="4711" spans="36:36" ht="11.25" customHeight="1">
      <c r="AJ4711"/>
    </row>
    <row r="4712" spans="36:36" ht="11.25" customHeight="1">
      <c r="AJ4712"/>
    </row>
    <row r="4713" spans="36:36" ht="11.25" customHeight="1">
      <c r="AJ4713"/>
    </row>
    <row r="4714" spans="36:36" ht="11.25" customHeight="1">
      <c r="AJ4714"/>
    </row>
    <row r="4715" spans="36:36" ht="11.25" customHeight="1">
      <c r="AJ4715"/>
    </row>
    <row r="4716" spans="36:36" ht="11.25" customHeight="1">
      <c r="AJ4716"/>
    </row>
    <row r="4717" spans="36:36" ht="11.25" customHeight="1">
      <c r="AJ4717"/>
    </row>
    <row r="4718" spans="36:36" ht="11.25" customHeight="1">
      <c r="AJ4718"/>
    </row>
    <row r="4719" spans="36:36" ht="11.25" customHeight="1">
      <c r="AJ4719"/>
    </row>
    <row r="4720" spans="36:36" ht="11.25" customHeight="1">
      <c r="AJ4720"/>
    </row>
    <row r="4721" spans="36:36" ht="11.25" customHeight="1">
      <c r="AJ4721"/>
    </row>
    <row r="4722" spans="36:36" ht="11.25" customHeight="1">
      <c r="AJ4722"/>
    </row>
    <row r="4723" spans="36:36" ht="11.25" customHeight="1">
      <c r="AJ4723"/>
    </row>
    <row r="4724" spans="36:36" ht="11.25" customHeight="1">
      <c r="AJ4724"/>
    </row>
    <row r="4725" spans="36:36" ht="11.25" customHeight="1">
      <c r="AJ4725"/>
    </row>
    <row r="4726" spans="36:36" ht="11.25" customHeight="1">
      <c r="AJ4726"/>
    </row>
    <row r="4727" spans="36:36" ht="11.25" customHeight="1">
      <c r="AJ4727"/>
    </row>
    <row r="4728" spans="36:36" ht="11.25" customHeight="1">
      <c r="AJ4728"/>
    </row>
    <row r="4729" spans="36:36" ht="11.25" customHeight="1">
      <c r="AJ4729"/>
    </row>
    <row r="4730" spans="36:36" ht="11.25" customHeight="1">
      <c r="AJ4730"/>
    </row>
    <row r="4731" spans="36:36" ht="11.25" customHeight="1">
      <c r="AJ4731"/>
    </row>
    <row r="4732" spans="36:36" ht="11.25" customHeight="1">
      <c r="AJ4732"/>
    </row>
    <row r="4733" spans="36:36" ht="11.25" customHeight="1">
      <c r="AJ4733"/>
    </row>
    <row r="4734" spans="36:36" ht="11.25" customHeight="1">
      <c r="AJ4734"/>
    </row>
    <row r="4735" spans="36:36" ht="11.25" customHeight="1">
      <c r="AJ4735"/>
    </row>
    <row r="4736" spans="36:36" ht="11.25" customHeight="1">
      <c r="AJ4736"/>
    </row>
    <row r="4737" spans="36:36" ht="11.25" customHeight="1">
      <c r="AJ4737"/>
    </row>
    <row r="4738" spans="36:36" ht="11.25" customHeight="1">
      <c r="AJ4738"/>
    </row>
    <row r="4739" spans="36:36" ht="11.25" customHeight="1">
      <c r="AJ4739"/>
    </row>
    <row r="4740" spans="36:36" ht="11.25" customHeight="1">
      <c r="AJ4740"/>
    </row>
    <row r="4741" spans="36:36" ht="11.25" customHeight="1">
      <c r="AJ4741"/>
    </row>
    <row r="4742" spans="36:36" ht="11.25" customHeight="1">
      <c r="AJ4742"/>
    </row>
    <row r="4743" spans="36:36" ht="11.25" customHeight="1">
      <c r="AJ4743"/>
    </row>
    <row r="4744" spans="36:36" ht="11.25" customHeight="1">
      <c r="AJ4744"/>
    </row>
    <row r="4745" spans="36:36" ht="11.25" customHeight="1">
      <c r="AJ4745"/>
    </row>
    <row r="4746" spans="36:36" ht="11.25" customHeight="1">
      <c r="AJ4746"/>
    </row>
    <row r="4747" spans="36:36" ht="11.25" customHeight="1">
      <c r="AJ4747"/>
    </row>
    <row r="4748" spans="36:36" ht="11.25" customHeight="1">
      <c r="AJ4748"/>
    </row>
    <row r="4749" spans="36:36" ht="11.25" customHeight="1">
      <c r="AJ4749"/>
    </row>
    <row r="4750" spans="36:36" ht="11.25" customHeight="1">
      <c r="AJ4750"/>
    </row>
    <row r="4751" spans="36:36" ht="11.25" customHeight="1">
      <c r="AJ4751"/>
    </row>
    <row r="4752" spans="36:36" ht="11.25" customHeight="1">
      <c r="AJ4752"/>
    </row>
    <row r="4753" spans="36:36" ht="11.25" customHeight="1">
      <c r="AJ4753"/>
    </row>
    <row r="4754" spans="36:36" ht="11.25" customHeight="1">
      <c r="AJ4754"/>
    </row>
    <row r="4755" spans="36:36" ht="11.25" customHeight="1">
      <c r="AJ4755"/>
    </row>
    <row r="4756" spans="36:36" ht="11.25" customHeight="1">
      <c r="AJ4756"/>
    </row>
    <row r="4757" spans="36:36" ht="11.25" customHeight="1">
      <c r="AJ4757"/>
    </row>
    <row r="4758" spans="36:36" ht="11.25" customHeight="1">
      <c r="AJ4758"/>
    </row>
    <row r="4759" spans="36:36" ht="11.25" customHeight="1">
      <c r="AJ4759"/>
    </row>
    <row r="4760" spans="36:36" ht="11.25" customHeight="1">
      <c r="AJ4760"/>
    </row>
    <row r="4761" spans="36:36" ht="11.25" customHeight="1">
      <c r="AJ4761"/>
    </row>
    <row r="4762" spans="36:36" ht="11.25" customHeight="1">
      <c r="AJ4762"/>
    </row>
    <row r="4763" spans="36:36" ht="11.25" customHeight="1">
      <c r="AJ4763"/>
    </row>
    <row r="4764" spans="36:36" ht="11.25" customHeight="1">
      <c r="AJ4764"/>
    </row>
    <row r="4765" spans="36:36" ht="11.25" customHeight="1">
      <c r="AJ4765"/>
    </row>
    <row r="4766" spans="36:36" ht="11.25" customHeight="1">
      <c r="AJ4766"/>
    </row>
    <row r="4767" spans="36:36" ht="11.25" customHeight="1">
      <c r="AJ4767"/>
    </row>
    <row r="4768" spans="36:36" ht="11.25" customHeight="1">
      <c r="AJ4768"/>
    </row>
    <row r="4769" spans="36:36" ht="11.25" customHeight="1">
      <c r="AJ4769"/>
    </row>
    <row r="4770" spans="36:36" ht="11.25" customHeight="1">
      <c r="AJ4770"/>
    </row>
    <row r="4771" spans="36:36" ht="11.25" customHeight="1">
      <c r="AJ4771"/>
    </row>
    <row r="4772" spans="36:36" ht="11.25" customHeight="1">
      <c r="AJ4772"/>
    </row>
    <row r="4773" spans="36:36" ht="11.25" customHeight="1">
      <c r="AJ4773"/>
    </row>
    <row r="4774" spans="36:36" ht="11.25" customHeight="1">
      <c r="AJ4774"/>
    </row>
    <row r="4775" spans="36:36" ht="11.25" customHeight="1">
      <c r="AJ4775"/>
    </row>
    <row r="4776" spans="36:36" ht="11.25" customHeight="1">
      <c r="AJ4776"/>
    </row>
    <row r="4777" spans="36:36" ht="11.25" customHeight="1">
      <c r="AJ4777"/>
    </row>
    <row r="4778" spans="36:36" ht="11.25" customHeight="1">
      <c r="AJ4778"/>
    </row>
    <row r="4779" spans="36:36" ht="11.25" customHeight="1">
      <c r="AJ4779"/>
    </row>
    <row r="4780" spans="36:36" ht="11.25" customHeight="1">
      <c r="AJ4780"/>
    </row>
    <row r="4781" spans="36:36" ht="11.25" customHeight="1">
      <c r="AJ4781"/>
    </row>
    <row r="4782" spans="36:36" ht="11.25" customHeight="1">
      <c r="AJ4782"/>
    </row>
    <row r="4783" spans="36:36" ht="11.25" customHeight="1">
      <c r="AJ4783"/>
    </row>
    <row r="4784" spans="36:36" ht="11.25" customHeight="1">
      <c r="AJ4784"/>
    </row>
    <row r="4785" spans="36:36" ht="11.25" customHeight="1">
      <c r="AJ4785"/>
    </row>
    <row r="4786" spans="36:36" ht="11.25" customHeight="1">
      <c r="AJ4786"/>
    </row>
    <row r="4787" spans="36:36" ht="11.25" customHeight="1">
      <c r="AJ4787"/>
    </row>
    <row r="4788" spans="36:36" ht="11.25" customHeight="1">
      <c r="AJ4788"/>
    </row>
    <row r="4789" spans="36:36" ht="11.25" customHeight="1">
      <c r="AJ4789"/>
    </row>
    <row r="4790" spans="36:36" ht="11.25" customHeight="1">
      <c r="AJ4790"/>
    </row>
    <row r="4791" spans="36:36" ht="11.25" customHeight="1">
      <c r="AJ4791"/>
    </row>
    <row r="4792" spans="36:36" ht="11.25" customHeight="1">
      <c r="AJ4792"/>
    </row>
    <row r="4793" spans="36:36" ht="11.25" customHeight="1">
      <c r="AJ4793"/>
    </row>
    <row r="4794" spans="36:36" ht="11.25" customHeight="1">
      <c r="AJ4794"/>
    </row>
    <row r="4795" spans="36:36" ht="11.25" customHeight="1">
      <c r="AJ4795"/>
    </row>
    <row r="4796" spans="36:36" ht="11.25" customHeight="1">
      <c r="AJ4796"/>
    </row>
    <row r="4797" spans="36:36" ht="11.25" customHeight="1">
      <c r="AJ4797"/>
    </row>
    <row r="4798" spans="36:36" ht="11.25" customHeight="1">
      <c r="AJ4798"/>
    </row>
    <row r="4799" spans="36:36" ht="11.25" customHeight="1">
      <c r="AJ4799"/>
    </row>
    <row r="4800" spans="36:36" ht="11.25" customHeight="1">
      <c r="AJ4800"/>
    </row>
    <row r="4801" spans="36:36" ht="11.25" customHeight="1">
      <c r="AJ4801"/>
    </row>
    <row r="4802" spans="36:36" ht="11.25" customHeight="1">
      <c r="AJ4802"/>
    </row>
    <row r="4803" spans="36:36" ht="11.25" customHeight="1">
      <c r="AJ4803"/>
    </row>
    <row r="4804" spans="36:36" ht="11.25" customHeight="1">
      <c r="AJ4804"/>
    </row>
    <row r="4805" spans="36:36" ht="11.25" customHeight="1">
      <c r="AJ4805"/>
    </row>
    <row r="4806" spans="36:36" ht="11.25" customHeight="1">
      <c r="AJ4806"/>
    </row>
    <row r="4807" spans="36:36" ht="11.25" customHeight="1">
      <c r="AJ4807"/>
    </row>
    <row r="4808" spans="36:36" ht="11.25" customHeight="1">
      <c r="AJ4808"/>
    </row>
    <row r="4809" spans="36:36" ht="11.25" customHeight="1">
      <c r="AJ4809"/>
    </row>
    <row r="4810" spans="36:36" ht="11.25" customHeight="1">
      <c r="AJ4810"/>
    </row>
    <row r="4811" spans="36:36" ht="11.25" customHeight="1">
      <c r="AJ4811"/>
    </row>
    <row r="4812" spans="36:36" ht="11.25" customHeight="1">
      <c r="AJ4812"/>
    </row>
    <row r="4813" spans="36:36" ht="11.25" customHeight="1">
      <c r="AJ4813"/>
    </row>
    <row r="4814" spans="36:36" ht="11.25" customHeight="1">
      <c r="AJ4814"/>
    </row>
    <row r="4815" spans="36:36" ht="11.25" customHeight="1">
      <c r="AJ4815"/>
    </row>
    <row r="4816" spans="36:36" ht="11.25" customHeight="1">
      <c r="AJ4816"/>
    </row>
    <row r="4817" spans="36:36" ht="11.25" customHeight="1">
      <c r="AJ4817"/>
    </row>
    <row r="4818" spans="36:36" ht="11.25" customHeight="1">
      <c r="AJ4818"/>
    </row>
    <row r="4819" spans="36:36" ht="11.25" customHeight="1">
      <c r="AJ4819"/>
    </row>
    <row r="4820" spans="36:36" ht="11.25" customHeight="1">
      <c r="AJ4820"/>
    </row>
    <row r="4821" spans="36:36" ht="11.25" customHeight="1">
      <c r="AJ4821"/>
    </row>
    <row r="4822" spans="36:36" ht="11.25" customHeight="1">
      <c r="AJ4822"/>
    </row>
    <row r="4823" spans="36:36" ht="11.25" customHeight="1">
      <c r="AJ4823"/>
    </row>
    <row r="4824" spans="36:36" ht="11.25" customHeight="1">
      <c r="AJ4824"/>
    </row>
    <row r="4825" spans="36:36" ht="11.25" customHeight="1">
      <c r="AJ4825"/>
    </row>
    <row r="4826" spans="36:36" ht="11.25" customHeight="1">
      <c r="AJ4826"/>
    </row>
    <row r="4827" spans="36:36" ht="11.25" customHeight="1">
      <c r="AJ4827"/>
    </row>
    <row r="4828" spans="36:36" ht="11.25" customHeight="1">
      <c r="AJ4828"/>
    </row>
    <row r="4829" spans="36:36" ht="11.25" customHeight="1">
      <c r="AJ4829"/>
    </row>
    <row r="4830" spans="36:36" ht="11.25" customHeight="1">
      <c r="AJ4830"/>
    </row>
    <row r="4831" spans="36:36" ht="11.25" customHeight="1">
      <c r="AJ4831"/>
    </row>
    <row r="4832" spans="36:36" ht="11.25" customHeight="1">
      <c r="AJ4832"/>
    </row>
    <row r="4833" spans="36:36" ht="11.25" customHeight="1">
      <c r="AJ4833"/>
    </row>
    <row r="4834" spans="36:36" ht="11.25" customHeight="1">
      <c r="AJ4834"/>
    </row>
    <row r="4835" spans="36:36" ht="11.25" customHeight="1">
      <c r="AJ4835"/>
    </row>
    <row r="4836" spans="36:36" ht="11.25" customHeight="1">
      <c r="AJ4836"/>
    </row>
    <row r="4837" spans="36:36" ht="11.25" customHeight="1">
      <c r="AJ4837"/>
    </row>
    <row r="4838" spans="36:36" ht="11.25" customHeight="1">
      <c r="AJ4838"/>
    </row>
    <row r="4839" spans="36:36" ht="11.25" customHeight="1">
      <c r="AJ4839"/>
    </row>
    <row r="4840" spans="36:36" ht="11.25" customHeight="1">
      <c r="AJ4840"/>
    </row>
    <row r="4841" spans="36:36" ht="11.25" customHeight="1">
      <c r="AJ4841"/>
    </row>
    <row r="4842" spans="36:36" ht="11.25" customHeight="1">
      <c r="AJ4842"/>
    </row>
    <row r="4843" spans="36:36" ht="11.25" customHeight="1">
      <c r="AJ4843"/>
    </row>
    <row r="4844" spans="36:36" ht="11.25" customHeight="1">
      <c r="AJ4844"/>
    </row>
    <row r="4845" spans="36:36" ht="11.25" customHeight="1">
      <c r="AJ4845"/>
    </row>
    <row r="4846" spans="36:36" ht="11.25" customHeight="1">
      <c r="AJ4846"/>
    </row>
    <row r="4847" spans="36:36" ht="11.25" customHeight="1">
      <c r="AJ4847"/>
    </row>
    <row r="4848" spans="36:36" ht="11.25" customHeight="1">
      <c r="AJ4848"/>
    </row>
    <row r="4849" spans="36:36" ht="11.25" customHeight="1">
      <c r="AJ4849"/>
    </row>
    <row r="4850" spans="36:36" ht="11.25" customHeight="1">
      <c r="AJ4850"/>
    </row>
    <row r="4851" spans="36:36" ht="11.25" customHeight="1">
      <c r="AJ4851"/>
    </row>
    <row r="4852" spans="36:36" ht="11.25" customHeight="1">
      <c r="AJ4852"/>
    </row>
    <row r="4853" spans="36:36" ht="11.25" customHeight="1">
      <c r="AJ4853"/>
    </row>
    <row r="4854" spans="36:36" ht="11.25" customHeight="1">
      <c r="AJ4854"/>
    </row>
    <row r="4855" spans="36:36" ht="11.25" customHeight="1">
      <c r="AJ4855"/>
    </row>
    <row r="4856" spans="36:36" ht="11.25" customHeight="1">
      <c r="AJ4856"/>
    </row>
    <row r="4857" spans="36:36" ht="11.25" customHeight="1">
      <c r="AJ4857"/>
    </row>
    <row r="4858" spans="36:36" ht="11.25" customHeight="1">
      <c r="AJ4858"/>
    </row>
    <row r="4859" spans="36:36" ht="11.25" customHeight="1">
      <c r="AJ4859"/>
    </row>
    <row r="4860" spans="36:36" ht="11.25" customHeight="1">
      <c r="AJ4860"/>
    </row>
    <row r="4861" spans="36:36" ht="11.25" customHeight="1">
      <c r="AJ4861"/>
    </row>
    <row r="4862" spans="36:36" ht="11.25" customHeight="1">
      <c r="AJ4862"/>
    </row>
    <row r="4863" spans="36:36" ht="11.25" customHeight="1">
      <c r="AJ4863"/>
    </row>
    <row r="4864" spans="36:36" ht="11.25" customHeight="1">
      <c r="AJ4864"/>
    </row>
    <row r="4865" spans="36:36" ht="11.25" customHeight="1">
      <c r="AJ4865"/>
    </row>
    <row r="4866" spans="36:36" ht="11.25" customHeight="1">
      <c r="AJ4866"/>
    </row>
    <row r="4867" spans="36:36" ht="11.25" customHeight="1">
      <c r="AJ4867"/>
    </row>
    <row r="4868" spans="36:36" ht="11.25" customHeight="1">
      <c r="AJ4868"/>
    </row>
    <row r="4869" spans="36:36" ht="11.25" customHeight="1">
      <c r="AJ4869"/>
    </row>
    <row r="4870" spans="36:36" ht="11.25" customHeight="1">
      <c r="AJ4870"/>
    </row>
    <row r="4871" spans="36:36" ht="11.25" customHeight="1">
      <c r="AJ4871"/>
    </row>
    <row r="4872" spans="36:36" ht="11.25" customHeight="1">
      <c r="AJ4872"/>
    </row>
    <row r="4873" spans="36:36" ht="11.25" customHeight="1">
      <c r="AJ4873"/>
    </row>
    <row r="4874" spans="36:36" ht="11.25" customHeight="1">
      <c r="AJ4874"/>
    </row>
    <row r="4875" spans="36:36" ht="11.25" customHeight="1">
      <c r="AJ4875"/>
    </row>
    <row r="4876" spans="36:36" ht="11.25" customHeight="1">
      <c r="AJ4876"/>
    </row>
    <row r="4877" spans="36:36" ht="11.25" customHeight="1">
      <c r="AJ4877"/>
    </row>
    <row r="4878" spans="36:36" ht="11.25" customHeight="1">
      <c r="AJ4878"/>
    </row>
    <row r="4879" spans="36:36" ht="11.25" customHeight="1">
      <c r="AJ4879"/>
    </row>
    <row r="4880" spans="36:36" ht="11.25" customHeight="1">
      <c r="AJ4880"/>
    </row>
    <row r="4881" spans="36:36" ht="11.25" customHeight="1">
      <c r="AJ4881"/>
    </row>
    <row r="4882" spans="36:36" ht="11.25" customHeight="1">
      <c r="AJ4882"/>
    </row>
    <row r="4883" spans="36:36" ht="11.25" customHeight="1">
      <c r="AJ4883"/>
    </row>
    <row r="4884" spans="36:36" ht="11.25" customHeight="1">
      <c r="AJ4884"/>
    </row>
    <row r="4885" spans="36:36" ht="11.25" customHeight="1">
      <c r="AJ4885"/>
    </row>
    <row r="4886" spans="36:36" ht="11.25" customHeight="1">
      <c r="AJ4886"/>
    </row>
    <row r="4887" spans="36:36" ht="11.25" customHeight="1">
      <c r="AJ4887"/>
    </row>
    <row r="4888" spans="36:36" ht="11.25" customHeight="1">
      <c r="AJ4888"/>
    </row>
    <row r="4889" spans="36:36" ht="11.25" customHeight="1">
      <c r="AJ4889"/>
    </row>
    <row r="4890" spans="36:36" ht="11.25" customHeight="1">
      <c r="AJ4890"/>
    </row>
    <row r="4891" spans="36:36" ht="11.25" customHeight="1">
      <c r="AJ4891"/>
    </row>
    <row r="4892" spans="36:36" ht="11.25" customHeight="1">
      <c r="AJ4892"/>
    </row>
    <row r="4893" spans="36:36" ht="11.25" customHeight="1">
      <c r="AJ4893"/>
    </row>
    <row r="4894" spans="36:36" ht="11.25" customHeight="1">
      <c r="AJ4894"/>
    </row>
    <row r="4895" spans="36:36" ht="11.25" customHeight="1">
      <c r="AJ4895"/>
    </row>
    <row r="4896" spans="36:36" ht="11.25" customHeight="1">
      <c r="AJ4896"/>
    </row>
    <row r="4897" spans="36:36" ht="11.25" customHeight="1">
      <c r="AJ4897"/>
    </row>
    <row r="4898" spans="36:36" ht="11.25" customHeight="1">
      <c r="AJ4898"/>
    </row>
    <row r="4899" spans="36:36" ht="11.25" customHeight="1">
      <c r="AJ4899"/>
    </row>
    <row r="4900" spans="36:36" ht="11.25" customHeight="1">
      <c r="AJ4900"/>
    </row>
    <row r="4901" spans="36:36" ht="11.25" customHeight="1">
      <c r="AJ4901"/>
    </row>
    <row r="4902" spans="36:36" ht="11.25" customHeight="1">
      <c r="AJ4902"/>
    </row>
    <row r="4903" spans="36:36" ht="11.25" customHeight="1">
      <c r="AJ4903"/>
    </row>
    <row r="4904" spans="36:36" ht="11.25" customHeight="1">
      <c r="AJ4904"/>
    </row>
    <row r="4905" spans="36:36" ht="11.25" customHeight="1">
      <c r="AJ4905"/>
    </row>
    <row r="4906" spans="36:36" ht="11.25" customHeight="1">
      <c r="AJ4906"/>
    </row>
    <row r="4907" spans="36:36" ht="11.25" customHeight="1">
      <c r="AJ4907"/>
    </row>
    <row r="4908" spans="36:36" ht="11.25" customHeight="1">
      <c r="AJ4908"/>
    </row>
    <row r="4909" spans="36:36" ht="11.25" customHeight="1">
      <c r="AJ4909"/>
    </row>
    <row r="4910" spans="36:36" ht="11.25" customHeight="1">
      <c r="AJ4910"/>
    </row>
    <row r="4911" spans="36:36" ht="11.25" customHeight="1">
      <c r="AJ4911"/>
    </row>
    <row r="4912" spans="36:36" ht="11.25" customHeight="1">
      <c r="AJ4912"/>
    </row>
    <row r="4913" spans="36:36" ht="11.25" customHeight="1">
      <c r="AJ4913"/>
    </row>
    <row r="4914" spans="36:36" ht="11.25" customHeight="1">
      <c r="AJ4914"/>
    </row>
    <row r="4915" spans="36:36" ht="11.25" customHeight="1">
      <c r="AJ4915"/>
    </row>
    <row r="4916" spans="36:36" ht="11.25" customHeight="1">
      <c r="AJ4916"/>
    </row>
    <row r="4917" spans="36:36" ht="11.25" customHeight="1">
      <c r="AJ4917"/>
    </row>
    <row r="4918" spans="36:36" ht="11.25" customHeight="1">
      <c r="AJ4918"/>
    </row>
    <row r="4919" spans="36:36" ht="11.25" customHeight="1">
      <c r="AJ4919"/>
    </row>
    <row r="4920" spans="36:36" ht="11.25" customHeight="1">
      <c r="AJ4920"/>
    </row>
    <row r="4921" spans="36:36" ht="11.25" customHeight="1">
      <c r="AJ4921"/>
    </row>
    <row r="4922" spans="36:36" ht="11.25" customHeight="1">
      <c r="AJ4922"/>
    </row>
    <row r="4923" spans="36:36" ht="11.25" customHeight="1">
      <c r="AJ4923"/>
    </row>
    <row r="4924" spans="36:36" ht="11.25" customHeight="1">
      <c r="AJ4924"/>
    </row>
    <row r="4925" spans="36:36" ht="11.25" customHeight="1">
      <c r="AJ4925"/>
    </row>
    <row r="4926" spans="36:36" ht="11.25" customHeight="1">
      <c r="AJ4926"/>
    </row>
    <row r="4927" spans="36:36" ht="11.25" customHeight="1">
      <c r="AJ4927"/>
    </row>
    <row r="4928" spans="36:36" ht="11.25" customHeight="1">
      <c r="AJ4928"/>
    </row>
    <row r="4929" spans="36:36" ht="11.25" customHeight="1">
      <c r="AJ4929"/>
    </row>
    <row r="4930" spans="36:36" ht="11.25" customHeight="1">
      <c r="AJ4930"/>
    </row>
    <row r="4931" spans="36:36" ht="11.25" customHeight="1">
      <c r="AJ4931"/>
    </row>
    <row r="4932" spans="36:36" ht="11.25" customHeight="1">
      <c r="AJ4932"/>
    </row>
    <row r="4933" spans="36:36" ht="11.25" customHeight="1">
      <c r="AJ4933"/>
    </row>
    <row r="4934" spans="36:36" ht="11.25" customHeight="1">
      <c r="AJ4934"/>
    </row>
    <row r="4935" spans="36:36" ht="11.25" customHeight="1">
      <c r="AJ4935"/>
    </row>
    <row r="4936" spans="36:36" ht="11.25" customHeight="1">
      <c r="AJ4936"/>
    </row>
    <row r="4937" spans="36:36" ht="11.25" customHeight="1">
      <c r="AJ4937"/>
    </row>
    <row r="4938" spans="36:36" ht="11.25" customHeight="1">
      <c r="AJ4938"/>
    </row>
    <row r="4939" spans="36:36" ht="11.25" customHeight="1">
      <c r="AJ4939"/>
    </row>
    <row r="4940" spans="36:36" ht="11.25" customHeight="1">
      <c r="AJ4940"/>
    </row>
    <row r="4941" spans="36:36" ht="11.25" customHeight="1">
      <c r="AJ4941"/>
    </row>
    <row r="4942" spans="36:36" ht="11.25" customHeight="1">
      <c r="AJ4942"/>
    </row>
    <row r="4943" spans="36:36" ht="11.25" customHeight="1">
      <c r="AJ4943"/>
    </row>
    <row r="4944" spans="36:36" ht="11.25" customHeight="1">
      <c r="AJ4944"/>
    </row>
    <row r="4945" spans="36:36" ht="11.25" customHeight="1">
      <c r="AJ4945"/>
    </row>
    <row r="4946" spans="36:36" ht="11.25" customHeight="1">
      <c r="AJ4946"/>
    </row>
    <row r="4947" spans="36:36" ht="11.25" customHeight="1">
      <c r="AJ4947"/>
    </row>
    <row r="4948" spans="36:36" ht="11.25" customHeight="1">
      <c r="AJ4948"/>
    </row>
    <row r="4949" spans="36:36" ht="11.25" customHeight="1">
      <c r="AJ4949"/>
    </row>
    <row r="4950" spans="36:36" ht="11.25" customHeight="1">
      <c r="AJ4950"/>
    </row>
    <row r="4951" spans="36:36" ht="11.25" customHeight="1">
      <c r="AJ4951"/>
    </row>
    <row r="4952" spans="36:36" ht="11.25" customHeight="1">
      <c r="AJ4952"/>
    </row>
    <row r="4953" spans="36:36" ht="11.25" customHeight="1">
      <c r="AJ4953"/>
    </row>
    <row r="4954" spans="36:36" ht="11.25" customHeight="1">
      <c r="AJ4954"/>
    </row>
    <row r="4955" spans="36:36" ht="11.25" customHeight="1">
      <c r="AJ4955"/>
    </row>
    <row r="4956" spans="36:36" ht="11.25" customHeight="1">
      <c r="AJ4956"/>
    </row>
    <row r="4957" spans="36:36" ht="11.25" customHeight="1">
      <c r="AJ4957"/>
    </row>
    <row r="4958" spans="36:36" ht="11.25" customHeight="1">
      <c r="AJ4958"/>
    </row>
    <row r="4959" spans="36:36" ht="11.25" customHeight="1">
      <c r="AJ4959"/>
    </row>
    <row r="4960" spans="36:36" ht="11.25" customHeight="1">
      <c r="AJ4960"/>
    </row>
    <row r="4961" spans="36:36" ht="11.25" customHeight="1">
      <c r="AJ4961"/>
    </row>
    <row r="4962" spans="36:36" ht="11.25" customHeight="1">
      <c r="AJ4962"/>
    </row>
    <row r="4963" spans="36:36" ht="11.25" customHeight="1">
      <c r="AJ4963"/>
    </row>
    <row r="4964" spans="36:36" ht="11.25" customHeight="1">
      <c r="AJ4964"/>
    </row>
    <row r="4965" spans="36:36" ht="11.25" customHeight="1">
      <c r="AJ4965"/>
    </row>
    <row r="4966" spans="36:36" ht="11.25" customHeight="1">
      <c r="AJ4966"/>
    </row>
    <row r="4967" spans="36:36" ht="11.25" customHeight="1">
      <c r="AJ4967"/>
    </row>
    <row r="4968" spans="36:36" ht="11.25" customHeight="1">
      <c r="AJ4968"/>
    </row>
    <row r="4969" spans="36:36" ht="11.25" customHeight="1">
      <c r="AJ4969"/>
    </row>
    <row r="4970" spans="36:36" ht="11.25" customHeight="1">
      <c r="AJ4970"/>
    </row>
    <row r="4971" spans="36:36" ht="11.25" customHeight="1">
      <c r="AJ4971"/>
    </row>
    <row r="4972" spans="36:36" ht="11.25" customHeight="1">
      <c r="AJ4972"/>
    </row>
    <row r="4973" spans="36:36" ht="11.25" customHeight="1">
      <c r="AJ4973"/>
    </row>
    <row r="4974" spans="36:36" ht="11.25" customHeight="1">
      <c r="AJ4974"/>
    </row>
    <row r="4975" spans="36:36" ht="11.25" customHeight="1">
      <c r="AJ4975"/>
    </row>
    <row r="4976" spans="36:36" ht="11.25" customHeight="1">
      <c r="AJ4976"/>
    </row>
    <row r="4977" spans="36:36" ht="11.25" customHeight="1">
      <c r="AJ4977"/>
    </row>
    <row r="4978" spans="36:36" ht="11.25" customHeight="1">
      <c r="AJ4978"/>
    </row>
    <row r="4979" spans="36:36" ht="11.25" customHeight="1">
      <c r="AJ4979"/>
    </row>
    <row r="4980" spans="36:36" ht="11.25" customHeight="1">
      <c r="AJ4980"/>
    </row>
    <row r="4981" spans="36:36" ht="11.25" customHeight="1">
      <c r="AJ4981"/>
    </row>
    <row r="4982" spans="36:36" ht="11.25" customHeight="1">
      <c r="AJ4982"/>
    </row>
    <row r="4983" spans="36:36" ht="11.25" customHeight="1">
      <c r="AJ4983"/>
    </row>
    <row r="4984" spans="36:36" ht="11.25" customHeight="1">
      <c r="AJ4984"/>
    </row>
    <row r="4985" spans="36:36" ht="11.25" customHeight="1">
      <c r="AJ4985"/>
    </row>
    <row r="4986" spans="36:36" ht="11.25" customHeight="1">
      <c r="AJ4986"/>
    </row>
    <row r="4987" spans="36:36" ht="11.25" customHeight="1">
      <c r="AJ4987"/>
    </row>
    <row r="4988" spans="36:36" ht="11.25" customHeight="1">
      <c r="AJ4988"/>
    </row>
    <row r="4989" spans="36:36" ht="11.25" customHeight="1">
      <c r="AJ4989"/>
    </row>
    <row r="4990" spans="36:36" ht="11.25" customHeight="1">
      <c r="AJ4990"/>
    </row>
    <row r="4991" spans="36:36" ht="11.25" customHeight="1">
      <c r="AJ4991"/>
    </row>
    <row r="4992" spans="36:36" ht="11.25" customHeight="1">
      <c r="AJ4992"/>
    </row>
    <row r="4993" spans="36:36" ht="11.25" customHeight="1">
      <c r="AJ4993"/>
    </row>
    <row r="4994" spans="36:36" ht="11.25" customHeight="1">
      <c r="AJ4994"/>
    </row>
    <row r="4995" spans="36:36" ht="11.25" customHeight="1">
      <c r="AJ4995"/>
    </row>
    <row r="4996" spans="36:36" ht="11.25" customHeight="1">
      <c r="AJ4996"/>
    </row>
    <row r="4997" spans="36:36" ht="11.25" customHeight="1">
      <c r="AJ4997"/>
    </row>
    <row r="4998" spans="36:36" ht="11.25" customHeight="1">
      <c r="AJ4998"/>
    </row>
    <row r="4999" spans="36:36" ht="11.25" customHeight="1">
      <c r="AJ4999"/>
    </row>
    <row r="5000" spans="36:36" ht="11.25" customHeight="1">
      <c r="AJ5000"/>
    </row>
    <row r="5001" spans="36:36" ht="11.25" customHeight="1">
      <c r="AJ5001"/>
    </row>
    <row r="5002" spans="36:36" ht="11.25" customHeight="1">
      <c r="AJ5002"/>
    </row>
    <row r="5003" spans="36:36" ht="11.25" customHeight="1">
      <c r="AJ5003"/>
    </row>
    <row r="5004" spans="36:36" ht="11.25" customHeight="1">
      <c r="AJ5004"/>
    </row>
    <row r="5005" spans="36:36" ht="11.25" customHeight="1">
      <c r="AJ5005"/>
    </row>
    <row r="5006" spans="36:36" ht="11.25" customHeight="1">
      <c r="AJ5006"/>
    </row>
    <row r="5007" spans="36:36" ht="11.25" customHeight="1">
      <c r="AJ5007"/>
    </row>
    <row r="5008" spans="36:36" ht="11.25" customHeight="1">
      <c r="AJ5008"/>
    </row>
    <row r="5009" spans="36:36" ht="11.25" customHeight="1">
      <c r="AJ5009"/>
    </row>
    <row r="5010" spans="36:36" ht="11.25" customHeight="1">
      <c r="AJ5010"/>
    </row>
    <row r="5011" spans="36:36" ht="11.25" customHeight="1">
      <c r="AJ5011"/>
    </row>
    <row r="5012" spans="36:36" ht="11.25" customHeight="1">
      <c r="AJ5012"/>
    </row>
    <row r="5013" spans="36:36" ht="11.25" customHeight="1">
      <c r="AJ5013"/>
    </row>
    <row r="5014" spans="36:36" ht="11.25" customHeight="1">
      <c r="AJ5014"/>
    </row>
    <row r="5015" spans="36:36" ht="11.25" customHeight="1">
      <c r="AJ5015"/>
    </row>
    <row r="5016" spans="36:36" ht="11.25" customHeight="1">
      <c r="AJ5016"/>
    </row>
    <row r="5017" spans="36:36" ht="11.25" customHeight="1">
      <c r="AJ5017"/>
    </row>
    <row r="5018" spans="36:36" ht="11.25" customHeight="1">
      <c r="AJ5018"/>
    </row>
    <row r="5019" spans="36:36" ht="11.25" customHeight="1">
      <c r="AJ5019"/>
    </row>
    <row r="5020" spans="36:36" ht="11.25" customHeight="1">
      <c r="AJ5020"/>
    </row>
    <row r="5021" spans="36:36" ht="11.25" customHeight="1">
      <c r="AJ5021"/>
    </row>
    <row r="5022" spans="36:36" ht="11.25" customHeight="1">
      <c r="AJ5022"/>
    </row>
    <row r="5023" spans="36:36" ht="11.25" customHeight="1">
      <c r="AJ5023"/>
    </row>
    <row r="5024" spans="36:36" ht="11.25" customHeight="1">
      <c r="AJ5024"/>
    </row>
    <row r="5025" spans="36:36" ht="11.25" customHeight="1">
      <c r="AJ5025"/>
    </row>
    <row r="5026" spans="36:36" ht="11.25" customHeight="1">
      <c r="AJ5026"/>
    </row>
    <row r="5027" spans="36:36" ht="11.25" customHeight="1">
      <c r="AJ5027"/>
    </row>
    <row r="5028" spans="36:36" ht="11.25" customHeight="1">
      <c r="AJ5028"/>
    </row>
    <row r="5029" spans="36:36" ht="11.25" customHeight="1">
      <c r="AJ5029"/>
    </row>
    <row r="5030" spans="36:36" ht="11.25" customHeight="1">
      <c r="AJ5030"/>
    </row>
    <row r="5031" spans="36:36" ht="11.25" customHeight="1">
      <c r="AJ5031"/>
    </row>
    <row r="5032" spans="36:36" ht="11.25" customHeight="1">
      <c r="AJ5032"/>
    </row>
    <row r="5033" spans="36:36" ht="11.25" customHeight="1">
      <c r="AJ5033"/>
    </row>
    <row r="5034" spans="36:36" ht="11.25" customHeight="1">
      <c r="AJ5034"/>
    </row>
    <row r="5035" spans="36:36" ht="11.25" customHeight="1">
      <c r="AJ5035"/>
    </row>
    <row r="5036" spans="36:36" ht="11.25" customHeight="1">
      <c r="AJ5036"/>
    </row>
    <row r="5037" spans="36:36" ht="11.25" customHeight="1">
      <c r="AJ5037"/>
    </row>
    <row r="5038" spans="36:36" ht="11.25" customHeight="1">
      <c r="AJ5038"/>
    </row>
    <row r="5039" spans="36:36" ht="11.25" customHeight="1">
      <c r="AJ5039"/>
    </row>
    <row r="5040" spans="36:36" ht="11.25" customHeight="1">
      <c r="AJ5040"/>
    </row>
    <row r="5041" spans="36:36" ht="11.25" customHeight="1">
      <c r="AJ5041"/>
    </row>
    <row r="5042" spans="36:36" ht="11.25" customHeight="1">
      <c r="AJ5042"/>
    </row>
    <row r="5043" spans="36:36" ht="11.25" customHeight="1">
      <c r="AJ5043"/>
    </row>
    <row r="5044" spans="36:36" ht="11.25" customHeight="1">
      <c r="AJ5044"/>
    </row>
    <row r="5045" spans="36:36" ht="11.25" customHeight="1">
      <c r="AJ5045"/>
    </row>
    <row r="5046" spans="36:36" ht="11.25" customHeight="1">
      <c r="AJ5046"/>
    </row>
    <row r="5047" spans="36:36" ht="11.25" customHeight="1">
      <c r="AJ5047"/>
    </row>
    <row r="5048" spans="36:36" ht="11.25" customHeight="1">
      <c r="AJ5048"/>
    </row>
    <row r="5049" spans="36:36" ht="11.25" customHeight="1">
      <c r="AJ5049"/>
    </row>
    <row r="5050" spans="36:36" ht="11.25" customHeight="1">
      <c r="AJ5050"/>
    </row>
    <row r="5051" spans="36:36" ht="11.25" customHeight="1">
      <c r="AJ5051"/>
    </row>
    <row r="5052" spans="36:36" ht="11.25" customHeight="1">
      <c r="AJ5052"/>
    </row>
    <row r="5053" spans="36:36" ht="11.25" customHeight="1">
      <c r="AJ5053"/>
    </row>
    <row r="5054" spans="36:36" ht="11.25" customHeight="1">
      <c r="AJ5054"/>
    </row>
    <row r="5055" spans="36:36" ht="11.25" customHeight="1">
      <c r="AJ5055"/>
    </row>
    <row r="5056" spans="36:36" ht="11.25" customHeight="1">
      <c r="AJ5056"/>
    </row>
    <row r="5057" spans="36:36" ht="11.25" customHeight="1">
      <c r="AJ5057"/>
    </row>
    <row r="5058" spans="36:36" ht="11.25" customHeight="1">
      <c r="AJ5058"/>
    </row>
    <row r="5059" spans="36:36" ht="11.25" customHeight="1">
      <c r="AJ5059"/>
    </row>
    <row r="5060" spans="36:36" ht="11.25" customHeight="1">
      <c r="AJ5060"/>
    </row>
    <row r="5061" spans="36:36" ht="11.25" customHeight="1">
      <c r="AJ5061"/>
    </row>
    <row r="5062" spans="36:36" ht="11.25" customHeight="1">
      <c r="AJ5062"/>
    </row>
    <row r="5063" spans="36:36" ht="11.25" customHeight="1">
      <c r="AJ5063"/>
    </row>
    <row r="5064" spans="36:36" ht="11.25" customHeight="1">
      <c r="AJ5064"/>
    </row>
    <row r="5065" spans="36:36" ht="11.25" customHeight="1">
      <c r="AJ5065"/>
    </row>
    <row r="5066" spans="36:36" ht="11.25" customHeight="1">
      <c r="AJ5066"/>
    </row>
    <row r="5067" spans="36:36" ht="11.25" customHeight="1">
      <c r="AJ5067"/>
    </row>
    <row r="5068" spans="36:36" ht="11.25" customHeight="1">
      <c r="AJ5068"/>
    </row>
    <row r="5069" spans="36:36" ht="11.25" customHeight="1">
      <c r="AJ5069"/>
    </row>
    <row r="5070" spans="36:36" ht="11.25" customHeight="1">
      <c r="AJ5070"/>
    </row>
    <row r="5071" spans="36:36" ht="11.25" customHeight="1">
      <c r="AJ5071"/>
    </row>
    <row r="5072" spans="36:36" ht="11.25" customHeight="1">
      <c r="AJ5072"/>
    </row>
    <row r="5073" spans="36:36" ht="11.25" customHeight="1">
      <c r="AJ5073"/>
    </row>
    <row r="5074" spans="36:36" ht="11.25" customHeight="1">
      <c r="AJ5074"/>
    </row>
    <row r="5075" spans="36:36" ht="11.25" customHeight="1">
      <c r="AJ5075"/>
    </row>
    <row r="5076" spans="36:36" ht="11.25" customHeight="1">
      <c r="AJ5076"/>
    </row>
    <row r="5077" spans="36:36" ht="11.25" customHeight="1">
      <c r="AJ5077"/>
    </row>
    <row r="5078" spans="36:36" ht="11.25" customHeight="1">
      <c r="AJ5078"/>
    </row>
    <row r="5079" spans="36:36" ht="11.25" customHeight="1">
      <c r="AJ5079"/>
    </row>
    <row r="5080" spans="36:36" ht="11.25" customHeight="1">
      <c r="AJ5080"/>
    </row>
    <row r="5081" spans="36:36" ht="11.25" customHeight="1">
      <c r="AJ5081"/>
    </row>
    <row r="5082" spans="36:36" ht="11.25" customHeight="1">
      <c r="AJ5082"/>
    </row>
    <row r="5083" spans="36:36" ht="11.25" customHeight="1">
      <c r="AJ5083"/>
    </row>
    <row r="5084" spans="36:36" ht="11.25" customHeight="1">
      <c r="AJ5084"/>
    </row>
    <row r="5085" spans="36:36" ht="11.25" customHeight="1">
      <c r="AJ5085"/>
    </row>
    <row r="5086" spans="36:36" ht="11.25" customHeight="1">
      <c r="AJ5086"/>
    </row>
    <row r="5087" spans="36:36" ht="11.25" customHeight="1">
      <c r="AJ5087"/>
    </row>
    <row r="5088" spans="36:36" ht="11.25" customHeight="1">
      <c r="AJ5088"/>
    </row>
    <row r="5089" spans="36:36" ht="11.25" customHeight="1">
      <c r="AJ5089"/>
    </row>
    <row r="5090" spans="36:36" ht="11.25" customHeight="1">
      <c r="AJ5090"/>
    </row>
    <row r="5091" spans="36:36" ht="11.25" customHeight="1">
      <c r="AJ5091"/>
    </row>
    <row r="5092" spans="36:36" ht="11.25" customHeight="1">
      <c r="AJ5092"/>
    </row>
    <row r="5093" spans="36:36" ht="11.25" customHeight="1">
      <c r="AJ5093"/>
    </row>
    <row r="5094" spans="36:36" ht="11.25" customHeight="1">
      <c r="AJ5094"/>
    </row>
    <row r="5095" spans="36:36" ht="11.25" customHeight="1">
      <c r="AJ5095"/>
    </row>
    <row r="5096" spans="36:36" ht="11.25" customHeight="1">
      <c r="AJ5096"/>
    </row>
    <row r="5097" spans="36:36" ht="11.25" customHeight="1">
      <c r="AJ5097"/>
    </row>
    <row r="5098" spans="36:36" ht="11.25" customHeight="1">
      <c r="AJ5098"/>
    </row>
    <row r="5099" spans="36:36" ht="11.25" customHeight="1">
      <c r="AJ5099"/>
    </row>
    <row r="5100" spans="36:36" ht="11.25" customHeight="1">
      <c r="AJ5100"/>
    </row>
    <row r="5101" spans="36:36" ht="11.25" customHeight="1">
      <c r="AJ5101"/>
    </row>
    <row r="5102" spans="36:36" ht="11.25" customHeight="1">
      <c r="AJ5102"/>
    </row>
    <row r="5103" spans="36:36" ht="11.25" customHeight="1">
      <c r="AJ5103"/>
    </row>
    <row r="5104" spans="36:36" ht="11.25" customHeight="1">
      <c r="AJ5104"/>
    </row>
    <row r="5105" spans="36:36" ht="11.25" customHeight="1">
      <c r="AJ5105"/>
    </row>
    <row r="5106" spans="36:36" ht="11.25" customHeight="1">
      <c r="AJ5106"/>
    </row>
    <row r="5107" spans="36:36" ht="11.25" customHeight="1">
      <c r="AJ5107"/>
    </row>
    <row r="5108" spans="36:36" ht="11.25" customHeight="1">
      <c r="AJ5108"/>
    </row>
    <row r="5109" spans="36:36" ht="11.25" customHeight="1">
      <c r="AJ5109"/>
    </row>
    <row r="5110" spans="36:36" ht="11.25" customHeight="1">
      <c r="AJ5110"/>
    </row>
    <row r="5111" spans="36:36" ht="11.25" customHeight="1">
      <c r="AJ5111"/>
    </row>
    <row r="5112" spans="36:36" ht="11.25" customHeight="1">
      <c r="AJ5112"/>
    </row>
    <row r="5113" spans="36:36" ht="11.25" customHeight="1">
      <c r="AJ5113"/>
    </row>
    <row r="5114" spans="36:36" ht="11.25" customHeight="1">
      <c r="AJ5114"/>
    </row>
    <row r="5115" spans="36:36" ht="11.25" customHeight="1">
      <c r="AJ5115"/>
    </row>
    <row r="5116" spans="36:36" ht="11.25" customHeight="1">
      <c r="AJ5116"/>
    </row>
    <row r="5117" spans="36:36" ht="11.25" customHeight="1">
      <c r="AJ5117"/>
    </row>
    <row r="5118" spans="36:36" ht="11.25" customHeight="1">
      <c r="AJ5118"/>
    </row>
    <row r="5119" spans="36:36" ht="11.25" customHeight="1">
      <c r="AJ5119"/>
    </row>
    <row r="5120" spans="36:36" ht="11.25" customHeight="1">
      <c r="AJ5120"/>
    </row>
    <row r="5121" spans="36:36" ht="11.25" customHeight="1">
      <c r="AJ5121"/>
    </row>
    <row r="5122" spans="36:36" ht="11.25" customHeight="1">
      <c r="AJ5122"/>
    </row>
    <row r="5123" spans="36:36" ht="11.25" customHeight="1">
      <c r="AJ5123"/>
    </row>
    <row r="5124" spans="36:36" ht="11.25" customHeight="1">
      <c r="AJ5124"/>
    </row>
    <row r="5125" spans="36:36" ht="11.25" customHeight="1">
      <c r="AJ5125"/>
    </row>
    <row r="5126" spans="36:36" ht="11.25" customHeight="1">
      <c r="AJ5126"/>
    </row>
    <row r="5127" spans="36:36" ht="11.25" customHeight="1">
      <c r="AJ5127"/>
    </row>
    <row r="5128" spans="36:36" ht="11.25" customHeight="1">
      <c r="AJ5128"/>
    </row>
    <row r="5129" spans="36:36" ht="11.25" customHeight="1">
      <c r="AJ5129"/>
    </row>
    <row r="5130" spans="36:36" ht="11.25" customHeight="1">
      <c r="AJ5130"/>
    </row>
    <row r="5131" spans="36:36" ht="11.25" customHeight="1">
      <c r="AJ5131"/>
    </row>
    <row r="5132" spans="36:36" ht="11.25" customHeight="1">
      <c r="AJ5132"/>
    </row>
    <row r="5133" spans="36:36" ht="11.25" customHeight="1">
      <c r="AJ5133"/>
    </row>
    <row r="5134" spans="36:36" ht="11.25" customHeight="1">
      <c r="AJ5134"/>
    </row>
    <row r="5135" spans="36:36" ht="11.25" customHeight="1">
      <c r="AJ5135"/>
    </row>
    <row r="5136" spans="36:36" ht="11.25" customHeight="1">
      <c r="AJ5136"/>
    </row>
    <row r="5137" spans="36:36" ht="11.25" customHeight="1">
      <c r="AJ5137"/>
    </row>
    <row r="5138" spans="36:36" ht="11.25" customHeight="1">
      <c r="AJ5138"/>
    </row>
    <row r="5139" spans="36:36" ht="11.25" customHeight="1">
      <c r="AJ5139"/>
    </row>
    <row r="5140" spans="36:36" ht="11.25" customHeight="1">
      <c r="AJ5140"/>
    </row>
    <row r="5141" spans="36:36" ht="11.25" customHeight="1">
      <c r="AJ5141"/>
    </row>
    <row r="5142" spans="36:36" ht="11.25" customHeight="1">
      <c r="AJ5142"/>
    </row>
    <row r="5143" spans="36:36" ht="11.25" customHeight="1">
      <c r="AJ5143"/>
    </row>
    <row r="5144" spans="36:36" ht="11.25" customHeight="1">
      <c r="AJ5144"/>
    </row>
    <row r="5145" spans="36:36" ht="11.25" customHeight="1">
      <c r="AJ5145"/>
    </row>
    <row r="5146" spans="36:36" ht="11.25" customHeight="1">
      <c r="AJ5146"/>
    </row>
    <row r="5147" spans="36:36" ht="11.25" customHeight="1">
      <c r="AJ5147"/>
    </row>
    <row r="5148" spans="36:36" ht="11.25" customHeight="1">
      <c r="AJ5148"/>
    </row>
    <row r="5149" spans="36:36" ht="11.25" customHeight="1">
      <c r="AJ5149"/>
    </row>
    <row r="5150" spans="36:36" ht="11.25" customHeight="1">
      <c r="AJ5150"/>
    </row>
    <row r="5151" spans="36:36" ht="11.25" customHeight="1">
      <c r="AJ5151"/>
    </row>
    <row r="5152" spans="36:36" ht="11.25" customHeight="1">
      <c r="AJ5152"/>
    </row>
    <row r="5153" spans="36:36" ht="11.25" customHeight="1">
      <c r="AJ5153"/>
    </row>
    <row r="5154" spans="36:36" ht="11.25" customHeight="1">
      <c r="AJ5154"/>
    </row>
    <row r="5155" spans="36:36" ht="11.25" customHeight="1">
      <c r="AJ5155"/>
    </row>
    <row r="5156" spans="36:36" ht="11.25" customHeight="1">
      <c r="AJ5156"/>
    </row>
    <row r="5157" spans="36:36" ht="11.25" customHeight="1">
      <c r="AJ5157"/>
    </row>
    <row r="5158" spans="36:36" ht="11.25" customHeight="1">
      <c r="AJ5158"/>
    </row>
    <row r="5159" spans="36:36" ht="11.25" customHeight="1">
      <c r="AJ5159"/>
    </row>
    <row r="5160" spans="36:36" ht="11.25" customHeight="1">
      <c r="AJ5160"/>
    </row>
    <row r="5161" spans="36:36" ht="11.25" customHeight="1">
      <c r="AJ5161"/>
    </row>
    <row r="5162" spans="36:36" ht="11.25" customHeight="1">
      <c r="AJ5162"/>
    </row>
    <row r="5163" spans="36:36" ht="11.25" customHeight="1">
      <c r="AJ5163"/>
    </row>
    <row r="5164" spans="36:36" ht="11.25" customHeight="1">
      <c r="AJ5164"/>
    </row>
    <row r="5165" spans="36:36" ht="11.25" customHeight="1">
      <c r="AJ5165"/>
    </row>
    <row r="5166" spans="36:36" ht="11.25" customHeight="1">
      <c r="AJ5166"/>
    </row>
    <row r="5167" spans="36:36" ht="11.25" customHeight="1">
      <c r="AJ5167"/>
    </row>
    <row r="5168" spans="36:36" ht="11.25" customHeight="1">
      <c r="AJ5168"/>
    </row>
    <row r="5169" spans="36:36" ht="11.25" customHeight="1">
      <c r="AJ5169"/>
    </row>
    <row r="5170" spans="36:36" ht="11.25" customHeight="1">
      <c r="AJ5170"/>
    </row>
    <row r="5171" spans="36:36" ht="11.25" customHeight="1">
      <c r="AJ5171"/>
    </row>
    <row r="5172" spans="36:36" ht="11.25" customHeight="1">
      <c r="AJ5172"/>
    </row>
    <row r="5173" spans="36:36" ht="11.25" customHeight="1">
      <c r="AJ5173"/>
    </row>
    <row r="5174" spans="36:36" ht="11.25" customHeight="1">
      <c r="AJ5174"/>
    </row>
    <row r="5175" spans="36:36" ht="11.25" customHeight="1">
      <c r="AJ5175"/>
    </row>
    <row r="5176" spans="36:36" ht="11.25" customHeight="1">
      <c r="AJ5176"/>
    </row>
    <row r="5177" spans="36:36" ht="11.25" customHeight="1">
      <c r="AJ5177"/>
    </row>
    <row r="5178" spans="36:36" ht="11.25" customHeight="1">
      <c r="AJ5178"/>
    </row>
    <row r="5179" spans="36:36" ht="11.25" customHeight="1">
      <c r="AJ5179"/>
    </row>
    <row r="5180" spans="36:36" ht="11.25" customHeight="1">
      <c r="AJ5180"/>
    </row>
    <row r="5181" spans="36:36" ht="11.25" customHeight="1">
      <c r="AJ5181"/>
    </row>
    <row r="5182" spans="36:36" ht="11.25" customHeight="1">
      <c r="AJ5182"/>
    </row>
    <row r="5183" spans="36:36" ht="11.25" customHeight="1">
      <c r="AJ5183"/>
    </row>
    <row r="5184" spans="36:36" ht="11.25" customHeight="1">
      <c r="AJ5184"/>
    </row>
    <row r="5185" spans="36:36" ht="11.25" customHeight="1">
      <c r="AJ5185"/>
    </row>
    <row r="5186" spans="36:36" ht="11.25" customHeight="1">
      <c r="AJ5186"/>
    </row>
    <row r="5187" spans="36:36" ht="11.25" customHeight="1">
      <c r="AJ5187"/>
    </row>
    <row r="5188" spans="36:36" ht="11.25" customHeight="1">
      <c r="AJ5188"/>
    </row>
    <row r="5189" spans="36:36" ht="11.25" customHeight="1">
      <c r="AJ5189"/>
    </row>
    <row r="5190" spans="36:36" ht="11.25" customHeight="1">
      <c r="AJ5190"/>
    </row>
    <row r="5191" spans="36:36" ht="11.25" customHeight="1">
      <c r="AJ5191"/>
    </row>
    <row r="5192" spans="36:36" ht="11.25" customHeight="1">
      <c r="AJ5192"/>
    </row>
    <row r="5193" spans="36:36" ht="11.25" customHeight="1">
      <c r="AJ5193"/>
    </row>
    <row r="5194" spans="36:36" ht="11.25" customHeight="1">
      <c r="AJ5194"/>
    </row>
    <row r="5195" spans="36:36" ht="11.25" customHeight="1">
      <c r="AJ5195"/>
    </row>
    <row r="5196" spans="36:36" ht="11.25" customHeight="1">
      <c r="AJ5196"/>
    </row>
    <row r="5197" spans="36:36" ht="11.25" customHeight="1">
      <c r="AJ5197"/>
    </row>
    <row r="5198" spans="36:36" ht="11.25" customHeight="1">
      <c r="AJ5198"/>
    </row>
    <row r="5199" spans="36:36" ht="11.25" customHeight="1">
      <c r="AJ5199"/>
    </row>
    <row r="5200" spans="36:36" ht="11.25" customHeight="1">
      <c r="AJ5200"/>
    </row>
    <row r="5201" spans="36:36" ht="11.25" customHeight="1">
      <c r="AJ5201"/>
    </row>
    <row r="5202" spans="36:36" ht="11.25" customHeight="1">
      <c r="AJ5202"/>
    </row>
    <row r="5203" spans="36:36" ht="11.25" customHeight="1">
      <c r="AJ5203"/>
    </row>
    <row r="5204" spans="36:36" ht="11.25" customHeight="1">
      <c r="AJ5204"/>
    </row>
    <row r="5205" spans="36:36" ht="11.25" customHeight="1">
      <c r="AJ5205"/>
    </row>
    <row r="5206" spans="36:36" ht="11.25" customHeight="1">
      <c r="AJ5206"/>
    </row>
    <row r="5207" spans="36:36" ht="11.25" customHeight="1">
      <c r="AJ5207"/>
    </row>
    <row r="5208" spans="36:36" ht="11.25" customHeight="1">
      <c r="AJ5208"/>
    </row>
    <row r="5209" spans="36:36" ht="11.25" customHeight="1">
      <c r="AJ5209"/>
    </row>
    <row r="5210" spans="36:36" ht="11.25" customHeight="1">
      <c r="AJ5210"/>
    </row>
    <row r="5211" spans="36:36" ht="11.25" customHeight="1">
      <c r="AJ5211"/>
    </row>
    <row r="5212" spans="36:36" ht="11.25" customHeight="1">
      <c r="AJ5212"/>
    </row>
    <row r="5213" spans="36:36" ht="11.25" customHeight="1">
      <c r="AJ5213"/>
    </row>
    <row r="5214" spans="36:36" ht="11.25" customHeight="1">
      <c r="AJ5214"/>
    </row>
    <row r="5215" spans="36:36" ht="11.25" customHeight="1">
      <c r="AJ5215"/>
    </row>
    <row r="5216" spans="36:36" ht="11.25" customHeight="1">
      <c r="AJ5216"/>
    </row>
    <row r="5217" spans="36:36" ht="11.25" customHeight="1">
      <c r="AJ5217"/>
    </row>
    <row r="5218" spans="36:36" ht="11.25" customHeight="1">
      <c r="AJ5218"/>
    </row>
    <row r="5219" spans="36:36" ht="11.25" customHeight="1">
      <c r="AJ5219"/>
    </row>
    <row r="5220" spans="36:36" ht="11.25" customHeight="1">
      <c r="AJ5220"/>
    </row>
    <row r="5221" spans="36:36" ht="11.25" customHeight="1">
      <c r="AJ5221"/>
    </row>
    <row r="5222" spans="36:36" ht="11.25" customHeight="1">
      <c r="AJ5222"/>
    </row>
    <row r="5223" spans="36:36" ht="11.25" customHeight="1">
      <c r="AJ5223"/>
    </row>
    <row r="5224" spans="36:36" ht="11.25" customHeight="1">
      <c r="AJ5224"/>
    </row>
    <row r="5225" spans="36:36" ht="11.25" customHeight="1">
      <c r="AJ5225"/>
    </row>
    <row r="5226" spans="36:36" ht="11.25" customHeight="1">
      <c r="AJ5226"/>
    </row>
    <row r="5227" spans="36:36" ht="11.25" customHeight="1">
      <c r="AJ5227"/>
    </row>
    <row r="5228" spans="36:36" ht="11.25" customHeight="1">
      <c r="AJ5228"/>
    </row>
    <row r="5229" spans="36:36" ht="11.25" customHeight="1">
      <c r="AJ5229"/>
    </row>
    <row r="5230" spans="36:36" ht="11.25" customHeight="1">
      <c r="AJ5230"/>
    </row>
    <row r="5231" spans="36:36" ht="11.25" customHeight="1">
      <c r="AJ5231"/>
    </row>
    <row r="5232" spans="36:36" ht="11.25" customHeight="1">
      <c r="AJ5232"/>
    </row>
    <row r="5233" spans="36:36" ht="11.25" customHeight="1">
      <c r="AJ5233"/>
    </row>
    <row r="5234" spans="36:36" ht="11.25" customHeight="1">
      <c r="AJ5234"/>
    </row>
    <row r="5235" spans="36:36" ht="11.25" customHeight="1">
      <c r="AJ5235"/>
    </row>
    <row r="5236" spans="36:36" ht="11.25" customHeight="1">
      <c r="AJ5236"/>
    </row>
    <row r="5237" spans="36:36" ht="11.25" customHeight="1">
      <c r="AJ5237"/>
    </row>
    <row r="5238" spans="36:36" ht="11.25" customHeight="1">
      <c r="AJ5238"/>
    </row>
    <row r="5239" spans="36:36" ht="11.25" customHeight="1">
      <c r="AJ5239"/>
    </row>
    <row r="5240" spans="36:36" ht="11.25" customHeight="1">
      <c r="AJ5240"/>
    </row>
    <row r="5241" spans="36:36" ht="11.25" customHeight="1">
      <c r="AJ5241"/>
    </row>
    <row r="5242" spans="36:36" ht="11.25" customHeight="1">
      <c r="AJ5242"/>
    </row>
    <row r="5243" spans="36:36" ht="11.25" customHeight="1">
      <c r="AJ5243"/>
    </row>
    <row r="5244" spans="36:36" ht="11.25" customHeight="1">
      <c r="AJ5244"/>
    </row>
    <row r="5245" spans="36:36" ht="11.25" customHeight="1">
      <c r="AJ5245"/>
    </row>
    <row r="5246" spans="36:36" ht="11.25" customHeight="1">
      <c r="AJ5246"/>
    </row>
    <row r="5247" spans="36:36" ht="11.25" customHeight="1">
      <c r="AJ5247"/>
    </row>
    <row r="5248" spans="36:36" ht="11.25" customHeight="1">
      <c r="AJ5248"/>
    </row>
    <row r="5249" spans="36:36" ht="11.25" customHeight="1">
      <c r="AJ5249"/>
    </row>
    <row r="5250" spans="36:36" ht="11.25" customHeight="1">
      <c r="AJ5250"/>
    </row>
    <row r="5251" spans="36:36" ht="11.25" customHeight="1">
      <c r="AJ5251"/>
    </row>
    <row r="5252" spans="36:36" ht="11.25" customHeight="1">
      <c r="AJ5252"/>
    </row>
    <row r="5253" spans="36:36" ht="11.25" customHeight="1">
      <c r="AJ5253"/>
    </row>
    <row r="5254" spans="36:36" ht="11.25" customHeight="1">
      <c r="AJ5254"/>
    </row>
    <row r="5255" spans="36:36" ht="11.25" customHeight="1">
      <c r="AJ5255"/>
    </row>
    <row r="5256" spans="36:36" ht="11.25" customHeight="1">
      <c r="AJ5256"/>
    </row>
    <row r="5257" spans="36:36" ht="11.25" customHeight="1">
      <c r="AJ5257"/>
    </row>
    <row r="5258" spans="36:36" ht="11.25" customHeight="1">
      <c r="AJ5258"/>
    </row>
    <row r="5259" spans="36:36" ht="11.25" customHeight="1">
      <c r="AJ5259"/>
    </row>
    <row r="5260" spans="36:36" ht="11.25" customHeight="1">
      <c r="AJ5260"/>
    </row>
    <row r="5261" spans="36:36" ht="11.25" customHeight="1">
      <c r="AJ5261"/>
    </row>
    <row r="5262" spans="36:36" ht="11.25" customHeight="1">
      <c r="AJ5262"/>
    </row>
    <row r="5263" spans="36:36" ht="11.25" customHeight="1">
      <c r="AJ5263"/>
    </row>
    <row r="5264" spans="36:36" ht="11.25" customHeight="1">
      <c r="AJ5264"/>
    </row>
    <row r="5265" spans="36:36" ht="11.25" customHeight="1">
      <c r="AJ5265"/>
    </row>
    <row r="5266" spans="36:36" ht="11.25" customHeight="1">
      <c r="AJ5266"/>
    </row>
    <row r="5267" spans="36:36" ht="11.25" customHeight="1">
      <c r="AJ5267"/>
    </row>
    <row r="5268" spans="36:36" ht="11.25" customHeight="1">
      <c r="AJ5268"/>
    </row>
    <row r="5269" spans="36:36" ht="11.25" customHeight="1">
      <c r="AJ5269"/>
    </row>
    <row r="5270" spans="36:36" ht="11.25" customHeight="1">
      <c r="AJ5270"/>
    </row>
    <row r="5271" spans="36:36" ht="11.25" customHeight="1">
      <c r="AJ5271"/>
    </row>
    <row r="5272" spans="36:36" ht="11.25" customHeight="1">
      <c r="AJ5272"/>
    </row>
    <row r="5273" spans="36:36" ht="11.25" customHeight="1">
      <c r="AJ5273"/>
    </row>
    <row r="5274" spans="36:36" ht="11.25" customHeight="1">
      <c r="AJ5274"/>
    </row>
    <row r="5275" spans="36:36" ht="11.25" customHeight="1">
      <c r="AJ5275"/>
    </row>
    <row r="5276" spans="36:36" ht="11.25" customHeight="1">
      <c r="AJ5276"/>
    </row>
    <row r="5277" spans="36:36" ht="11.25" customHeight="1">
      <c r="AJ5277"/>
    </row>
    <row r="5278" spans="36:36" ht="11.25" customHeight="1">
      <c r="AJ5278"/>
    </row>
    <row r="5279" spans="36:36" ht="11.25" customHeight="1">
      <c r="AJ5279"/>
    </row>
    <row r="5280" spans="36:36" ht="11.25" customHeight="1">
      <c r="AJ5280"/>
    </row>
    <row r="5281" spans="36:36" ht="11.25" customHeight="1">
      <c r="AJ5281"/>
    </row>
    <row r="5282" spans="36:36" ht="11.25" customHeight="1">
      <c r="AJ5282"/>
    </row>
    <row r="5283" spans="36:36" ht="11.25" customHeight="1">
      <c r="AJ5283"/>
    </row>
    <row r="5284" spans="36:36" ht="11.25" customHeight="1">
      <c r="AJ5284"/>
    </row>
    <row r="5285" spans="36:36" ht="11.25" customHeight="1">
      <c r="AJ5285"/>
    </row>
    <row r="5286" spans="36:36" ht="11.25" customHeight="1">
      <c r="AJ5286"/>
    </row>
    <row r="5287" spans="36:36" ht="11.25" customHeight="1">
      <c r="AJ5287"/>
    </row>
    <row r="5288" spans="36:36" ht="11.25" customHeight="1">
      <c r="AJ5288"/>
    </row>
    <row r="5289" spans="36:36" ht="11.25" customHeight="1">
      <c r="AJ5289"/>
    </row>
    <row r="5290" spans="36:36" ht="11.25" customHeight="1">
      <c r="AJ5290"/>
    </row>
    <row r="5291" spans="36:36" ht="11.25" customHeight="1">
      <c r="AJ5291"/>
    </row>
    <row r="5292" spans="36:36" ht="11.25" customHeight="1">
      <c r="AJ5292"/>
    </row>
    <row r="5293" spans="36:36" ht="11.25" customHeight="1">
      <c r="AJ5293"/>
    </row>
    <row r="5294" spans="36:36" ht="11.25" customHeight="1">
      <c r="AJ5294"/>
    </row>
    <row r="5295" spans="36:36" ht="11.25" customHeight="1">
      <c r="AJ5295"/>
    </row>
    <row r="5296" spans="36:36" ht="11.25" customHeight="1">
      <c r="AJ5296"/>
    </row>
    <row r="5297" spans="36:36" ht="11.25" customHeight="1">
      <c r="AJ5297"/>
    </row>
    <row r="5298" spans="36:36" ht="11.25" customHeight="1">
      <c r="AJ5298"/>
    </row>
    <row r="5299" spans="36:36" ht="11.25" customHeight="1">
      <c r="AJ5299"/>
    </row>
    <row r="5300" spans="36:36" ht="11.25" customHeight="1">
      <c r="AJ5300"/>
    </row>
    <row r="5301" spans="36:36" ht="11.25" customHeight="1">
      <c r="AJ5301"/>
    </row>
    <row r="5302" spans="36:36" ht="11.25" customHeight="1">
      <c r="AJ5302"/>
    </row>
    <row r="5303" spans="36:36" ht="11.25" customHeight="1">
      <c r="AJ5303"/>
    </row>
    <row r="5304" spans="36:36" ht="11.25" customHeight="1">
      <c r="AJ5304"/>
    </row>
    <row r="5305" spans="36:36" ht="11.25" customHeight="1">
      <c r="AJ5305"/>
    </row>
    <row r="5306" spans="36:36" ht="11.25" customHeight="1">
      <c r="AJ5306"/>
    </row>
    <row r="5307" spans="36:36" ht="11.25" customHeight="1">
      <c r="AJ5307"/>
    </row>
    <row r="5308" spans="36:36" ht="11.25" customHeight="1">
      <c r="AJ5308"/>
    </row>
    <row r="5309" spans="36:36" ht="11.25" customHeight="1">
      <c r="AJ5309"/>
    </row>
    <row r="5310" spans="36:36" ht="11.25" customHeight="1">
      <c r="AJ5310"/>
    </row>
    <row r="5311" spans="36:36" ht="11.25" customHeight="1">
      <c r="AJ5311"/>
    </row>
    <row r="5312" spans="36:36" ht="11.25" customHeight="1">
      <c r="AJ5312"/>
    </row>
    <row r="5313" spans="36:36" ht="11.25" customHeight="1">
      <c r="AJ5313"/>
    </row>
    <row r="5314" spans="36:36" ht="11.25" customHeight="1">
      <c r="AJ5314"/>
    </row>
    <row r="5315" spans="36:36" ht="11.25" customHeight="1">
      <c r="AJ5315"/>
    </row>
    <row r="5316" spans="36:36" ht="11.25" customHeight="1">
      <c r="AJ5316"/>
    </row>
    <row r="5317" spans="36:36" ht="11.25" customHeight="1">
      <c r="AJ5317"/>
    </row>
    <row r="5318" spans="36:36" ht="11.25" customHeight="1">
      <c r="AJ5318"/>
    </row>
    <row r="5319" spans="36:36" ht="11.25" customHeight="1">
      <c r="AJ5319"/>
    </row>
    <row r="5320" spans="36:36" ht="11.25" customHeight="1">
      <c r="AJ5320"/>
    </row>
    <row r="5321" spans="36:36" ht="11.25" customHeight="1">
      <c r="AJ5321"/>
    </row>
    <row r="5322" spans="36:36" ht="11.25" customHeight="1">
      <c r="AJ5322"/>
    </row>
    <row r="5323" spans="36:36" ht="11.25" customHeight="1">
      <c r="AJ5323"/>
    </row>
    <row r="5324" spans="36:36" ht="11.25" customHeight="1">
      <c r="AJ5324"/>
    </row>
    <row r="5325" spans="36:36" ht="11.25" customHeight="1">
      <c r="AJ5325"/>
    </row>
    <row r="5326" spans="36:36" ht="11.25" customHeight="1">
      <c r="AJ5326"/>
    </row>
    <row r="5327" spans="36:36" ht="11.25" customHeight="1">
      <c r="AJ5327"/>
    </row>
    <row r="5328" spans="36:36" ht="11.25" customHeight="1">
      <c r="AJ5328"/>
    </row>
    <row r="5329" spans="36:36" ht="11.25" customHeight="1">
      <c r="AJ5329"/>
    </row>
    <row r="5330" spans="36:36" ht="11.25" customHeight="1">
      <c r="AJ5330"/>
    </row>
    <row r="5331" spans="36:36" ht="11.25" customHeight="1">
      <c r="AJ5331"/>
    </row>
    <row r="5332" spans="36:36" ht="11.25" customHeight="1">
      <c r="AJ5332"/>
    </row>
    <row r="5333" spans="36:36" ht="11.25" customHeight="1">
      <c r="AJ5333"/>
    </row>
    <row r="5334" spans="36:36" ht="11.25" customHeight="1">
      <c r="AJ5334"/>
    </row>
    <row r="5335" spans="36:36" ht="11.25" customHeight="1">
      <c r="AJ5335"/>
    </row>
    <row r="5336" spans="36:36" ht="11.25" customHeight="1">
      <c r="AJ5336"/>
    </row>
    <row r="5337" spans="36:36" ht="11.25" customHeight="1">
      <c r="AJ5337"/>
    </row>
    <row r="5338" spans="36:36" ht="11.25" customHeight="1">
      <c r="AJ5338"/>
    </row>
    <row r="5339" spans="36:36" ht="11.25" customHeight="1">
      <c r="AJ5339"/>
    </row>
    <row r="5340" spans="36:36" ht="11.25" customHeight="1">
      <c r="AJ5340"/>
    </row>
    <row r="5341" spans="36:36" ht="11.25" customHeight="1">
      <c r="AJ5341"/>
    </row>
    <row r="5342" spans="36:36" ht="11.25" customHeight="1">
      <c r="AJ5342"/>
    </row>
    <row r="5343" spans="36:36" ht="11.25" customHeight="1">
      <c r="AJ5343"/>
    </row>
    <row r="5344" spans="36:36" ht="11.25" customHeight="1">
      <c r="AJ5344"/>
    </row>
    <row r="5345" spans="36:36" ht="11.25" customHeight="1">
      <c r="AJ5345"/>
    </row>
    <row r="5346" spans="36:36" ht="11.25" customHeight="1">
      <c r="AJ5346"/>
    </row>
    <row r="5347" spans="36:36" ht="11.25" customHeight="1">
      <c r="AJ5347"/>
    </row>
    <row r="5348" spans="36:36" ht="11.25" customHeight="1">
      <c r="AJ5348"/>
    </row>
    <row r="5349" spans="36:36" ht="11.25" customHeight="1">
      <c r="AJ5349"/>
    </row>
    <row r="5350" spans="36:36" ht="11.25" customHeight="1">
      <c r="AJ5350"/>
    </row>
    <row r="5351" spans="36:36" ht="11.25" customHeight="1">
      <c r="AJ5351"/>
    </row>
    <row r="5352" spans="36:36" ht="11.25" customHeight="1">
      <c r="AJ5352"/>
    </row>
    <row r="5353" spans="36:36" ht="11.25" customHeight="1">
      <c r="AJ5353"/>
    </row>
    <row r="5354" spans="36:36" ht="11.25" customHeight="1">
      <c r="AJ5354"/>
    </row>
    <row r="5355" spans="36:36" ht="11.25" customHeight="1">
      <c r="AJ5355"/>
    </row>
    <row r="5356" spans="36:36" ht="11.25" customHeight="1">
      <c r="AJ5356"/>
    </row>
    <row r="5357" spans="36:36" ht="11.25" customHeight="1">
      <c r="AJ5357"/>
    </row>
    <row r="5358" spans="36:36" ht="11.25" customHeight="1">
      <c r="AJ5358"/>
    </row>
    <row r="5359" spans="36:36" ht="11.25" customHeight="1">
      <c r="AJ5359"/>
    </row>
    <row r="5360" spans="36:36" ht="11.25" customHeight="1">
      <c r="AJ5360"/>
    </row>
    <row r="5361" spans="36:36" ht="11.25" customHeight="1">
      <c r="AJ5361"/>
    </row>
    <row r="5362" spans="36:36" ht="11.25" customHeight="1">
      <c r="AJ5362"/>
    </row>
    <row r="5363" spans="36:36" ht="11.25" customHeight="1">
      <c r="AJ5363"/>
    </row>
    <row r="5364" spans="36:36" ht="11.25" customHeight="1">
      <c r="AJ5364"/>
    </row>
    <row r="5365" spans="36:36" ht="11.25" customHeight="1">
      <c r="AJ5365"/>
    </row>
    <row r="5366" spans="36:36" ht="11.25" customHeight="1">
      <c r="AJ5366"/>
    </row>
    <row r="5367" spans="36:36" ht="11.25" customHeight="1">
      <c r="AJ5367"/>
    </row>
    <row r="5368" spans="36:36" ht="11.25" customHeight="1">
      <c r="AJ5368"/>
    </row>
    <row r="5369" spans="36:36" ht="11.25" customHeight="1">
      <c r="AJ5369"/>
    </row>
    <row r="5370" spans="36:36" ht="11.25" customHeight="1">
      <c r="AJ5370"/>
    </row>
    <row r="5371" spans="36:36" ht="11.25" customHeight="1">
      <c r="AJ5371"/>
    </row>
    <row r="5372" spans="36:36" ht="11.25" customHeight="1">
      <c r="AJ5372"/>
    </row>
    <row r="5373" spans="36:36" ht="11.25" customHeight="1">
      <c r="AJ5373"/>
    </row>
    <row r="5374" spans="36:36" ht="11.25" customHeight="1">
      <c r="AJ5374"/>
    </row>
    <row r="5375" spans="36:36" ht="11.25" customHeight="1">
      <c r="AJ5375"/>
    </row>
    <row r="5376" spans="36:36" ht="11.25" customHeight="1">
      <c r="AJ5376"/>
    </row>
    <row r="5377" spans="36:36" ht="11.25" customHeight="1">
      <c r="AJ5377"/>
    </row>
    <row r="5378" spans="36:36" ht="11.25" customHeight="1">
      <c r="AJ5378"/>
    </row>
    <row r="5379" spans="36:36" ht="11.25" customHeight="1">
      <c r="AJ5379"/>
    </row>
    <row r="5380" spans="36:36" ht="11.25" customHeight="1">
      <c r="AJ5380"/>
    </row>
    <row r="5381" spans="36:36" ht="11.25" customHeight="1">
      <c r="AJ5381"/>
    </row>
    <row r="5382" spans="36:36" ht="11.25" customHeight="1">
      <c r="AJ5382"/>
    </row>
    <row r="5383" spans="36:36" ht="11.25" customHeight="1">
      <c r="AJ5383"/>
    </row>
    <row r="5384" spans="36:36" ht="11.25" customHeight="1">
      <c r="AJ5384"/>
    </row>
    <row r="5385" spans="36:36" ht="11.25" customHeight="1">
      <c r="AJ5385"/>
    </row>
    <row r="5386" spans="36:36" ht="11.25" customHeight="1">
      <c r="AJ5386"/>
    </row>
    <row r="5387" spans="36:36" ht="11.25" customHeight="1">
      <c r="AJ5387"/>
    </row>
    <row r="5388" spans="36:36" ht="11.25" customHeight="1">
      <c r="AJ5388"/>
    </row>
    <row r="5389" spans="36:36" ht="11.25" customHeight="1">
      <c r="AJ5389"/>
    </row>
    <row r="5390" spans="36:36" ht="11.25" customHeight="1">
      <c r="AJ5390"/>
    </row>
    <row r="5391" spans="36:36" ht="11.25" customHeight="1">
      <c r="AJ5391"/>
    </row>
    <row r="5392" spans="36:36" ht="11.25" customHeight="1">
      <c r="AJ5392"/>
    </row>
    <row r="5393" spans="36:36" ht="11.25" customHeight="1">
      <c r="AJ5393"/>
    </row>
    <row r="5394" spans="36:36" ht="11.25" customHeight="1">
      <c r="AJ5394"/>
    </row>
    <row r="5395" spans="36:36" ht="11.25" customHeight="1">
      <c r="AJ5395"/>
    </row>
    <row r="5396" spans="36:36" ht="11.25" customHeight="1">
      <c r="AJ5396"/>
    </row>
    <row r="5397" spans="36:36" ht="11.25" customHeight="1">
      <c r="AJ5397"/>
    </row>
    <row r="5398" spans="36:36" ht="11.25" customHeight="1">
      <c r="AJ5398"/>
    </row>
    <row r="5399" spans="36:36" ht="11.25" customHeight="1">
      <c r="AJ5399"/>
    </row>
    <row r="5400" spans="36:36" ht="11.25" customHeight="1">
      <c r="AJ5400"/>
    </row>
    <row r="5401" spans="36:36" ht="11.25" customHeight="1">
      <c r="AJ5401"/>
    </row>
    <row r="5402" spans="36:36" ht="11.25" customHeight="1">
      <c r="AJ5402"/>
    </row>
    <row r="5403" spans="36:36" ht="11.25" customHeight="1">
      <c r="AJ5403"/>
    </row>
    <row r="5404" spans="36:36" ht="11.25" customHeight="1">
      <c r="AJ5404"/>
    </row>
    <row r="5405" spans="36:36" ht="11.25" customHeight="1">
      <c r="AJ5405"/>
    </row>
    <row r="5406" spans="36:36" ht="11.25" customHeight="1">
      <c r="AJ5406"/>
    </row>
    <row r="5407" spans="36:36" ht="11.25" customHeight="1">
      <c r="AJ5407"/>
    </row>
    <row r="5408" spans="36:36" ht="11.25" customHeight="1">
      <c r="AJ5408"/>
    </row>
    <row r="5409" spans="36:36" ht="11.25" customHeight="1">
      <c r="AJ5409"/>
    </row>
    <row r="5410" spans="36:36" ht="11.25" customHeight="1">
      <c r="AJ5410"/>
    </row>
    <row r="5411" spans="36:36" ht="11.25" customHeight="1">
      <c r="AJ5411"/>
    </row>
    <row r="5412" spans="36:36" ht="11.25" customHeight="1">
      <c r="AJ5412"/>
    </row>
    <row r="5413" spans="36:36" ht="11.25" customHeight="1">
      <c r="AJ5413"/>
    </row>
    <row r="5414" spans="36:36" ht="11.25" customHeight="1">
      <c r="AJ5414"/>
    </row>
    <row r="5415" spans="36:36" ht="11.25" customHeight="1">
      <c r="AJ5415"/>
    </row>
    <row r="5416" spans="36:36" ht="11.25" customHeight="1">
      <c r="AJ5416"/>
    </row>
    <row r="5417" spans="36:36" ht="11.25" customHeight="1">
      <c r="AJ5417"/>
    </row>
    <row r="5418" spans="36:36" ht="11.25" customHeight="1">
      <c r="AJ5418"/>
    </row>
    <row r="5419" spans="36:36" ht="11.25" customHeight="1">
      <c r="AJ5419"/>
    </row>
    <row r="5420" spans="36:36" ht="11.25" customHeight="1">
      <c r="AJ5420"/>
    </row>
    <row r="5421" spans="36:36" ht="11.25" customHeight="1">
      <c r="AJ5421"/>
    </row>
    <row r="5422" spans="36:36" ht="11.25" customHeight="1">
      <c r="AJ5422"/>
    </row>
    <row r="5423" spans="36:36" ht="11.25" customHeight="1">
      <c r="AJ5423"/>
    </row>
    <row r="5424" spans="36:36" ht="11.25" customHeight="1">
      <c r="AJ5424"/>
    </row>
    <row r="5425" spans="36:36" ht="11.25" customHeight="1">
      <c r="AJ5425"/>
    </row>
    <row r="5426" spans="36:36" ht="11.25" customHeight="1">
      <c r="AJ5426"/>
    </row>
    <row r="5427" spans="36:36" ht="11.25" customHeight="1">
      <c r="AJ5427"/>
    </row>
    <row r="5428" spans="36:36" ht="11.25" customHeight="1">
      <c r="AJ5428"/>
    </row>
    <row r="5429" spans="36:36" ht="11.25" customHeight="1">
      <c r="AJ5429"/>
    </row>
    <row r="5430" spans="36:36" ht="11.25" customHeight="1">
      <c r="AJ5430"/>
    </row>
    <row r="5431" spans="36:36" ht="11.25" customHeight="1">
      <c r="AJ5431"/>
    </row>
    <row r="5432" spans="36:36" ht="11.25" customHeight="1">
      <c r="AJ5432"/>
    </row>
    <row r="5433" spans="36:36" ht="11.25" customHeight="1">
      <c r="AJ5433"/>
    </row>
    <row r="5434" spans="36:36" ht="11.25" customHeight="1">
      <c r="AJ5434"/>
    </row>
    <row r="5435" spans="36:36" ht="11.25" customHeight="1">
      <c r="AJ5435"/>
    </row>
    <row r="5436" spans="36:36" ht="11.25" customHeight="1">
      <c r="AJ5436"/>
    </row>
    <row r="5437" spans="36:36" ht="11.25" customHeight="1">
      <c r="AJ5437"/>
    </row>
    <row r="5438" spans="36:36" ht="11.25" customHeight="1">
      <c r="AJ5438"/>
    </row>
    <row r="5439" spans="36:36" ht="11.25" customHeight="1">
      <c r="AJ5439"/>
    </row>
    <row r="5440" spans="36:36" ht="11.25" customHeight="1">
      <c r="AJ5440"/>
    </row>
    <row r="5441" spans="36:36" ht="11.25" customHeight="1">
      <c r="AJ5441"/>
    </row>
    <row r="5442" spans="36:36" ht="11.25" customHeight="1">
      <c r="AJ5442"/>
    </row>
    <row r="5443" spans="36:36" ht="11.25" customHeight="1">
      <c r="AJ5443"/>
    </row>
    <row r="5444" spans="36:36" ht="11.25" customHeight="1">
      <c r="AJ5444"/>
    </row>
    <row r="5445" spans="36:36" ht="11.25" customHeight="1">
      <c r="AJ5445"/>
    </row>
    <row r="5446" spans="36:36" ht="11.25" customHeight="1">
      <c r="AJ5446"/>
    </row>
    <row r="5447" spans="36:36" ht="11.25" customHeight="1">
      <c r="AJ5447"/>
    </row>
    <row r="5448" spans="36:36" ht="11.25" customHeight="1">
      <c r="AJ5448"/>
    </row>
    <row r="5449" spans="36:36" ht="11.25" customHeight="1">
      <c r="AJ5449"/>
    </row>
    <row r="5450" spans="36:36" ht="11.25" customHeight="1">
      <c r="AJ5450"/>
    </row>
    <row r="5451" spans="36:36" ht="11.25" customHeight="1">
      <c r="AJ5451"/>
    </row>
    <row r="5452" spans="36:36" ht="11.25" customHeight="1">
      <c r="AJ5452"/>
    </row>
    <row r="5453" spans="36:36" ht="11.25" customHeight="1">
      <c r="AJ5453"/>
    </row>
    <row r="5454" spans="36:36" ht="11.25" customHeight="1">
      <c r="AJ5454"/>
    </row>
    <row r="5455" spans="36:36" ht="11.25" customHeight="1">
      <c r="AJ5455"/>
    </row>
    <row r="5456" spans="36:36" ht="11.25" customHeight="1">
      <c r="AJ5456"/>
    </row>
    <row r="5457" spans="36:36" ht="11.25" customHeight="1">
      <c r="AJ5457"/>
    </row>
    <row r="5458" spans="36:36" ht="11.25" customHeight="1">
      <c r="AJ5458"/>
    </row>
    <row r="5459" spans="36:36" ht="11.25" customHeight="1">
      <c r="AJ5459"/>
    </row>
    <row r="5460" spans="36:36" ht="11.25" customHeight="1">
      <c r="AJ5460"/>
    </row>
    <row r="5461" spans="36:36" ht="11.25" customHeight="1">
      <c r="AJ5461"/>
    </row>
    <row r="5462" spans="36:36" ht="11.25" customHeight="1">
      <c r="AJ5462"/>
    </row>
    <row r="5463" spans="36:36" ht="11.25" customHeight="1">
      <c r="AJ5463"/>
    </row>
    <row r="5464" spans="36:36" ht="11.25" customHeight="1">
      <c r="AJ5464"/>
    </row>
    <row r="5465" spans="36:36" ht="11.25" customHeight="1">
      <c r="AJ5465"/>
    </row>
    <row r="5466" spans="36:36" ht="11.25" customHeight="1">
      <c r="AJ5466"/>
    </row>
    <row r="5467" spans="36:36" ht="11.25" customHeight="1">
      <c r="AJ5467"/>
    </row>
    <row r="5468" spans="36:36" ht="11.25" customHeight="1">
      <c r="AJ5468"/>
    </row>
    <row r="5469" spans="36:36" ht="11.25" customHeight="1">
      <c r="AJ5469"/>
    </row>
    <row r="5470" spans="36:36" ht="11.25" customHeight="1">
      <c r="AJ5470"/>
    </row>
    <row r="5471" spans="36:36" ht="11.25" customHeight="1">
      <c r="AJ5471"/>
    </row>
    <row r="5472" spans="36:36" ht="11.25" customHeight="1">
      <c r="AJ5472"/>
    </row>
    <row r="5473" spans="36:36" ht="11.25" customHeight="1">
      <c r="AJ5473"/>
    </row>
    <row r="5474" spans="36:36" ht="11.25" customHeight="1">
      <c r="AJ5474"/>
    </row>
    <row r="5475" spans="36:36" ht="11.25" customHeight="1">
      <c r="AJ5475"/>
    </row>
    <row r="5476" spans="36:36" ht="11.25" customHeight="1">
      <c r="AJ5476"/>
    </row>
    <row r="5477" spans="36:36" ht="11.25" customHeight="1">
      <c r="AJ5477"/>
    </row>
    <row r="5478" spans="36:36" ht="11.25" customHeight="1">
      <c r="AJ5478"/>
    </row>
    <row r="5479" spans="36:36" ht="11.25" customHeight="1">
      <c r="AJ5479"/>
    </row>
    <row r="5480" spans="36:36" ht="11.25" customHeight="1">
      <c r="AJ5480"/>
    </row>
    <row r="5481" spans="36:36" ht="11.25" customHeight="1">
      <c r="AJ5481"/>
    </row>
    <row r="5482" spans="36:36" ht="11.25" customHeight="1">
      <c r="AJ5482"/>
    </row>
    <row r="5483" spans="36:36" ht="11.25" customHeight="1">
      <c r="AJ5483"/>
    </row>
    <row r="5484" spans="36:36" ht="11.25" customHeight="1">
      <c r="AJ5484"/>
    </row>
    <row r="5485" spans="36:36" ht="11.25" customHeight="1">
      <c r="AJ5485"/>
    </row>
    <row r="5486" spans="36:36" ht="11.25" customHeight="1">
      <c r="AJ5486"/>
    </row>
    <row r="5487" spans="36:36" ht="11.25" customHeight="1">
      <c r="AJ5487"/>
    </row>
    <row r="5488" spans="36:36" ht="11.25" customHeight="1">
      <c r="AJ5488"/>
    </row>
    <row r="5489" spans="36:36" ht="11.25" customHeight="1">
      <c r="AJ5489"/>
    </row>
    <row r="5490" spans="36:36" ht="11.25" customHeight="1">
      <c r="AJ5490"/>
    </row>
    <row r="5491" spans="36:36" ht="11.25" customHeight="1">
      <c r="AJ5491"/>
    </row>
    <row r="5492" spans="36:36" ht="11.25" customHeight="1">
      <c r="AJ5492"/>
    </row>
    <row r="5493" spans="36:36" ht="11.25" customHeight="1">
      <c r="AJ5493"/>
    </row>
    <row r="5494" spans="36:36" ht="11.25" customHeight="1">
      <c r="AJ5494"/>
    </row>
    <row r="5495" spans="36:36" ht="11.25" customHeight="1">
      <c r="AJ5495"/>
    </row>
    <row r="5496" spans="36:36" ht="11.25" customHeight="1">
      <c r="AJ5496"/>
    </row>
    <row r="5497" spans="36:36" ht="11.25" customHeight="1">
      <c r="AJ5497"/>
    </row>
    <row r="5498" spans="36:36" ht="11.25" customHeight="1">
      <c r="AJ5498"/>
    </row>
    <row r="5499" spans="36:36" ht="11.25" customHeight="1">
      <c r="AJ5499"/>
    </row>
    <row r="5500" spans="36:36" ht="11.25" customHeight="1">
      <c r="AJ5500"/>
    </row>
    <row r="5501" spans="36:36" ht="11.25" customHeight="1">
      <c r="AJ5501"/>
    </row>
    <row r="5502" spans="36:36" ht="11.25" customHeight="1">
      <c r="AJ5502"/>
    </row>
    <row r="5503" spans="36:36" ht="11.25" customHeight="1">
      <c r="AJ5503"/>
    </row>
    <row r="5504" spans="36:36" ht="11.25" customHeight="1">
      <c r="AJ5504"/>
    </row>
    <row r="5505" spans="36:36" ht="11.25" customHeight="1">
      <c r="AJ5505"/>
    </row>
    <row r="5506" spans="36:36" ht="11.25" customHeight="1">
      <c r="AJ5506"/>
    </row>
    <row r="5507" spans="36:36" ht="11.25" customHeight="1">
      <c r="AJ5507"/>
    </row>
    <row r="5508" spans="36:36" ht="11.25" customHeight="1">
      <c r="AJ5508"/>
    </row>
    <row r="5509" spans="36:36" ht="11.25" customHeight="1">
      <c r="AJ5509"/>
    </row>
    <row r="5510" spans="36:36" ht="11.25" customHeight="1">
      <c r="AJ5510"/>
    </row>
    <row r="5511" spans="36:36" ht="11.25" customHeight="1">
      <c r="AJ5511"/>
    </row>
    <row r="5512" spans="36:36" ht="11.25" customHeight="1">
      <c r="AJ5512"/>
    </row>
    <row r="5513" spans="36:36" ht="11.25" customHeight="1">
      <c r="AJ5513"/>
    </row>
    <row r="5514" spans="36:36" ht="11.25" customHeight="1">
      <c r="AJ5514"/>
    </row>
    <row r="5515" spans="36:36" ht="11.25" customHeight="1">
      <c r="AJ5515"/>
    </row>
    <row r="5516" spans="36:36" ht="11.25" customHeight="1">
      <c r="AJ5516"/>
    </row>
    <row r="5517" spans="36:36" ht="11.25" customHeight="1">
      <c r="AJ5517"/>
    </row>
    <row r="5518" spans="36:36" ht="11.25" customHeight="1">
      <c r="AJ5518"/>
    </row>
    <row r="5519" spans="36:36" ht="11.25" customHeight="1">
      <c r="AJ5519"/>
    </row>
    <row r="5520" spans="36:36" ht="11.25" customHeight="1">
      <c r="AJ5520"/>
    </row>
    <row r="5521" spans="36:36" ht="11.25" customHeight="1">
      <c r="AJ5521"/>
    </row>
    <row r="5522" spans="36:36" ht="11.25" customHeight="1">
      <c r="AJ5522"/>
    </row>
    <row r="5523" spans="36:36" ht="11.25" customHeight="1">
      <c r="AJ5523"/>
    </row>
    <row r="5524" spans="36:36" ht="11.25" customHeight="1">
      <c r="AJ5524"/>
    </row>
    <row r="5525" spans="36:36" ht="11.25" customHeight="1">
      <c r="AJ5525"/>
    </row>
    <row r="5526" spans="36:36" ht="11.25" customHeight="1">
      <c r="AJ5526"/>
    </row>
    <row r="5527" spans="36:36" ht="11.25" customHeight="1">
      <c r="AJ5527"/>
    </row>
    <row r="5528" spans="36:36" ht="11.25" customHeight="1">
      <c r="AJ5528"/>
    </row>
    <row r="5529" spans="36:36" ht="11.25" customHeight="1">
      <c r="AJ5529"/>
    </row>
    <row r="5530" spans="36:36" ht="11.25" customHeight="1">
      <c r="AJ5530"/>
    </row>
    <row r="5531" spans="36:36" ht="11.25" customHeight="1">
      <c r="AJ5531"/>
    </row>
    <row r="5532" spans="36:36" ht="11.25" customHeight="1">
      <c r="AJ5532"/>
    </row>
    <row r="5533" spans="36:36" ht="11.25" customHeight="1">
      <c r="AJ5533"/>
    </row>
    <row r="5534" spans="36:36" ht="11.25" customHeight="1">
      <c r="AJ5534"/>
    </row>
    <row r="5535" spans="36:36" ht="11.25" customHeight="1">
      <c r="AJ5535"/>
    </row>
    <row r="5536" spans="36:36" ht="11.25" customHeight="1">
      <c r="AJ5536"/>
    </row>
    <row r="5537" spans="36:36" ht="11.25" customHeight="1">
      <c r="AJ5537"/>
    </row>
    <row r="5538" spans="36:36" ht="11.25" customHeight="1">
      <c r="AJ5538"/>
    </row>
    <row r="5539" spans="36:36" ht="11.25" customHeight="1">
      <c r="AJ5539"/>
    </row>
    <row r="5540" spans="36:36" ht="11.25" customHeight="1">
      <c r="AJ5540"/>
    </row>
    <row r="5541" spans="36:36" ht="11.25" customHeight="1">
      <c r="AJ5541"/>
    </row>
    <row r="5542" spans="36:36" ht="11.25" customHeight="1">
      <c r="AJ5542"/>
    </row>
    <row r="5543" spans="36:36" ht="11.25" customHeight="1">
      <c r="AJ5543"/>
    </row>
    <row r="5544" spans="36:36" ht="11.25" customHeight="1">
      <c r="AJ5544"/>
    </row>
    <row r="5545" spans="36:36" ht="11.25" customHeight="1">
      <c r="AJ5545"/>
    </row>
    <row r="5546" spans="36:36" ht="11.25" customHeight="1">
      <c r="AJ5546"/>
    </row>
    <row r="5547" spans="36:36" ht="11.25" customHeight="1">
      <c r="AJ5547"/>
    </row>
    <row r="5548" spans="36:36" ht="11.25" customHeight="1">
      <c r="AJ5548"/>
    </row>
    <row r="5549" spans="36:36" ht="11.25" customHeight="1">
      <c r="AJ5549"/>
    </row>
    <row r="5550" spans="36:36" ht="11.25" customHeight="1">
      <c r="AJ5550"/>
    </row>
    <row r="5551" spans="36:36" ht="11.25" customHeight="1">
      <c r="AJ5551"/>
    </row>
    <row r="5552" spans="36:36" ht="11.25" customHeight="1">
      <c r="AJ5552"/>
    </row>
    <row r="5553" spans="36:36" ht="11.25" customHeight="1">
      <c r="AJ5553"/>
    </row>
    <row r="5554" spans="36:36" ht="11.25" customHeight="1">
      <c r="AJ5554"/>
    </row>
    <row r="5555" spans="36:36" ht="11.25" customHeight="1">
      <c r="AJ5555"/>
    </row>
    <row r="5556" spans="36:36" ht="11.25" customHeight="1">
      <c r="AJ5556"/>
    </row>
    <row r="5557" spans="36:36" ht="11.25" customHeight="1">
      <c r="AJ5557"/>
    </row>
    <row r="5558" spans="36:36" ht="11.25" customHeight="1">
      <c r="AJ5558"/>
    </row>
    <row r="5559" spans="36:36" ht="11.25" customHeight="1">
      <c r="AJ5559"/>
    </row>
    <row r="5560" spans="36:36" ht="11.25" customHeight="1">
      <c r="AJ5560"/>
    </row>
    <row r="5561" spans="36:36" ht="11.25" customHeight="1">
      <c r="AJ5561"/>
    </row>
    <row r="5562" spans="36:36" ht="11.25" customHeight="1">
      <c r="AJ5562"/>
    </row>
    <row r="5563" spans="36:36" ht="11.25" customHeight="1">
      <c r="AJ5563"/>
    </row>
    <row r="5564" spans="36:36" ht="11.25" customHeight="1">
      <c r="AJ5564"/>
    </row>
    <row r="5565" spans="36:36" ht="11.25" customHeight="1">
      <c r="AJ5565"/>
    </row>
    <row r="5566" spans="36:36" ht="11.25" customHeight="1">
      <c r="AJ5566"/>
    </row>
    <row r="5567" spans="36:36" ht="11.25" customHeight="1">
      <c r="AJ5567"/>
    </row>
    <row r="5568" spans="36:36" ht="11.25" customHeight="1">
      <c r="AJ5568"/>
    </row>
    <row r="5569" spans="36:36" ht="11.25" customHeight="1">
      <c r="AJ5569"/>
    </row>
    <row r="5570" spans="36:36" ht="11.25" customHeight="1">
      <c r="AJ5570"/>
    </row>
    <row r="5571" spans="36:36" ht="11.25" customHeight="1">
      <c r="AJ5571"/>
    </row>
    <row r="5572" spans="36:36" ht="11.25" customHeight="1">
      <c r="AJ5572"/>
    </row>
    <row r="5573" spans="36:36" ht="11.25" customHeight="1">
      <c r="AJ5573"/>
    </row>
    <row r="5574" spans="36:36" ht="11.25" customHeight="1">
      <c r="AJ5574"/>
    </row>
    <row r="5575" spans="36:36" ht="11.25" customHeight="1">
      <c r="AJ5575"/>
    </row>
    <row r="5576" spans="36:36" ht="11.25" customHeight="1">
      <c r="AJ5576"/>
    </row>
    <row r="5577" spans="36:36" ht="11.25" customHeight="1">
      <c r="AJ5577"/>
    </row>
    <row r="5578" spans="36:36" ht="11.25" customHeight="1">
      <c r="AJ5578"/>
    </row>
    <row r="5579" spans="36:36" ht="11.25" customHeight="1">
      <c r="AJ5579"/>
    </row>
    <row r="5580" spans="36:36" ht="11.25" customHeight="1">
      <c r="AJ5580"/>
    </row>
    <row r="5581" spans="36:36" ht="11.25" customHeight="1">
      <c r="AJ5581"/>
    </row>
    <row r="5582" spans="36:36" ht="11.25" customHeight="1">
      <c r="AJ5582"/>
    </row>
    <row r="5583" spans="36:36" ht="11.25" customHeight="1">
      <c r="AJ5583"/>
    </row>
    <row r="5584" spans="36:36" ht="11.25" customHeight="1">
      <c r="AJ5584"/>
    </row>
    <row r="5585" spans="36:36" ht="11.25" customHeight="1">
      <c r="AJ5585"/>
    </row>
    <row r="5586" spans="36:36" ht="11.25" customHeight="1">
      <c r="AJ5586"/>
    </row>
    <row r="5587" spans="36:36" ht="11.25" customHeight="1">
      <c r="AJ5587"/>
    </row>
    <row r="5588" spans="36:36" ht="11.25" customHeight="1">
      <c r="AJ5588"/>
    </row>
    <row r="5589" spans="36:36" ht="11.25" customHeight="1">
      <c r="AJ5589"/>
    </row>
    <row r="5590" spans="36:36" ht="11.25" customHeight="1">
      <c r="AJ5590"/>
    </row>
    <row r="5591" spans="36:36" ht="11.25" customHeight="1">
      <c r="AJ5591"/>
    </row>
    <row r="5592" spans="36:36" ht="11.25" customHeight="1">
      <c r="AJ5592"/>
    </row>
    <row r="5593" spans="36:36" ht="11.25" customHeight="1">
      <c r="AJ5593"/>
    </row>
    <row r="5594" spans="36:36" ht="11.25" customHeight="1">
      <c r="AJ5594"/>
    </row>
    <row r="5595" spans="36:36" ht="11.25" customHeight="1">
      <c r="AJ5595"/>
    </row>
    <row r="5596" spans="36:36" ht="11.25" customHeight="1">
      <c r="AJ5596"/>
    </row>
    <row r="5597" spans="36:36" ht="11.25" customHeight="1">
      <c r="AJ5597"/>
    </row>
    <row r="5598" spans="36:36" ht="11.25" customHeight="1">
      <c r="AJ5598"/>
    </row>
    <row r="5599" spans="36:36" ht="11.25" customHeight="1">
      <c r="AJ5599"/>
    </row>
    <row r="5600" spans="36:36" ht="11.25" customHeight="1">
      <c r="AJ5600"/>
    </row>
    <row r="5601" spans="36:36" ht="11.25" customHeight="1">
      <c r="AJ5601"/>
    </row>
    <row r="5602" spans="36:36" ht="11.25" customHeight="1">
      <c r="AJ5602"/>
    </row>
    <row r="5603" spans="36:36" ht="11.25" customHeight="1">
      <c r="AJ5603"/>
    </row>
    <row r="5604" spans="36:36" ht="11.25" customHeight="1">
      <c r="AJ5604"/>
    </row>
    <row r="5605" spans="36:36" ht="11.25" customHeight="1">
      <c r="AJ5605"/>
    </row>
    <row r="5606" spans="36:36" ht="11.25" customHeight="1">
      <c r="AJ5606"/>
    </row>
    <row r="5607" spans="36:36" ht="11.25" customHeight="1">
      <c r="AJ5607"/>
    </row>
    <row r="5608" spans="36:36" ht="11.25" customHeight="1">
      <c r="AJ5608"/>
    </row>
    <row r="5609" spans="36:36" ht="11.25" customHeight="1">
      <c r="AJ5609"/>
    </row>
    <row r="5610" spans="36:36" ht="11.25" customHeight="1">
      <c r="AJ5610"/>
    </row>
    <row r="5611" spans="36:36" ht="11.25" customHeight="1">
      <c r="AJ5611"/>
    </row>
    <row r="5612" spans="36:36" ht="11.25" customHeight="1">
      <c r="AJ5612"/>
    </row>
    <row r="5613" spans="36:36" ht="11.25" customHeight="1">
      <c r="AJ5613"/>
    </row>
    <row r="5614" spans="36:36" ht="11.25" customHeight="1">
      <c r="AJ5614"/>
    </row>
    <row r="5615" spans="36:36" ht="11.25" customHeight="1">
      <c r="AJ5615"/>
    </row>
    <row r="5616" spans="36:36" ht="11.25" customHeight="1">
      <c r="AJ5616"/>
    </row>
    <row r="5617" spans="36:36" ht="11.25" customHeight="1">
      <c r="AJ5617"/>
    </row>
    <row r="5618" spans="36:36" ht="11.25" customHeight="1">
      <c r="AJ5618"/>
    </row>
    <row r="5619" spans="36:36" ht="11.25" customHeight="1">
      <c r="AJ5619"/>
    </row>
    <row r="5620" spans="36:36" ht="11.25" customHeight="1">
      <c r="AJ5620"/>
    </row>
    <row r="5621" spans="36:36" ht="11.25" customHeight="1">
      <c r="AJ5621"/>
    </row>
    <row r="5622" spans="36:36" ht="11.25" customHeight="1">
      <c r="AJ5622"/>
    </row>
    <row r="5623" spans="36:36" ht="11.25" customHeight="1">
      <c r="AJ5623"/>
    </row>
    <row r="5624" spans="36:36" ht="11.25" customHeight="1">
      <c r="AJ5624"/>
    </row>
    <row r="5625" spans="36:36" ht="11.25" customHeight="1">
      <c r="AJ5625"/>
    </row>
    <row r="5626" spans="36:36" ht="11.25" customHeight="1">
      <c r="AJ5626"/>
    </row>
    <row r="5627" spans="36:36" ht="11.25" customHeight="1">
      <c r="AJ5627"/>
    </row>
    <row r="5628" spans="36:36" ht="11.25" customHeight="1">
      <c r="AJ5628"/>
    </row>
    <row r="5629" spans="36:36" ht="11.25" customHeight="1">
      <c r="AJ5629"/>
    </row>
    <row r="5630" spans="36:36" ht="11.25" customHeight="1">
      <c r="AJ5630"/>
    </row>
    <row r="5631" spans="36:36" ht="11.25" customHeight="1">
      <c r="AJ5631"/>
    </row>
    <row r="5632" spans="36:36" ht="11.25" customHeight="1">
      <c r="AJ5632"/>
    </row>
    <row r="5633" spans="36:36" ht="11.25" customHeight="1">
      <c r="AJ5633"/>
    </row>
    <row r="5634" spans="36:36" ht="11.25" customHeight="1">
      <c r="AJ5634"/>
    </row>
    <row r="5635" spans="36:36" ht="11.25" customHeight="1">
      <c r="AJ5635"/>
    </row>
    <row r="5636" spans="36:36" ht="11.25" customHeight="1">
      <c r="AJ5636"/>
    </row>
    <row r="5637" spans="36:36" ht="11.25" customHeight="1">
      <c r="AJ5637"/>
    </row>
    <row r="5638" spans="36:36" ht="11.25" customHeight="1">
      <c r="AJ5638"/>
    </row>
    <row r="5639" spans="36:36" ht="11.25" customHeight="1">
      <c r="AJ5639"/>
    </row>
    <row r="5640" spans="36:36" ht="11.25" customHeight="1">
      <c r="AJ5640"/>
    </row>
    <row r="5641" spans="36:36" ht="11.25" customHeight="1">
      <c r="AJ5641"/>
    </row>
    <row r="5642" spans="36:36" ht="11.25" customHeight="1">
      <c r="AJ5642"/>
    </row>
    <row r="5643" spans="36:36" ht="11.25" customHeight="1">
      <c r="AJ5643"/>
    </row>
    <row r="5644" spans="36:36" ht="11.25" customHeight="1">
      <c r="AJ5644"/>
    </row>
    <row r="5645" spans="36:36" ht="11.25" customHeight="1">
      <c r="AJ5645"/>
    </row>
    <row r="5646" spans="36:36" ht="11.25" customHeight="1">
      <c r="AJ5646"/>
    </row>
    <row r="5647" spans="36:36" ht="11.25" customHeight="1">
      <c r="AJ5647"/>
    </row>
    <row r="5648" spans="36:36" ht="11.25" customHeight="1">
      <c r="AJ5648"/>
    </row>
    <row r="5649" spans="36:36" ht="11.25" customHeight="1">
      <c r="AJ5649"/>
    </row>
    <row r="5650" spans="36:36" ht="11.25" customHeight="1">
      <c r="AJ5650"/>
    </row>
    <row r="5651" spans="36:36" ht="11.25" customHeight="1">
      <c r="AJ5651"/>
    </row>
    <row r="5652" spans="36:36" ht="11.25" customHeight="1">
      <c r="AJ5652"/>
    </row>
    <row r="5653" spans="36:36" ht="11.25" customHeight="1">
      <c r="AJ5653"/>
    </row>
    <row r="5654" spans="36:36" ht="11.25" customHeight="1">
      <c r="AJ5654"/>
    </row>
    <row r="5655" spans="36:36" ht="11.25" customHeight="1">
      <c r="AJ5655"/>
    </row>
    <row r="5656" spans="36:36" ht="11.25" customHeight="1">
      <c r="AJ5656"/>
    </row>
    <row r="5657" spans="36:36" ht="11.25" customHeight="1">
      <c r="AJ5657"/>
    </row>
    <row r="5658" spans="36:36" ht="11.25" customHeight="1">
      <c r="AJ5658"/>
    </row>
    <row r="5659" spans="36:36" ht="11.25" customHeight="1">
      <c r="AJ5659"/>
    </row>
    <row r="5660" spans="36:36" ht="11.25" customHeight="1">
      <c r="AJ5660"/>
    </row>
    <row r="5661" spans="36:36" ht="11.25" customHeight="1">
      <c r="AJ5661"/>
    </row>
    <row r="5662" spans="36:36" ht="11.25" customHeight="1">
      <c r="AJ5662"/>
    </row>
    <row r="5663" spans="36:36" ht="11.25" customHeight="1">
      <c r="AJ5663"/>
    </row>
    <row r="5664" spans="36:36" ht="11.25" customHeight="1">
      <c r="AJ5664"/>
    </row>
    <row r="5665" spans="36:36" ht="11.25" customHeight="1">
      <c r="AJ5665"/>
    </row>
    <row r="5666" spans="36:36" ht="11.25" customHeight="1">
      <c r="AJ5666"/>
    </row>
    <row r="5667" spans="36:36" ht="11.25" customHeight="1">
      <c r="AJ5667"/>
    </row>
    <row r="5668" spans="36:36" ht="11.25" customHeight="1">
      <c r="AJ5668"/>
    </row>
    <row r="5669" spans="36:36" ht="11.25" customHeight="1">
      <c r="AJ5669"/>
    </row>
    <row r="5670" spans="36:36" ht="11.25" customHeight="1">
      <c r="AJ5670"/>
    </row>
    <row r="5671" spans="36:36" ht="11.25" customHeight="1">
      <c r="AJ5671"/>
    </row>
    <row r="5672" spans="36:36" ht="11.25" customHeight="1">
      <c r="AJ5672"/>
    </row>
    <row r="5673" spans="36:36" ht="11.25" customHeight="1">
      <c r="AJ5673"/>
    </row>
    <row r="5674" spans="36:36" ht="11.25" customHeight="1">
      <c r="AJ5674"/>
    </row>
    <row r="5675" spans="36:36" ht="11.25" customHeight="1">
      <c r="AJ5675"/>
    </row>
    <row r="5676" spans="36:36" ht="11.25" customHeight="1">
      <c r="AJ5676"/>
    </row>
    <row r="5677" spans="36:36" ht="11.25" customHeight="1">
      <c r="AJ5677"/>
    </row>
    <row r="5678" spans="36:36" ht="11.25" customHeight="1">
      <c r="AJ5678"/>
    </row>
    <row r="5679" spans="36:36" ht="11.25" customHeight="1">
      <c r="AJ5679"/>
    </row>
    <row r="5680" spans="36:36" ht="11.25" customHeight="1">
      <c r="AJ5680"/>
    </row>
    <row r="5681" spans="36:36" ht="11.25" customHeight="1">
      <c r="AJ5681"/>
    </row>
    <row r="5682" spans="36:36" ht="11.25" customHeight="1">
      <c r="AJ5682"/>
    </row>
    <row r="5683" spans="36:36" ht="11.25" customHeight="1">
      <c r="AJ5683"/>
    </row>
    <row r="5684" spans="36:36" ht="11.25" customHeight="1">
      <c r="AJ5684"/>
    </row>
    <row r="5685" spans="36:36" ht="11.25" customHeight="1">
      <c r="AJ5685"/>
    </row>
    <row r="5686" spans="36:36" ht="11.25" customHeight="1">
      <c r="AJ5686"/>
    </row>
    <row r="5687" spans="36:36" ht="11.25" customHeight="1">
      <c r="AJ5687"/>
    </row>
    <row r="5688" spans="36:36" ht="11.25" customHeight="1">
      <c r="AJ5688"/>
    </row>
    <row r="5689" spans="36:36" ht="11.25" customHeight="1">
      <c r="AJ5689"/>
    </row>
    <row r="5690" spans="36:36" ht="11.25" customHeight="1">
      <c r="AJ5690"/>
    </row>
    <row r="5691" spans="36:36" ht="11.25" customHeight="1">
      <c r="AJ5691"/>
    </row>
    <row r="5692" spans="36:36" ht="11.25" customHeight="1">
      <c r="AJ5692"/>
    </row>
    <row r="5693" spans="36:36" ht="11.25" customHeight="1">
      <c r="AJ5693"/>
    </row>
    <row r="5694" spans="36:36" ht="11.25" customHeight="1">
      <c r="AJ5694"/>
    </row>
    <row r="5695" spans="36:36" ht="11.25" customHeight="1">
      <c r="AJ5695"/>
    </row>
    <row r="5696" spans="36:36" ht="11.25" customHeight="1">
      <c r="AJ5696"/>
    </row>
    <row r="5697" spans="36:36" ht="11.25" customHeight="1">
      <c r="AJ5697"/>
    </row>
    <row r="5698" spans="36:36" ht="11.25" customHeight="1">
      <c r="AJ5698"/>
    </row>
    <row r="5699" spans="36:36" ht="11.25" customHeight="1">
      <c r="AJ5699"/>
    </row>
    <row r="5700" spans="36:36" ht="11.25" customHeight="1">
      <c r="AJ5700"/>
    </row>
    <row r="5701" spans="36:36" ht="11.25" customHeight="1">
      <c r="AJ5701"/>
    </row>
    <row r="5702" spans="36:36" ht="11.25" customHeight="1">
      <c r="AJ5702"/>
    </row>
    <row r="5703" spans="36:36" ht="11.25" customHeight="1">
      <c r="AJ5703"/>
    </row>
    <row r="5704" spans="36:36" ht="11.25" customHeight="1">
      <c r="AJ5704"/>
    </row>
    <row r="5705" spans="36:36" ht="11.25" customHeight="1">
      <c r="AJ5705"/>
    </row>
    <row r="5706" spans="36:36" ht="11.25" customHeight="1">
      <c r="AJ5706"/>
    </row>
    <row r="5707" spans="36:36" ht="11.25" customHeight="1">
      <c r="AJ5707"/>
    </row>
    <row r="5708" spans="36:36" ht="11.25" customHeight="1">
      <c r="AJ5708"/>
    </row>
    <row r="5709" spans="36:36" ht="11.25" customHeight="1">
      <c r="AJ5709"/>
    </row>
    <row r="5710" spans="36:36" ht="11.25" customHeight="1">
      <c r="AJ5710"/>
    </row>
    <row r="5711" spans="36:36" ht="11.25" customHeight="1">
      <c r="AJ5711"/>
    </row>
    <row r="5712" spans="36:36" ht="11.25" customHeight="1">
      <c r="AJ5712"/>
    </row>
    <row r="5713" spans="36:36" ht="11.25" customHeight="1">
      <c r="AJ5713"/>
    </row>
    <row r="5714" spans="36:36" ht="11.25" customHeight="1">
      <c r="AJ5714"/>
    </row>
    <row r="5715" spans="36:36" ht="11.25" customHeight="1">
      <c r="AJ5715"/>
    </row>
    <row r="5716" spans="36:36" ht="11.25" customHeight="1">
      <c r="AJ5716"/>
    </row>
    <row r="5717" spans="36:36" ht="11.25" customHeight="1">
      <c r="AJ5717"/>
    </row>
    <row r="5718" spans="36:36" ht="11.25" customHeight="1">
      <c r="AJ5718"/>
    </row>
    <row r="5719" spans="36:36" ht="11.25" customHeight="1">
      <c r="AJ5719"/>
    </row>
    <row r="5720" spans="36:36" ht="11.25" customHeight="1">
      <c r="AJ5720"/>
    </row>
    <row r="5721" spans="36:36" ht="11.25" customHeight="1">
      <c r="AJ5721"/>
    </row>
    <row r="5722" spans="36:36" ht="11.25" customHeight="1">
      <c r="AJ5722"/>
    </row>
    <row r="5723" spans="36:36" ht="11.25" customHeight="1">
      <c r="AJ5723"/>
    </row>
    <row r="5724" spans="36:36" ht="11.25" customHeight="1">
      <c r="AJ5724"/>
    </row>
    <row r="5725" spans="36:36" ht="11.25" customHeight="1">
      <c r="AJ5725"/>
    </row>
    <row r="5726" spans="36:36" ht="11.25" customHeight="1">
      <c r="AJ5726"/>
    </row>
    <row r="5727" spans="36:36" ht="11.25" customHeight="1">
      <c r="AJ5727"/>
    </row>
    <row r="5728" spans="36:36" ht="11.25" customHeight="1">
      <c r="AJ5728"/>
    </row>
    <row r="5729" spans="36:36" ht="11.25" customHeight="1">
      <c r="AJ5729"/>
    </row>
    <row r="5730" spans="36:36" ht="11.25" customHeight="1">
      <c r="AJ5730"/>
    </row>
    <row r="5731" spans="36:36" ht="11.25" customHeight="1">
      <c r="AJ5731"/>
    </row>
    <row r="5732" spans="36:36" ht="11.25" customHeight="1">
      <c r="AJ5732"/>
    </row>
    <row r="5733" spans="36:36" ht="11.25" customHeight="1">
      <c r="AJ5733"/>
    </row>
    <row r="5734" spans="36:36" ht="11.25" customHeight="1">
      <c r="AJ5734"/>
    </row>
    <row r="5735" spans="36:36" ht="11.25" customHeight="1">
      <c r="AJ5735"/>
    </row>
    <row r="5736" spans="36:36" ht="11.25" customHeight="1">
      <c r="AJ5736"/>
    </row>
    <row r="5737" spans="36:36" ht="11.25" customHeight="1">
      <c r="AJ5737"/>
    </row>
    <row r="5738" spans="36:36" ht="11.25" customHeight="1">
      <c r="AJ5738"/>
    </row>
    <row r="5739" spans="36:36" ht="11.25" customHeight="1">
      <c r="AJ5739"/>
    </row>
    <row r="5740" spans="36:36" ht="11.25" customHeight="1">
      <c r="AJ5740"/>
    </row>
    <row r="5741" spans="36:36" ht="11.25" customHeight="1">
      <c r="AJ5741"/>
    </row>
    <row r="5742" spans="36:36" ht="11.25" customHeight="1">
      <c r="AJ5742"/>
    </row>
    <row r="5743" spans="36:36" ht="11.25" customHeight="1">
      <c r="AJ5743"/>
    </row>
    <row r="5744" spans="36:36" ht="11.25" customHeight="1">
      <c r="AJ5744"/>
    </row>
    <row r="5745" spans="36:36" ht="11.25" customHeight="1">
      <c r="AJ5745"/>
    </row>
    <row r="5746" spans="36:36" ht="11.25" customHeight="1">
      <c r="AJ5746"/>
    </row>
    <row r="5747" spans="36:36" ht="11.25" customHeight="1">
      <c r="AJ5747"/>
    </row>
    <row r="5748" spans="36:36" ht="11.25" customHeight="1">
      <c r="AJ5748"/>
    </row>
    <row r="5749" spans="36:36" ht="11.25" customHeight="1">
      <c r="AJ5749"/>
    </row>
    <row r="5750" spans="36:36" ht="11.25" customHeight="1">
      <c r="AJ5750"/>
    </row>
    <row r="5751" spans="36:36" ht="11.25" customHeight="1">
      <c r="AJ5751"/>
    </row>
    <row r="5752" spans="36:36" ht="11.25" customHeight="1">
      <c r="AJ5752"/>
    </row>
    <row r="5753" spans="36:36" ht="11.25" customHeight="1">
      <c r="AJ5753"/>
    </row>
    <row r="5754" spans="36:36" ht="11.25" customHeight="1">
      <c r="AJ5754"/>
    </row>
    <row r="5755" spans="36:36" ht="11.25" customHeight="1">
      <c r="AJ5755"/>
    </row>
    <row r="5756" spans="36:36" ht="11.25" customHeight="1">
      <c r="AJ5756"/>
    </row>
    <row r="5757" spans="36:36" ht="11.25" customHeight="1">
      <c r="AJ5757"/>
    </row>
    <row r="5758" spans="36:36" ht="11.25" customHeight="1">
      <c r="AJ5758"/>
    </row>
    <row r="5759" spans="36:36" ht="11.25" customHeight="1">
      <c r="AJ5759"/>
    </row>
    <row r="5760" spans="36:36" ht="11.25" customHeight="1">
      <c r="AJ5760"/>
    </row>
    <row r="5761" spans="36:36" ht="11.25" customHeight="1">
      <c r="AJ5761"/>
    </row>
    <row r="5762" spans="36:36" ht="11.25" customHeight="1">
      <c r="AJ5762"/>
    </row>
    <row r="5763" spans="36:36" ht="11.25" customHeight="1">
      <c r="AJ5763"/>
    </row>
    <row r="5764" spans="36:36" ht="11.25" customHeight="1">
      <c r="AJ5764"/>
    </row>
    <row r="5765" spans="36:36" ht="11.25" customHeight="1">
      <c r="AJ5765"/>
    </row>
    <row r="5766" spans="36:36" ht="11.25" customHeight="1">
      <c r="AJ5766"/>
    </row>
    <row r="5767" spans="36:36" ht="11.25" customHeight="1">
      <c r="AJ5767"/>
    </row>
    <row r="5768" spans="36:36" ht="11.25" customHeight="1">
      <c r="AJ5768"/>
    </row>
    <row r="5769" spans="36:36" ht="11.25" customHeight="1">
      <c r="AJ5769"/>
    </row>
    <row r="5770" spans="36:36" ht="11.25" customHeight="1">
      <c r="AJ5770"/>
    </row>
    <row r="5771" spans="36:36" ht="11.25" customHeight="1">
      <c r="AJ5771"/>
    </row>
    <row r="5772" spans="36:36" ht="11.25" customHeight="1">
      <c r="AJ5772"/>
    </row>
    <row r="5773" spans="36:36" ht="11.25" customHeight="1">
      <c r="AJ5773"/>
    </row>
    <row r="5774" spans="36:36" ht="11.25" customHeight="1">
      <c r="AJ5774"/>
    </row>
    <row r="5775" spans="36:36" ht="11.25" customHeight="1">
      <c r="AJ5775"/>
    </row>
    <row r="5776" spans="36:36" ht="11.25" customHeight="1">
      <c r="AJ5776"/>
    </row>
    <row r="5777" spans="36:36" ht="11.25" customHeight="1">
      <c r="AJ5777"/>
    </row>
    <row r="5778" spans="36:36" ht="11.25" customHeight="1">
      <c r="AJ5778"/>
    </row>
    <row r="5779" spans="36:36" ht="11.25" customHeight="1">
      <c r="AJ5779"/>
    </row>
    <row r="5780" spans="36:36" ht="11.25" customHeight="1">
      <c r="AJ5780"/>
    </row>
    <row r="5781" spans="36:36" ht="11.25" customHeight="1">
      <c r="AJ5781"/>
    </row>
    <row r="5782" spans="36:36" ht="11.25" customHeight="1">
      <c r="AJ5782"/>
    </row>
    <row r="5783" spans="36:36" ht="11.25" customHeight="1">
      <c r="AJ5783"/>
    </row>
    <row r="5784" spans="36:36" ht="11.25" customHeight="1">
      <c r="AJ5784"/>
    </row>
    <row r="5785" spans="36:36" ht="11.25" customHeight="1">
      <c r="AJ5785"/>
    </row>
    <row r="5786" spans="36:36" ht="11.25" customHeight="1">
      <c r="AJ5786"/>
    </row>
    <row r="5787" spans="36:36" ht="11.25" customHeight="1">
      <c r="AJ5787"/>
    </row>
    <row r="5788" spans="36:36" ht="11.25" customHeight="1">
      <c r="AJ5788"/>
    </row>
    <row r="5789" spans="36:36" ht="11.25" customHeight="1">
      <c r="AJ5789"/>
    </row>
    <row r="5790" spans="36:36" ht="11.25" customHeight="1">
      <c r="AJ5790"/>
    </row>
    <row r="5791" spans="36:36" ht="11.25" customHeight="1">
      <c r="AJ5791"/>
    </row>
    <row r="5792" spans="36:36" ht="11.25" customHeight="1">
      <c r="AJ5792"/>
    </row>
    <row r="5793" spans="36:36" ht="11.25" customHeight="1">
      <c r="AJ5793"/>
    </row>
    <row r="5794" spans="36:36" ht="11.25" customHeight="1">
      <c r="AJ5794"/>
    </row>
    <row r="5795" spans="36:36" ht="11.25" customHeight="1">
      <c r="AJ5795"/>
    </row>
    <row r="5796" spans="36:36" ht="11.25" customHeight="1">
      <c r="AJ5796"/>
    </row>
    <row r="5797" spans="36:36" ht="11.25" customHeight="1">
      <c r="AJ5797"/>
    </row>
    <row r="5798" spans="36:36" ht="11.25" customHeight="1">
      <c r="AJ5798"/>
    </row>
    <row r="5799" spans="36:36" ht="11.25" customHeight="1">
      <c r="AJ5799"/>
    </row>
    <row r="5800" spans="36:36" ht="11.25" customHeight="1">
      <c r="AJ5800"/>
    </row>
    <row r="5801" spans="36:36" ht="11.25" customHeight="1">
      <c r="AJ5801"/>
    </row>
    <row r="5802" spans="36:36" ht="11.25" customHeight="1">
      <c r="AJ5802"/>
    </row>
    <row r="5803" spans="36:36" ht="11.25" customHeight="1">
      <c r="AJ5803"/>
    </row>
    <row r="5804" spans="36:36" ht="11.25" customHeight="1">
      <c r="AJ5804"/>
    </row>
    <row r="5805" spans="36:36" ht="11.25" customHeight="1">
      <c r="AJ5805"/>
    </row>
    <row r="5806" spans="36:36" ht="11.25" customHeight="1">
      <c r="AJ5806"/>
    </row>
    <row r="5807" spans="36:36" ht="11.25" customHeight="1">
      <c r="AJ5807"/>
    </row>
    <row r="5808" spans="36:36" ht="11.25" customHeight="1">
      <c r="AJ5808"/>
    </row>
    <row r="5809" spans="36:36" ht="11.25" customHeight="1">
      <c r="AJ5809"/>
    </row>
    <row r="5810" spans="36:36" ht="11.25" customHeight="1">
      <c r="AJ5810"/>
    </row>
    <row r="5811" spans="36:36" ht="11.25" customHeight="1">
      <c r="AJ5811"/>
    </row>
    <row r="5812" spans="36:36" ht="11.25" customHeight="1">
      <c r="AJ5812"/>
    </row>
    <row r="5813" spans="36:36" ht="11.25" customHeight="1">
      <c r="AJ5813"/>
    </row>
    <row r="5814" spans="36:36" ht="11.25" customHeight="1">
      <c r="AJ5814"/>
    </row>
    <row r="5815" spans="36:36" ht="11.25" customHeight="1">
      <c r="AJ5815"/>
    </row>
    <row r="5816" spans="36:36" ht="11.25" customHeight="1">
      <c r="AJ5816"/>
    </row>
    <row r="5817" spans="36:36" ht="11.25" customHeight="1">
      <c r="AJ5817"/>
    </row>
    <row r="5818" spans="36:36" ht="11.25" customHeight="1">
      <c r="AJ5818"/>
    </row>
    <row r="5819" spans="36:36" ht="11.25" customHeight="1">
      <c r="AJ5819"/>
    </row>
    <row r="5820" spans="36:36" ht="11.25" customHeight="1">
      <c r="AJ5820"/>
    </row>
    <row r="5821" spans="36:36" ht="11.25" customHeight="1">
      <c r="AJ5821"/>
    </row>
    <row r="5822" spans="36:36" ht="11.25" customHeight="1">
      <c r="AJ5822"/>
    </row>
    <row r="5823" spans="36:36" ht="11.25" customHeight="1">
      <c r="AJ5823"/>
    </row>
    <row r="5824" spans="36:36" ht="11.25" customHeight="1">
      <c r="AJ5824"/>
    </row>
    <row r="5825" spans="36:36" ht="11.25" customHeight="1">
      <c r="AJ5825"/>
    </row>
    <row r="5826" spans="36:36" ht="11.25" customHeight="1">
      <c r="AJ5826"/>
    </row>
    <row r="5827" spans="36:36" ht="11.25" customHeight="1">
      <c r="AJ5827"/>
    </row>
    <row r="5828" spans="36:36" ht="11.25" customHeight="1">
      <c r="AJ5828"/>
    </row>
    <row r="5829" spans="36:36" ht="11.25" customHeight="1">
      <c r="AJ5829"/>
    </row>
    <row r="5830" spans="36:36" ht="11.25" customHeight="1">
      <c r="AJ5830"/>
    </row>
    <row r="5831" spans="36:36" ht="11.25" customHeight="1">
      <c r="AJ5831"/>
    </row>
    <row r="5832" spans="36:36" ht="11.25" customHeight="1">
      <c r="AJ5832"/>
    </row>
    <row r="5833" spans="36:36" ht="11.25" customHeight="1">
      <c r="AJ5833"/>
    </row>
    <row r="5834" spans="36:36" ht="11.25" customHeight="1">
      <c r="AJ5834"/>
    </row>
    <row r="5835" spans="36:36" ht="11.25" customHeight="1">
      <c r="AJ5835"/>
    </row>
    <row r="5836" spans="36:36" ht="11.25" customHeight="1">
      <c r="AJ5836"/>
    </row>
    <row r="5837" spans="36:36" ht="11.25" customHeight="1">
      <c r="AJ5837"/>
    </row>
    <row r="5838" spans="36:36" ht="11.25" customHeight="1">
      <c r="AJ5838"/>
    </row>
    <row r="5839" spans="36:36" ht="11.25" customHeight="1">
      <c r="AJ5839"/>
    </row>
    <row r="5840" spans="36:36" ht="11.25" customHeight="1">
      <c r="AJ5840"/>
    </row>
    <row r="5841" spans="36:36" ht="11.25" customHeight="1">
      <c r="AJ5841"/>
    </row>
    <row r="5842" spans="36:36" ht="11.25" customHeight="1">
      <c r="AJ5842"/>
    </row>
    <row r="5843" spans="36:36" ht="11.25" customHeight="1">
      <c r="AJ5843"/>
    </row>
    <row r="5844" spans="36:36" ht="11.25" customHeight="1">
      <c r="AJ5844"/>
    </row>
    <row r="5845" spans="36:36" ht="11.25" customHeight="1">
      <c r="AJ5845"/>
    </row>
    <row r="5846" spans="36:36" ht="11.25" customHeight="1">
      <c r="AJ5846"/>
    </row>
    <row r="5847" spans="36:36" ht="11.25" customHeight="1">
      <c r="AJ5847"/>
    </row>
    <row r="5848" spans="36:36" ht="11.25" customHeight="1">
      <c r="AJ5848"/>
    </row>
    <row r="5849" spans="36:36" ht="11.25" customHeight="1">
      <c r="AJ5849"/>
    </row>
    <row r="5850" spans="36:36" ht="11.25" customHeight="1">
      <c r="AJ5850"/>
    </row>
    <row r="5851" spans="36:36" ht="11.25" customHeight="1">
      <c r="AJ5851"/>
    </row>
    <row r="5852" spans="36:36" ht="11.25" customHeight="1">
      <c r="AJ5852"/>
    </row>
    <row r="5853" spans="36:36" ht="11.25" customHeight="1">
      <c r="AJ5853"/>
    </row>
    <row r="5854" spans="36:36" ht="11.25" customHeight="1">
      <c r="AJ5854"/>
    </row>
    <row r="5855" spans="36:36" ht="11.25" customHeight="1">
      <c r="AJ5855"/>
    </row>
    <row r="5856" spans="36:36" ht="11.25" customHeight="1">
      <c r="AJ5856"/>
    </row>
    <row r="5857" spans="36:36" ht="11.25" customHeight="1">
      <c r="AJ5857"/>
    </row>
    <row r="5858" spans="36:36" ht="11.25" customHeight="1">
      <c r="AJ5858"/>
    </row>
    <row r="5859" spans="36:36" ht="11.25" customHeight="1">
      <c r="AJ5859"/>
    </row>
    <row r="5860" spans="36:36" ht="11.25" customHeight="1">
      <c r="AJ5860"/>
    </row>
    <row r="5861" spans="36:36" ht="11.25" customHeight="1">
      <c r="AJ5861"/>
    </row>
    <row r="5862" spans="36:36" ht="11.25" customHeight="1">
      <c r="AJ5862"/>
    </row>
    <row r="5863" spans="36:36" ht="11.25" customHeight="1">
      <c r="AJ5863"/>
    </row>
    <row r="5864" spans="36:36" ht="11.25" customHeight="1">
      <c r="AJ5864"/>
    </row>
    <row r="5865" spans="36:36" ht="11.25" customHeight="1">
      <c r="AJ5865"/>
    </row>
    <row r="5866" spans="36:36" ht="11.25" customHeight="1">
      <c r="AJ5866"/>
    </row>
    <row r="5867" spans="36:36" ht="11.25" customHeight="1">
      <c r="AJ5867"/>
    </row>
    <row r="5868" spans="36:36" ht="11.25" customHeight="1">
      <c r="AJ5868"/>
    </row>
    <row r="5869" spans="36:36" ht="11.25" customHeight="1">
      <c r="AJ5869"/>
    </row>
    <row r="5870" spans="36:36" ht="11.25" customHeight="1">
      <c r="AJ5870"/>
    </row>
    <row r="5871" spans="36:36" ht="11.25" customHeight="1">
      <c r="AJ5871"/>
    </row>
    <row r="5872" spans="36:36" ht="11.25" customHeight="1">
      <c r="AJ5872"/>
    </row>
    <row r="5873" spans="36:36" ht="11.25" customHeight="1">
      <c r="AJ5873"/>
    </row>
    <row r="5874" spans="36:36" ht="11.25" customHeight="1">
      <c r="AJ5874"/>
    </row>
    <row r="5875" spans="36:36" ht="11.25" customHeight="1">
      <c r="AJ5875"/>
    </row>
    <row r="5876" spans="36:36" ht="11.25" customHeight="1">
      <c r="AJ5876"/>
    </row>
    <row r="5877" spans="36:36" ht="11.25" customHeight="1">
      <c r="AJ5877"/>
    </row>
    <row r="5878" spans="36:36" ht="11.25" customHeight="1">
      <c r="AJ5878"/>
    </row>
    <row r="5879" spans="36:36" ht="11.25" customHeight="1">
      <c r="AJ5879"/>
    </row>
    <row r="5880" spans="36:36" ht="11.25" customHeight="1">
      <c r="AJ5880"/>
    </row>
    <row r="5881" spans="36:36" ht="11.25" customHeight="1">
      <c r="AJ5881"/>
    </row>
    <row r="5882" spans="36:36" ht="11.25" customHeight="1">
      <c r="AJ5882"/>
    </row>
    <row r="5883" spans="36:36" ht="11.25" customHeight="1">
      <c r="AJ5883"/>
    </row>
    <row r="5884" spans="36:36" ht="11.25" customHeight="1">
      <c r="AJ5884"/>
    </row>
    <row r="5885" spans="36:36" ht="11.25" customHeight="1">
      <c r="AJ5885"/>
    </row>
    <row r="5886" spans="36:36" ht="11.25" customHeight="1">
      <c r="AJ5886"/>
    </row>
    <row r="5887" spans="36:36" ht="11.25" customHeight="1">
      <c r="AJ5887"/>
    </row>
    <row r="5888" spans="36:36" ht="11.25" customHeight="1">
      <c r="AJ5888"/>
    </row>
    <row r="5889" spans="36:36" ht="11.25" customHeight="1">
      <c r="AJ5889"/>
    </row>
    <row r="5890" spans="36:36" ht="11.25" customHeight="1">
      <c r="AJ5890"/>
    </row>
    <row r="5891" spans="36:36" ht="11.25" customHeight="1">
      <c r="AJ5891"/>
    </row>
    <row r="5892" spans="36:36" ht="11.25" customHeight="1">
      <c r="AJ5892"/>
    </row>
    <row r="5893" spans="36:36" ht="11.25" customHeight="1">
      <c r="AJ5893"/>
    </row>
    <row r="5894" spans="36:36" ht="11.25" customHeight="1">
      <c r="AJ5894"/>
    </row>
    <row r="5895" spans="36:36" ht="11.25" customHeight="1">
      <c r="AJ5895"/>
    </row>
    <row r="5896" spans="36:36" ht="11.25" customHeight="1">
      <c r="AJ5896"/>
    </row>
    <row r="5897" spans="36:36" ht="11.25" customHeight="1">
      <c r="AJ5897"/>
    </row>
    <row r="5898" spans="36:36" ht="11.25" customHeight="1">
      <c r="AJ5898"/>
    </row>
    <row r="5899" spans="36:36" ht="11.25" customHeight="1">
      <c r="AJ5899"/>
    </row>
    <row r="5900" spans="36:36" ht="11.25" customHeight="1">
      <c r="AJ5900"/>
    </row>
    <row r="5901" spans="36:36" ht="11.25" customHeight="1">
      <c r="AJ5901"/>
    </row>
    <row r="5902" spans="36:36" ht="11.25" customHeight="1">
      <c r="AJ5902"/>
    </row>
    <row r="5903" spans="36:36" ht="11.25" customHeight="1">
      <c r="AJ5903"/>
    </row>
    <row r="5904" spans="36:36" ht="11.25" customHeight="1">
      <c r="AJ5904"/>
    </row>
    <row r="5905" spans="36:36" ht="11.25" customHeight="1">
      <c r="AJ5905"/>
    </row>
    <row r="5906" spans="36:36" ht="11.25" customHeight="1">
      <c r="AJ5906"/>
    </row>
    <row r="5907" spans="36:36" ht="11.25" customHeight="1">
      <c r="AJ5907"/>
    </row>
    <row r="5908" spans="36:36" ht="11.25" customHeight="1">
      <c r="AJ5908"/>
    </row>
    <row r="5909" spans="36:36" ht="11.25" customHeight="1">
      <c r="AJ5909"/>
    </row>
    <row r="5910" spans="36:36" ht="11.25" customHeight="1">
      <c r="AJ5910"/>
    </row>
    <row r="5911" spans="36:36" ht="11.25" customHeight="1">
      <c r="AJ5911"/>
    </row>
    <row r="5912" spans="36:36" ht="11.25" customHeight="1">
      <c r="AJ5912"/>
    </row>
    <row r="5913" spans="36:36" ht="11.25" customHeight="1">
      <c r="AJ5913"/>
    </row>
    <row r="5914" spans="36:36" ht="11.25" customHeight="1">
      <c r="AJ5914"/>
    </row>
    <row r="5915" spans="36:36" ht="11.25" customHeight="1">
      <c r="AJ5915"/>
    </row>
    <row r="5916" spans="36:36" ht="11.25" customHeight="1">
      <c r="AJ5916"/>
    </row>
    <row r="5917" spans="36:36" ht="11.25" customHeight="1">
      <c r="AJ5917"/>
    </row>
    <row r="5918" spans="36:36" ht="11.25" customHeight="1">
      <c r="AJ5918"/>
    </row>
    <row r="5919" spans="36:36" ht="11.25" customHeight="1">
      <c r="AJ5919"/>
    </row>
    <row r="5920" spans="36:36" ht="11.25" customHeight="1">
      <c r="AJ5920"/>
    </row>
    <row r="5921" spans="36:36" ht="11.25" customHeight="1">
      <c r="AJ5921"/>
    </row>
    <row r="5922" spans="36:36" ht="11.25" customHeight="1">
      <c r="AJ5922"/>
    </row>
    <row r="5923" spans="36:36" ht="11.25" customHeight="1">
      <c r="AJ5923"/>
    </row>
    <row r="5924" spans="36:36" ht="11.25" customHeight="1">
      <c r="AJ5924"/>
    </row>
    <row r="5925" spans="36:36" ht="11.25" customHeight="1">
      <c r="AJ5925"/>
    </row>
    <row r="5926" spans="36:36" ht="11.25" customHeight="1">
      <c r="AJ5926"/>
    </row>
    <row r="5927" spans="36:36" ht="11.25" customHeight="1">
      <c r="AJ5927"/>
    </row>
    <row r="5928" spans="36:36" ht="11.25" customHeight="1">
      <c r="AJ5928"/>
    </row>
    <row r="5929" spans="36:36" ht="11.25" customHeight="1">
      <c r="AJ5929"/>
    </row>
    <row r="5930" spans="36:36" ht="11.25" customHeight="1">
      <c r="AJ5930"/>
    </row>
    <row r="5931" spans="36:36" ht="11.25" customHeight="1">
      <c r="AJ5931"/>
    </row>
    <row r="5932" spans="36:36" ht="11.25" customHeight="1">
      <c r="AJ5932"/>
    </row>
    <row r="5933" spans="36:36" ht="11.25" customHeight="1">
      <c r="AJ5933"/>
    </row>
    <row r="5934" spans="36:36" ht="11.25" customHeight="1">
      <c r="AJ5934"/>
    </row>
    <row r="5935" spans="36:36" ht="11.25" customHeight="1">
      <c r="AJ5935"/>
    </row>
    <row r="5936" spans="36:36" ht="11.25" customHeight="1">
      <c r="AJ5936"/>
    </row>
    <row r="5937" spans="36:36" ht="11.25" customHeight="1">
      <c r="AJ5937"/>
    </row>
    <row r="5938" spans="36:36" ht="11.25" customHeight="1">
      <c r="AJ5938"/>
    </row>
    <row r="5939" spans="36:36" ht="11.25" customHeight="1">
      <c r="AJ5939"/>
    </row>
    <row r="5940" spans="36:36" ht="11.25" customHeight="1">
      <c r="AJ5940"/>
    </row>
    <row r="5941" spans="36:36" ht="11.25" customHeight="1">
      <c r="AJ5941"/>
    </row>
    <row r="5942" spans="36:36" ht="11.25" customHeight="1">
      <c r="AJ5942"/>
    </row>
    <row r="5943" spans="36:36" ht="11.25" customHeight="1">
      <c r="AJ5943"/>
    </row>
    <row r="5944" spans="36:36" ht="11.25" customHeight="1">
      <c r="AJ5944"/>
    </row>
    <row r="5945" spans="36:36" ht="11.25" customHeight="1">
      <c r="AJ5945"/>
    </row>
    <row r="5946" spans="36:36" ht="11.25" customHeight="1">
      <c r="AJ5946"/>
    </row>
    <row r="5947" spans="36:36" ht="11.25" customHeight="1">
      <c r="AJ5947"/>
    </row>
    <row r="5948" spans="36:36" ht="11.25" customHeight="1">
      <c r="AJ5948"/>
    </row>
    <row r="5949" spans="36:36" ht="11.25" customHeight="1">
      <c r="AJ5949"/>
    </row>
    <row r="5950" spans="36:36" ht="11.25" customHeight="1">
      <c r="AJ5950"/>
    </row>
    <row r="5951" spans="36:36" ht="11.25" customHeight="1">
      <c r="AJ5951"/>
    </row>
    <row r="5952" spans="36:36" ht="11.25" customHeight="1">
      <c r="AJ5952"/>
    </row>
    <row r="5953" spans="36:36" ht="11.25" customHeight="1">
      <c r="AJ5953"/>
    </row>
    <row r="5954" spans="36:36" ht="11.25" customHeight="1">
      <c r="AJ5954"/>
    </row>
    <row r="5955" spans="36:36" ht="11.25" customHeight="1">
      <c r="AJ5955"/>
    </row>
    <row r="5956" spans="36:36" ht="11.25" customHeight="1">
      <c r="AJ5956"/>
    </row>
    <row r="5957" spans="36:36" ht="11.25" customHeight="1">
      <c r="AJ5957"/>
    </row>
    <row r="5958" spans="36:36" ht="11.25" customHeight="1">
      <c r="AJ5958"/>
    </row>
    <row r="5959" spans="36:36" ht="11.25" customHeight="1">
      <c r="AJ5959"/>
    </row>
    <row r="5960" spans="36:36" ht="11.25" customHeight="1">
      <c r="AJ5960"/>
    </row>
    <row r="5961" spans="36:36" ht="11.25" customHeight="1">
      <c r="AJ5961"/>
    </row>
    <row r="5962" spans="36:36" ht="11.25" customHeight="1">
      <c r="AJ5962"/>
    </row>
    <row r="5963" spans="36:36" ht="11.25" customHeight="1">
      <c r="AJ5963"/>
    </row>
    <row r="5964" spans="36:36" ht="11.25" customHeight="1">
      <c r="AJ5964"/>
    </row>
    <row r="5965" spans="36:36" ht="11.25" customHeight="1">
      <c r="AJ5965"/>
    </row>
    <row r="5966" spans="36:36" ht="11.25" customHeight="1">
      <c r="AJ5966"/>
    </row>
    <row r="5967" spans="36:36" ht="11.25" customHeight="1">
      <c r="AJ5967"/>
    </row>
    <row r="5968" spans="36:36" ht="11.25" customHeight="1">
      <c r="AJ5968"/>
    </row>
    <row r="5969" spans="36:36" ht="11.25" customHeight="1">
      <c r="AJ5969"/>
    </row>
    <row r="5970" spans="36:36" ht="11.25" customHeight="1">
      <c r="AJ5970"/>
    </row>
    <row r="5971" spans="36:36" ht="11.25" customHeight="1">
      <c r="AJ5971"/>
    </row>
    <row r="5972" spans="36:36" ht="11.25" customHeight="1">
      <c r="AJ5972"/>
    </row>
    <row r="5973" spans="36:36" ht="11.25" customHeight="1">
      <c r="AJ5973"/>
    </row>
    <row r="5974" spans="36:36" ht="11.25" customHeight="1">
      <c r="AJ5974"/>
    </row>
    <row r="5975" spans="36:36" ht="11.25" customHeight="1">
      <c r="AJ5975"/>
    </row>
    <row r="5976" spans="36:36" ht="11.25" customHeight="1">
      <c r="AJ5976"/>
    </row>
    <row r="5977" spans="36:36" ht="11.25" customHeight="1">
      <c r="AJ5977"/>
    </row>
    <row r="5978" spans="36:36" ht="11.25" customHeight="1">
      <c r="AJ5978"/>
    </row>
    <row r="5979" spans="36:36" ht="11.25" customHeight="1">
      <c r="AJ5979"/>
    </row>
    <row r="5980" spans="36:36" ht="11.25" customHeight="1">
      <c r="AJ5980"/>
    </row>
    <row r="5981" spans="36:36" ht="11.25" customHeight="1">
      <c r="AJ5981"/>
    </row>
    <row r="5982" spans="36:36" ht="11.25" customHeight="1">
      <c r="AJ5982"/>
    </row>
    <row r="5983" spans="36:36" ht="11.25" customHeight="1">
      <c r="AJ5983"/>
    </row>
    <row r="5984" spans="36:36" ht="11.25" customHeight="1">
      <c r="AJ5984"/>
    </row>
    <row r="5985" spans="36:36" ht="11.25" customHeight="1">
      <c r="AJ5985"/>
    </row>
    <row r="5986" spans="36:36" ht="11.25" customHeight="1">
      <c r="AJ5986"/>
    </row>
    <row r="5987" spans="36:36" ht="11.25" customHeight="1">
      <c r="AJ5987"/>
    </row>
    <row r="5988" spans="36:36" ht="11.25" customHeight="1">
      <c r="AJ5988"/>
    </row>
    <row r="5989" spans="36:36" ht="11.25" customHeight="1">
      <c r="AJ5989"/>
    </row>
    <row r="5990" spans="36:36" ht="11.25" customHeight="1">
      <c r="AJ5990"/>
    </row>
    <row r="5991" spans="36:36" ht="11.25" customHeight="1">
      <c r="AJ5991"/>
    </row>
    <row r="5992" spans="36:36" ht="11.25" customHeight="1">
      <c r="AJ5992"/>
    </row>
    <row r="5993" spans="36:36" ht="11.25" customHeight="1">
      <c r="AJ5993"/>
    </row>
    <row r="5994" spans="36:36" ht="11.25" customHeight="1">
      <c r="AJ5994"/>
    </row>
    <row r="5995" spans="36:36" ht="11.25" customHeight="1">
      <c r="AJ5995"/>
    </row>
    <row r="5996" spans="36:36" ht="11.25" customHeight="1">
      <c r="AJ5996"/>
    </row>
    <row r="5997" spans="36:36" ht="11.25" customHeight="1">
      <c r="AJ5997"/>
    </row>
    <row r="5998" spans="36:36" ht="11.25" customHeight="1">
      <c r="AJ5998"/>
    </row>
    <row r="5999" spans="36:36" ht="11.25" customHeight="1">
      <c r="AJ5999"/>
    </row>
    <row r="6000" spans="36:36" ht="11.25" customHeight="1">
      <c r="AJ6000"/>
    </row>
    <row r="6001" spans="36:36" ht="11.25" customHeight="1">
      <c r="AJ6001"/>
    </row>
    <row r="6002" spans="36:36" ht="11.25" customHeight="1">
      <c r="AJ6002"/>
    </row>
    <row r="6003" spans="36:36" ht="11.25" customHeight="1">
      <c r="AJ6003"/>
    </row>
    <row r="6004" spans="36:36" ht="11.25" customHeight="1">
      <c r="AJ6004"/>
    </row>
    <row r="6005" spans="36:36" ht="11.25" customHeight="1">
      <c r="AJ6005"/>
    </row>
    <row r="6006" spans="36:36" ht="11.25" customHeight="1">
      <c r="AJ6006"/>
    </row>
    <row r="6007" spans="36:36" ht="11.25" customHeight="1">
      <c r="AJ6007"/>
    </row>
    <row r="6008" spans="36:36" ht="11.25" customHeight="1">
      <c r="AJ6008"/>
    </row>
    <row r="6009" spans="36:36" ht="11.25" customHeight="1">
      <c r="AJ6009"/>
    </row>
    <row r="6010" spans="36:36" ht="11.25" customHeight="1">
      <c r="AJ6010"/>
    </row>
    <row r="6011" spans="36:36" ht="11.25" customHeight="1">
      <c r="AJ6011"/>
    </row>
    <row r="6012" spans="36:36" ht="11.25" customHeight="1">
      <c r="AJ6012"/>
    </row>
    <row r="6013" spans="36:36" ht="11.25" customHeight="1">
      <c r="AJ6013"/>
    </row>
    <row r="6014" spans="36:36" ht="11.25" customHeight="1">
      <c r="AJ6014"/>
    </row>
    <row r="6015" spans="36:36" ht="11.25" customHeight="1">
      <c r="AJ6015"/>
    </row>
    <row r="6016" spans="36:36" ht="11.25" customHeight="1">
      <c r="AJ6016"/>
    </row>
    <row r="6017" spans="36:36" ht="11.25" customHeight="1">
      <c r="AJ6017"/>
    </row>
    <row r="6018" spans="36:36" ht="11.25" customHeight="1">
      <c r="AJ6018"/>
    </row>
    <row r="6019" spans="36:36" ht="11.25" customHeight="1">
      <c r="AJ6019"/>
    </row>
    <row r="6020" spans="36:36" ht="11.25" customHeight="1">
      <c r="AJ6020"/>
    </row>
    <row r="6021" spans="36:36" ht="11.25" customHeight="1">
      <c r="AJ6021"/>
    </row>
    <row r="6022" spans="36:36" ht="11.25" customHeight="1">
      <c r="AJ6022"/>
    </row>
    <row r="6023" spans="36:36" ht="11.25" customHeight="1">
      <c r="AJ6023"/>
    </row>
    <row r="6024" spans="36:36" ht="11.25" customHeight="1">
      <c r="AJ6024"/>
    </row>
    <row r="6025" spans="36:36" ht="11.25" customHeight="1">
      <c r="AJ6025"/>
    </row>
    <row r="6026" spans="36:36" ht="11.25" customHeight="1">
      <c r="AJ6026"/>
    </row>
    <row r="6027" spans="36:36" ht="11.25" customHeight="1">
      <c r="AJ6027"/>
    </row>
    <row r="6028" spans="36:36" ht="11.25" customHeight="1">
      <c r="AJ6028"/>
    </row>
    <row r="6029" spans="36:36" ht="11.25" customHeight="1">
      <c r="AJ6029"/>
    </row>
    <row r="6030" spans="36:36" ht="11.25" customHeight="1">
      <c r="AJ6030"/>
    </row>
    <row r="6031" spans="36:36" ht="11.25" customHeight="1">
      <c r="AJ6031"/>
    </row>
    <row r="6032" spans="36:36" ht="11.25" customHeight="1">
      <c r="AJ6032"/>
    </row>
    <row r="6033" spans="36:36" ht="11.25" customHeight="1">
      <c r="AJ6033"/>
    </row>
    <row r="6034" spans="36:36" ht="11.25" customHeight="1">
      <c r="AJ6034"/>
    </row>
    <row r="6035" spans="36:36" ht="11.25" customHeight="1">
      <c r="AJ6035"/>
    </row>
    <row r="6036" spans="36:36" ht="11.25" customHeight="1">
      <c r="AJ6036"/>
    </row>
    <row r="6037" spans="36:36" ht="11.25" customHeight="1">
      <c r="AJ6037"/>
    </row>
    <row r="6038" spans="36:36" ht="11.25" customHeight="1">
      <c r="AJ6038"/>
    </row>
    <row r="6039" spans="36:36" ht="11.25" customHeight="1">
      <c r="AJ6039"/>
    </row>
    <row r="6040" spans="36:36" ht="11.25" customHeight="1">
      <c r="AJ6040"/>
    </row>
    <row r="6041" spans="36:36" ht="11.25" customHeight="1">
      <c r="AJ6041"/>
    </row>
    <row r="6042" spans="36:36" ht="11.25" customHeight="1">
      <c r="AJ6042"/>
    </row>
    <row r="6043" spans="36:36" ht="11.25" customHeight="1">
      <c r="AJ6043"/>
    </row>
    <row r="6044" spans="36:36" ht="11.25" customHeight="1">
      <c r="AJ6044"/>
    </row>
    <row r="6045" spans="36:36" ht="11.25" customHeight="1">
      <c r="AJ6045"/>
    </row>
    <row r="6046" spans="36:36" ht="11.25" customHeight="1">
      <c r="AJ6046"/>
    </row>
    <row r="6047" spans="36:36" ht="11.25" customHeight="1">
      <c r="AJ6047"/>
    </row>
    <row r="6048" spans="36:36" ht="11.25" customHeight="1">
      <c r="AJ6048"/>
    </row>
    <row r="6049" spans="36:36" ht="11.25" customHeight="1">
      <c r="AJ6049"/>
    </row>
    <row r="6050" spans="36:36" ht="11.25" customHeight="1">
      <c r="AJ6050"/>
    </row>
    <row r="6051" spans="36:36" ht="11.25" customHeight="1">
      <c r="AJ6051"/>
    </row>
    <row r="6052" spans="36:36" ht="11.25" customHeight="1">
      <c r="AJ6052"/>
    </row>
    <row r="6053" spans="36:36" ht="11.25" customHeight="1">
      <c r="AJ6053"/>
    </row>
    <row r="6054" spans="36:36" ht="11.25" customHeight="1">
      <c r="AJ6054"/>
    </row>
    <row r="6055" spans="36:36" ht="11.25" customHeight="1">
      <c r="AJ6055"/>
    </row>
    <row r="6056" spans="36:36" ht="11.25" customHeight="1">
      <c r="AJ6056"/>
    </row>
    <row r="6057" spans="36:36" ht="11.25" customHeight="1">
      <c r="AJ6057"/>
    </row>
    <row r="6058" spans="36:36" ht="11.25" customHeight="1">
      <c r="AJ6058"/>
    </row>
    <row r="6059" spans="36:36" ht="11.25" customHeight="1">
      <c r="AJ6059"/>
    </row>
    <row r="6060" spans="36:36" ht="11.25" customHeight="1">
      <c r="AJ6060"/>
    </row>
    <row r="6061" spans="36:36" ht="11.25" customHeight="1">
      <c r="AJ6061"/>
    </row>
    <row r="6062" spans="36:36" ht="11.25" customHeight="1">
      <c r="AJ6062"/>
    </row>
    <row r="6063" spans="36:36" ht="11.25" customHeight="1">
      <c r="AJ6063"/>
    </row>
    <row r="6064" spans="36:36" ht="11.25" customHeight="1">
      <c r="AJ6064"/>
    </row>
    <row r="6065" spans="36:36" ht="11.25" customHeight="1">
      <c r="AJ6065"/>
    </row>
    <row r="6066" spans="36:36" ht="11.25" customHeight="1">
      <c r="AJ6066"/>
    </row>
    <row r="6067" spans="36:36" ht="11.25" customHeight="1">
      <c r="AJ6067"/>
    </row>
    <row r="6068" spans="36:36" ht="11.25" customHeight="1">
      <c r="AJ6068"/>
    </row>
    <row r="6069" spans="36:36" ht="11.25" customHeight="1">
      <c r="AJ6069"/>
    </row>
    <row r="6070" spans="36:36" ht="11.25" customHeight="1">
      <c r="AJ6070"/>
    </row>
    <row r="6071" spans="36:36" ht="11.25" customHeight="1">
      <c r="AJ6071"/>
    </row>
    <row r="6072" spans="36:36" ht="11.25" customHeight="1">
      <c r="AJ6072"/>
    </row>
    <row r="6073" spans="36:36" ht="11.25" customHeight="1">
      <c r="AJ6073"/>
    </row>
    <row r="6074" spans="36:36" ht="11.25" customHeight="1">
      <c r="AJ6074"/>
    </row>
    <row r="6075" spans="36:36" ht="11.25" customHeight="1">
      <c r="AJ6075"/>
    </row>
    <row r="6076" spans="36:36" ht="11.25" customHeight="1">
      <c r="AJ6076"/>
    </row>
    <row r="6077" spans="36:36" ht="11.25" customHeight="1">
      <c r="AJ6077"/>
    </row>
    <row r="6078" spans="36:36" ht="11.25" customHeight="1">
      <c r="AJ6078"/>
    </row>
    <row r="6079" spans="36:36" ht="11.25" customHeight="1">
      <c r="AJ6079"/>
    </row>
    <row r="6080" spans="36:36" ht="11.25" customHeight="1">
      <c r="AJ6080"/>
    </row>
    <row r="6081" spans="36:36" ht="11.25" customHeight="1">
      <c r="AJ6081"/>
    </row>
    <row r="6082" spans="36:36" ht="11.25" customHeight="1">
      <c r="AJ6082"/>
    </row>
    <row r="6083" spans="36:36" ht="11.25" customHeight="1">
      <c r="AJ6083"/>
    </row>
    <row r="6084" spans="36:36" ht="11.25" customHeight="1">
      <c r="AJ6084"/>
    </row>
    <row r="6085" spans="36:36" ht="11.25" customHeight="1">
      <c r="AJ6085"/>
    </row>
    <row r="6086" spans="36:36" ht="11.25" customHeight="1">
      <c r="AJ6086"/>
    </row>
    <row r="6087" spans="36:36" ht="11.25" customHeight="1">
      <c r="AJ6087"/>
    </row>
    <row r="6088" spans="36:36" ht="11.25" customHeight="1">
      <c r="AJ6088"/>
    </row>
    <row r="6089" spans="36:36" ht="11.25" customHeight="1">
      <c r="AJ6089"/>
    </row>
    <row r="6090" spans="36:36" ht="11.25" customHeight="1">
      <c r="AJ6090"/>
    </row>
    <row r="6091" spans="36:36" ht="11.25" customHeight="1">
      <c r="AJ6091"/>
    </row>
    <row r="6092" spans="36:36" ht="11.25" customHeight="1">
      <c r="AJ6092"/>
    </row>
    <row r="6093" spans="36:36" ht="11.25" customHeight="1">
      <c r="AJ6093"/>
    </row>
    <row r="6094" spans="36:36" ht="11.25" customHeight="1">
      <c r="AJ6094"/>
    </row>
    <row r="6095" spans="36:36" ht="11.25" customHeight="1">
      <c r="AJ6095"/>
    </row>
    <row r="6096" spans="36:36" ht="11.25" customHeight="1">
      <c r="AJ6096"/>
    </row>
    <row r="6097" spans="36:36" ht="11.25" customHeight="1">
      <c r="AJ6097"/>
    </row>
    <row r="6098" spans="36:36" ht="11.25" customHeight="1">
      <c r="AJ6098"/>
    </row>
    <row r="6099" spans="36:36" ht="11.25" customHeight="1">
      <c r="AJ6099"/>
    </row>
    <row r="6100" spans="36:36" ht="11.25" customHeight="1">
      <c r="AJ6100"/>
    </row>
    <row r="6101" spans="36:36" ht="11.25" customHeight="1">
      <c r="AJ6101"/>
    </row>
    <row r="6102" spans="36:36" ht="11.25" customHeight="1">
      <c r="AJ6102"/>
    </row>
    <row r="6103" spans="36:36" ht="11.25" customHeight="1">
      <c r="AJ6103"/>
    </row>
    <row r="6104" spans="36:36" ht="11.25" customHeight="1">
      <c r="AJ6104"/>
    </row>
    <row r="6105" spans="36:36" ht="11.25" customHeight="1">
      <c r="AJ6105"/>
    </row>
    <row r="6106" spans="36:36" ht="11.25" customHeight="1">
      <c r="AJ6106"/>
    </row>
    <row r="6107" spans="36:36" ht="11.25" customHeight="1">
      <c r="AJ6107"/>
    </row>
    <row r="6108" spans="36:36" ht="11.25" customHeight="1">
      <c r="AJ6108"/>
    </row>
    <row r="6109" spans="36:36" ht="11.25" customHeight="1">
      <c r="AJ6109"/>
    </row>
    <row r="6110" spans="36:36" ht="11.25" customHeight="1">
      <c r="AJ6110"/>
    </row>
    <row r="6111" spans="36:36" ht="11.25" customHeight="1">
      <c r="AJ6111"/>
    </row>
    <row r="6112" spans="36:36" ht="11.25" customHeight="1">
      <c r="AJ6112"/>
    </row>
    <row r="6113" spans="36:36" ht="11.25" customHeight="1">
      <c r="AJ6113"/>
    </row>
    <row r="6114" spans="36:36" ht="11.25" customHeight="1">
      <c r="AJ6114"/>
    </row>
    <row r="6115" spans="36:36" ht="11.25" customHeight="1">
      <c r="AJ6115"/>
    </row>
    <row r="6116" spans="36:36" ht="11.25" customHeight="1">
      <c r="AJ6116"/>
    </row>
    <row r="6117" spans="36:36" ht="11.25" customHeight="1">
      <c r="AJ6117"/>
    </row>
    <row r="6118" spans="36:36" ht="11.25" customHeight="1">
      <c r="AJ6118"/>
    </row>
    <row r="6119" spans="36:36" ht="11.25" customHeight="1">
      <c r="AJ6119"/>
    </row>
    <row r="6120" spans="36:36" ht="11.25" customHeight="1">
      <c r="AJ6120"/>
    </row>
    <row r="6121" spans="36:36" ht="11.25" customHeight="1">
      <c r="AJ6121"/>
    </row>
    <row r="6122" spans="36:36" ht="11.25" customHeight="1">
      <c r="AJ6122"/>
    </row>
    <row r="6123" spans="36:36" ht="11.25" customHeight="1">
      <c r="AJ6123"/>
    </row>
    <row r="6124" spans="36:36" ht="11.25" customHeight="1">
      <c r="AJ6124"/>
    </row>
    <row r="6125" spans="36:36" ht="11.25" customHeight="1">
      <c r="AJ6125"/>
    </row>
    <row r="6126" spans="36:36" ht="11.25" customHeight="1">
      <c r="AJ6126"/>
    </row>
    <row r="6127" spans="36:36" ht="11.25" customHeight="1">
      <c r="AJ6127"/>
    </row>
    <row r="6128" spans="36:36" ht="11.25" customHeight="1">
      <c r="AJ6128"/>
    </row>
    <row r="6129" spans="36:36" ht="11.25" customHeight="1">
      <c r="AJ6129"/>
    </row>
    <row r="6130" spans="36:36" ht="11.25" customHeight="1">
      <c r="AJ6130"/>
    </row>
    <row r="6131" spans="36:36" ht="11.25" customHeight="1">
      <c r="AJ6131"/>
    </row>
    <row r="6132" spans="36:36" ht="11.25" customHeight="1">
      <c r="AJ6132"/>
    </row>
    <row r="6133" spans="36:36" ht="11.25" customHeight="1">
      <c r="AJ6133"/>
    </row>
    <row r="6134" spans="36:36" ht="11.25" customHeight="1">
      <c r="AJ6134"/>
    </row>
    <row r="6135" spans="36:36" ht="11.25" customHeight="1">
      <c r="AJ6135"/>
    </row>
    <row r="6136" spans="36:36" ht="11.25" customHeight="1">
      <c r="AJ6136"/>
    </row>
    <row r="6137" spans="36:36" ht="11.25" customHeight="1">
      <c r="AJ6137"/>
    </row>
    <row r="6138" spans="36:36" ht="11.25" customHeight="1">
      <c r="AJ6138"/>
    </row>
    <row r="6139" spans="36:36" ht="11.25" customHeight="1">
      <c r="AJ6139"/>
    </row>
    <row r="6140" spans="36:36" ht="11.25" customHeight="1">
      <c r="AJ6140"/>
    </row>
    <row r="6141" spans="36:36" ht="11.25" customHeight="1">
      <c r="AJ6141"/>
    </row>
    <row r="6142" spans="36:36" ht="11.25" customHeight="1">
      <c r="AJ6142"/>
    </row>
    <row r="6143" spans="36:36" ht="11.25" customHeight="1">
      <c r="AJ6143"/>
    </row>
    <row r="6144" spans="36:36" ht="11.25" customHeight="1">
      <c r="AJ6144"/>
    </row>
    <row r="6145" spans="36:36" ht="11.25" customHeight="1">
      <c r="AJ6145"/>
    </row>
    <row r="6146" spans="36:36" ht="11.25" customHeight="1">
      <c r="AJ6146"/>
    </row>
    <row r="6147" spans="36:36" ht="11.25" customHeight="1">
      <c r="AJ6147"/>
    </row>
    <row r="6148" spans="36:36" ht="11.25" customHeight="1">
      <c r="AJ6148"/>
    </row>
    <row r="6149" spans="36:36" ht="11.25" customHeight="1">
      <c r="AJ6149"/>
    </row>
    <row r="6150" spans="36:36" ht="11.25" customHeight="1">
      <c r="AJ6150"/>
    </row>
    <row r="6151" spans="36:36" ht="11.25" customHeight="1">
      <c r="AJ6151"/>
    </row>
    <row r="6152" spans="36:36" ht="11.25" customHeight="1">
      <c r="AJ6152"/>
    </row>
    <row r="6153" spans="36:36" ht="11.25" customHeight="1">
      <c r="AJ6153"/>
    </row>
    <row r="6154" spans="36:36" ht="11.25" customHeight="1">
      <c r="AJ6154"/>
    </row>
    <row r="6155" spans="36:36" ht="11.25" customHeight="1">
      <c r="AJ6155"/>
    </row>
    <row r="6156" spans="36:36" ht="11.25" customHeight="1">
      <c r="AJ6156"/>
    </row>
    <row r="6157" spans="36:36" ht="11.25" customHeight="1">
      <c r="AJ6157"/>
    </row>
    <row r="6158" spans="36:36" ht="11.25" customHeight="1">
      <c r="AJ6158"/>
    </row>
    <row r="6159" spans="36:36" ht="11.25" customHeight="1">
      <c r="AJ6159"/>
    </row>
    <row r="6160" spans="36:36" ht="11.25" customHeight="1">
      <c r="AJ6160"/>
    </row>
    <row r="6161" spans="36:36" ht="11.25" customHeight="1">
      <c r="AJ6161"/>
    </row>
    <row r="6162" spans="36:36" ht="11.25" customHeight="1">
      <c r="AJ6162"/>
    </row>
    <row r="6163" spans="36:36" ht="11.25" customHeight="1">
      <c r="AJ6163"/>
    </row>
    <row r="6164" spans="36:36" ht="11.25" customHeight="1">
      <c r="AJ6164"/>
    </row>
    <row r="6165" spans="36:36" ht="11.25" customHeight="1">
      <c r="AJ6165"/>
    </row>
    <row r="6166" spans="36:36" ht="11.25" customHeight="1">
      <c r="AJ6166"/>
    </row>
    <row r="6167" spans="36:36" ht="11.25" customHeight="1">
      <c r="AJ6167"/>
    </row>
    <row r="6168" spans="36:36" ht="11.25" customHeight="1">
      <c r="AJ6168"/>
    </row>
    <row r="6169" spans="36:36" ht="11.25" customHeight="1">
      <c r="AJ6169"/>
    </row>
    <row r="6170" spans="36:36" ht="11.25" customHeight="1">
      <c r="AJ6170"/>
    </row>
    <row r="6171" spans="36:36" ht="11.25" customHeight="1">
      <c r="AJ6171"/>
    </row>
    <row r="6172" spans="36:36" ht="11.25" customHeight="1">
      <c r="AJ6172"/>
    </row>
    <row r="6173" spans="36:36" ht="11.25" customHeight="1">
      <c r="AJ6173"/>
    </row>
    <row r="6174" spans="36:36" ht="11.25" customHeight="1">
      <c r="AJ6174"/>
    </row>
    <row r="6175" spans="36:36" ht="11.25" customHeight="1">
      <c r="AJ6175"/>
    </row>
    <row r="6176" spans="36:36" ht="11.25" customHeight="1">
      <c r="AJ6176"/>
    </row>
    <row r="6177" spans="36:36" ht="11.25" customHeight="1">
      <c r="AJ6177"/>
    </row>
    <row r="6178" spans="36:36" ht="11.25" customHeight="1">
      <c r="AJ6178"/>
    </row>
    <row r="6179" spans="36:36" ht="11.25" customHeight="1">
      <c r="AJ6179"/>
    </row>
    <row r="6180" spans="36:36" ht="11.25" customHeight="1">
      <c r="AJ6180"/>
    </row>
    <row r="6181" spans="36:36" ht="11.25" customHeight="1">
      <c r="AJ6181"/>
    </row>
    <row r="6182" spans="36:36" ht="11.25" customHeight="1">
      <c r="AJ6182"/>
    </row>
    <row r="6183" spans="36:36" ht="11.25" customHeight="1">
      <c r="AJ6183"/>
    </row>
    <row r="6184" spans="36:36" ht="11.25" customHeight="1">
      <c r="AJ6184"/>
    </row>
    <row r="6185" spans="36:36" ht="11.25" customHeight="1">
      <c r="AJ6185"/>
    </row>
    <row r="6186" spans="36:36" ht="11.25" customHeight="1">
      <c r="AJ6186"/>
    </row>
    <row r="6187" spans="36:36" ht="11.25" customHeight="1">
      <c r="AJ6187"/>
    </row>
    <row r="6188" spans="36:36" ht="11.25" customHeight="1">
      <c r="AJ6188"/>
    </row>
    <row r="6189" spans="36:36" ht="11.25" customHeight="1">
      <c r="AJ6189"/>
    </row>
    <row r="6190" spans="36:36" ht="11.25" customHeight="1">
      <c r="AJ6190"/>
    </row>
    <row r="6191" spans="36:36" ht="11.25" customHeight="1">
      <c r="AJ6191"/>
    </row>
    <row r="6192" spans="36:36" ht="11.25" customHeight="1">
      <c r="AJ6192"/>
    </row>
    <row r="6193" spans="36:36" ht="11.25" customHeight="1">
      <c r="AJ6193"/>
    </row>
    <row r="6194" spans="36:36" ht="11.25" customHeight="1">
      <c r="AJ6194"/>
    </row>
    <row r="6195" spans="36:36" ht="11.25" customHeight="1">
      <c r="AJ6195"/>
    </row>
    <row r="6196" spans="36:36" ht="11.25" customHeight="1">
      <c r="AJ6196"/>
    </row>
    <row r="6197" spans="36:36" ht="11.25" customHeight="1">
      <c r="AJ6197"/>
    </row>
    <row r="6198" spans="36:36" ht="11.25" customHeight="1">
      <c r="AJ6198"/>
    </row>
    <row r="6199" spans="36:36" ht="11.25" customHeight="1">
      <c r="AJ6199"/>
    </row>
    <row r="6200" spans="36:36" ht="11.25" customHeight="1">
      <c r="AJ6200"/>
    </row>
    <row r="6201" spans="36:36" ht="11.25" customHeight="1">
      <c r="AJ6201"/>
    </row>
    <row r="6202" spans="36:36" ht="11.25" customHeight="1">
      <c r="AJ6202"/>
    </row>
    <row r="6203" spans="36:36" ht="11.25" customHeight="1">
      <c r="AJ6203"/>
    </row>
    <row r="6204" spans="36:36" ht="11.25" customHeight="1">
      <c r="AJ6204"/>
    </row>
    <row r="6205" spans="36:36" ht="11.25" customHeight="1">
      <c r="AJ6205"/>
    </row>
    <row r="6206" spans="36:36" ht="11.25" customHeight="1">
      <c r="AJ6206"/>
    </row>
    <row r="6207" spans="36:36" ht="11.25" customHeight="1">
      <c r="AJ6207"/>
    </row>
    <row r="6208" spans="36:36" ht="11.25" customHeight="1">
      <c r="AJ6208"/>
    </row>
    <row r="6209" spans="36:36" ht="11.25" customHeight="1">
      <c r="AJ6209"/>
    </row>
    <row r="6210" spans="36:36" ht="11.25" customHeight="1">
      <c r="AJ6210"/>
    </row>
    <row r="6211" spans="36:36" ht="11.25" customHeight="1">
      <c r="AJ6211"/>
    </row>
    <row r="6212" spans="36:36" ht="11.25" customHeight="1">
      <c r="AJ6212"/>
    </row>
    <row r="6213" spans="36:36" ht="11.25" customHeight="1">
      <c r="AJ6213"/>
    </row>
    <row r="6214" spans="36:36" ht="11.25" customHeight="1">
      <c r="AJ6214"/>
    </row>
    <row r="6215" spans="36:36" ht="11.25" customHeight="1">
      <c r="AJ6215"/>
    </row>
    <row r="6216" spans="36:36" ht="11.25" customHeight="1">
      <c r="AJ6216"/>
    </row>
    <row r="6217" spans="36:36" ht="11.25" customHeight="1">
      <c r="AJ6217"/>
    </row>
    <row r="6218" spans="36:36" ht="11.25" customHeight="1">
      <c r="AJ6218"/>
    </row>
    <row r="6219" spans="36:36" ht="11.25" customHeight="1">
      <c r="AJ6219"/>
    </row>
    <row r="6220" spans="36:36" ht="11.25" customHeight="1">
      <c r="AJ6220"/>
    </row>
    <row r="6221" spans="36:36" ht="11.25" customHeight="1">
      <c r="AJ6221"/>
    </row>
    <row r="6222" spans="36:36" ht="11.25" customHeight="1">
      <c r="AJ6222"/>
    </row>
    <row r="6223" spans="36:36" ht="11.25" customHeight="1">
      <c r="AJ6223"/>
    </row>
    <row r="6224" spans="36:36" ht="11.25" customHeight="1">
      <c r="AJ6224"/>
    </row>
    <row r="6225" spans="36:36" ht="11.25" customHeight="1">
      <c r="AJ6225"/>
    </row>
    <row r="6226" spans="36:36" ht="11.25" customHeight="1">
      <c r="AJ6226"/>
    </row>
    <row r="6227" spans="36:36" ht="11.25" customHeight="1">
      <c r="AJ6227"/>
    </row>
    <row r="6228" spans="36:36" ht="11.25" customHeight="1">
      <c r="AJ6228"/>
    </row>
    <row r="6229" spans="36:36" ht="11.25" customHeight="1">
      <c r="AJ6229"/>
    </row>
    <row r="6230" spans="36:36" ht="11.25" customHeight="1">
      <c r="AJ6230"/>
    </row>
    <row r="6231" spans="36:36" ht="11.25" customHeight="1">
      <c r="AJ6231"/>
    </row>
    <row r="6232" spans="36:36" ht="11.25" customHeight="1">
      <c r="AJ6232"/>
    </row>
    <row r="6233" spans="36:36" ht="11.25" customHeight="1">
      <c r="AJ6233"/>
    </row>
    <row r="6234" spans="36:36" ht="11.25" customHeight="1">
      <c r="AJ6234"/>
    </row>
    <row r="6235" spans="36:36" ht="11.25" customHeight="1">
      <c r="AJ6235"/>
    </row>
    <row r="6236" spans="36:36" ht="11.25" customHeight="1">
      <c r="AJ6236"/>
    </row>
    <row r="6237" spans="36:36" ht="11.25" customHeight="1">
      <c r="AJ6237"/>
    </row>
    <row r="6238" spans="36:36" ht="11.25" customHeight="1">
      <c r="AJ6238"/>
    </row>
    <row r="6239" spans="36:36" ht="11.25" customHeight="1">
      <c r="AJ6239"/>
    </row>
    <row r="6240" spans="36:36" ht="11.25" customHeight="1">
      <c r="AJ6240"/>
    </row>
    <row r="6241" spans="36:36" ht="11.25" customHeight="1">
      <c r="AJ6241"/>
    </row>
    <row r="6242" spans="36:36" ht="11.25" customHeight="1">
      <c r="AJ6242"/>
    </row>
    <row r="6243" spans="36:36" ht="11.25" customHeight="1">
      <c r="AJ6243"/>
    </row>
    <row r="6244" spans="36:36" ht="11.25" customHeight="1">
      <c r="AJ6244"/>
    </row>
    <row r="6245" spans="36:36" ht="11.25" customHeight="1">
      <c r="AJ6245"/>
    </row>
    <row r="6246" spans="36:36" ht="11.25" customHeight="1">
      <c r="AJ6246"/>
    </row>
    <row r="6247" spans="36:36" ht="11.25" customHeight="1">
      <c r="AJ6247"/>
    </row>
    <row r="6248" spans="36:36" ht="11.25" customHeight="1">
      <c r="AJ6248"/>
    </row>
    <row r="6249" spans="36:36" ht="11.25" customHeight="1">
      <c r="AJ6249"/>
    </row>
    <row r="6250" spans="36:36" ht="11.25" customHeight="1">
      <c r="AJ6250"/>
    </row>
    <row r="6251" spans="36:36" ht="11.25" customHeight="1">
      <c r="AJ6251"/>
    </row>
    <row r="6252" spans="36:36" ht="11.25" customHeight="1">
      <c r="AJ6252"/>
    </row>
    <row r="6253" spans="36:36" ht="11.25" customHeight="1">
      <c r="AJ6253"/>
    </row>
    <row r="6254" spans="36:36" ht="11.25" customHeight="1">
      <c r="AJ6254"/>
    </row>
    <row r="6255" spans="36:36" ht="11.25" customHeight="1">
      <c r="AJ6255"/>
    </row>
    <row r="6256" spans="36:36" ht="11.25" customHeight="1">
      <c r="AJ6256"/>
    </row>
    <row r="6257" spans="36:36" ht="11.25" customHeight="1">
      <c r="AJ6257"/>
    </row>
    <row r="6258" spans="36:36" ht="11.25" customHeight="1">
      <c r="AJ6258"/>
    </row>
    <row r="6259" spans="36:36" ht="11.25" customHeight="1">
      <c r="AJ6259"/>
    </row>
    <row r="6260" spans="36:36" ht="11.25" customHeight="1">
      <c r="AJ6260"/>
    </row>
    <row r="6261" spans="36:36" ht="11.25" customHeight="1">
      <c r="AJ6261"/>
    </row>
    <row r="6262" spans="36:36" ht="11.25" customHeight="1">
      <c r="AJ6262"/>
    </row>
    <row r="6263" spans="36:36" ht="11.25" customHeight="1">
      <c r="AJ6263"/>
    </row>
    <row r="6264" spans="36:36" ht="11.25" customHeight="1">
      <c r="AJ6264"/>
    </row>
    <row r="6265" spans="36:36" ht="11.25" customHeight="1">
      <c r="AJ6265"/>
    </row>
    <row r="6266" spans="36:36" ht="11.25" customHeight="1">
      <c r="AJ6266"/>
    </row>
    <row r="6267" spans="36:36" ht="11.25" customHeight="1">
      <c r="AJ6267"/>
    </row>
    <row r="6268" spans="36:36" ht="11.25" customHeight="1">
      <c r="AJ6268"/>
    </row>
    <row r="6269" spans="36:36" ht="11.25" customHeight="1">
      <c r="AJ6269"/>
    </row>
    <row r="6270" spans="36:36" ht="11.25" customHeight="1">
      <c r="AJ6270"/>
    </row>
    <row r="6271" spans="36:36" ht="11.25" customHeight="1">
      <c r="AJ6271"/>
    </row>
    <row r="6272" spans="36:36" ht="11.25" customHeight="1">
      <c r="AJ6272"/>
    </row>
    <row r="6273" spans="36:36" ht="11.25" customHeight="1">
      <c r="AJ6273"/>
    </row>
    <row r="6274" spans="36:36" ht="11.25" customHeight="1">
      <c r="AJ6274"/>
    </row>
    <row r="6275" spans="36:36" ht="11.25" customHeight="1">
      <c r="AJ6275"/>
    </row>
    <row r="6276" spans="36:36" ht="11.25" customHeight="1">
      <c r="AJ6276"/>
    </row>
    <row r="6277" spans="36:36" ht="11.25" customHeight="1">
      <c r="AJ6277"/>
    </row>
    <row r="6278" spans="36:36" ht="11.25" customHeight="1">
      <c r="AJ6278"/>
    </row>
    <row r="6279" spans="36:36" ht="11.25" customHeight="1">
      <c r="AJ6279"/>
    </row>
    <row r="6280" spans="36:36" ht="11.25" customHeight="1">
      <c r="AJ6280"/>
    </row>
    <row r="6281" spans="36:36" ht="11.25" customHeight="1">
      <c r="AJ6281"/>
    </row>
    <row r="6282" spans="36:36" ht="11.25" customHeight="1">
      <c r="AJ6282"/>
    </row>
    <row r="6283" spans="36:36" ht="11.25" customHeight="1">
      <c r="AJ6283"/>
    </row>
    <row r="6284" spans="36:36" ht="11.25" customHeight="1">
      <c r="AJ6284"/>
    </row>
    <row r="6285" spans="36:36" ht="11.25" customHeight="1">
      <c r="AJ6285"/>
    </row>
    <row r="6286" spans="36:36" ht="11.25" customHeight="1">
      <c r="AJ6286"/>
    </row>
    <row r="6287" spans="36:36" ht="11.25" customHeight="1">
      <c r="AJ6287"/>
    </row>
    <row r="6288" spans="36:36" ht="11.25" customHeight="1">
      <c r="AJ6288"/>
    </row>
    <row r="6289" spans="36:36" ht="11.25" customHeight="1">
      <c r="AJ6289"/>
    </row>
    <row r="6290" spans="36:36" ht="11.25" customHeight="1">
      <c r="AJ6290"/>
    </row>
    <row r="6291" spans="36:36" ht="11.25" customHeight="1">
      <c r="AJ6291"/>
    </row>
    <row r="6292" spans="36:36" ht="11.25" customHeight="1">
      <c r="AJ6292"/>
    </row>
    <row r="6293" spans="36:36" ht="11.25" customHeight="1">
      <c r="AJ6293"/>
    </row>
    <row r="6294" spans="36:36" ht="11.25" customHeight="1">
      <c r="AJ6294"/>
    </row>
    <row r="6295" spans="36:36" ht="11.25" customHeight="1">
      <c r="AJ6295"/>
    </row>
    <row r="6296" spans="36:36" ht="11.25" customHeight="1">
      <c r="AJ6296"/>
    </row>
    <row r="6297" spans="36:36" ht="11.25" customHeight="1">
      <c r="AJ6297"/>
    </row>
    <row r="6298" spans="36:36" ht="11.25" customHeight="1">
      <c r="AJ6298"/>
    </row>
    <row r="6299" spans="36:36" ht="11.25" customHeight="1">
      <c r="AJ6299"/>
    </row>
    <row r="6300" spans="36:36" ht="11.25" customHeight="1">
      <c r="AJ6300"/>
    </row>
    <row r="6301" spans="36:36" ht="11.25" customHeight="1">
      <c r="AJ6301"/>
    </row>
    <row r="6302" spans="36:36" ht="11.25" customHeight="1">
      <c r="AJ6302"/>
    </row>
    <row r="6303" spans="36:36" ht="11.25" customHeight="1">
      <c r="AJ6303"/>
    </row>
    <row r="6304" spans="36:36" ht="11.25" customHeight="1">
      <c r="AJ6304"/>
    </row>
    <row r="6305" spans="36:36" ht="11.25" customHeight="1">
      <c r="AJ6305"/>
    </row>
    <row r="6306" spans="36:36" ht="11.25" customHeight="1">
      <c r="AJ6306"/>
    </row>
    <row r="6307" spans="36:36" ht="11.25" customHeight="1">
      <c r="AJ6307"/>
    </row>
    <row r="6308" spans="36:36" ht="11.25" customHeight="1">
      <c r="AJ6308"/>
    </row>
    <row r="6309" spans="36:36" ht="11.25" customHeight="1">
      <c r="AJ6309"/>
    </row>
    <row r="6310" spans="36:36" ht="11.25" customHeight="1">
      <c r="AJ6310"/>
    </row>
    <row r="6311" spans="36:36" ht="11.25" customHeight="1">
      <c r="AJ6311"/>
    </row>
    <row r="6312" spans="36:36" ht="11.25" customHeight="1">
      <c r="AJ6312"/>
    </row>
    <row r="6313" spans="36:36" ht="11.25" customHeight="1">
      <c r="AJ6313"/>
    </row>
    <row r="6314" spans="36:36" ht="11.25" customHeight="1">
      <c r="AJ6314"/>
    </row>
    <row r="6315" spans="36:36" ht="11.25" customHeight="1">
      <c r="AJ6315"/>
    </row>
    <row r="6316" spans="36:36" ht="11.25" customHeight="1">
      <c r="AJ6316"/>
    </row>
    <row r="6317" spans="36:36" ht="11.25" customHeight="1">
      <c r="AJ6317"/>
    </row>
    <row r="6318" spans="36:36" ht="11.25" customHeight="1">
      <c r="AJ6318"/>
    </row>
    <row r="6319" spans="36:36" ht="11.25" customHeight="1">
      <c r="AJ6319"/>
    </row>
    <row r="6320" spans="36:36" ht="11.25" customHeight="1">
      <c r="AJ6320"/>
    </row>
    <row r="6321" spans="36:36" ht="11.25" customHeight="1">
      <c r="AJ6321"/>
    </row>
    <row r="6322" spans="36:36" ht="11.25" customHeight="1">
      <c r="AJ6322"/>
    </row>
    <row r="6323" spans="36:36" ht="11.25" customHeight="1">
      <c r="AJ6323"/>
    </row>
    <row r="6324" spans="36:36" ht="11.25" customHeight="1">
      <c r="AJ6324"/>
    </row>
    <row r="6325" spans="36:36" ht="11.25" customHeight="1">
      <c r="AJ6325"/>
    </row>
    <row r="6326" spans="36:36" ht="11.25" customHeight="1">
      <c r="AJ6326"/>
    </row>
    <row r="6327" spans="36:36" ht="11.25" customHeight="1">
      <c r="AJ6327"/>
    </row>
    <row r="6328" spans="36:36" ht="11.25" customHeight="1">
      <c r="AJ6328"/>
    </row>
    <row r="6329" spans="36:36" ht="11.25" customHeight="1">
      <c r="AJ6329"/>
    </row>
    <row r="6330" spans="36:36" ht="11.25" customHeight="1">
      <c r="AJ6330"/>
    </row>
    <row r="6331" spans="36:36" ht="11.25" customHeight="1">
      <c r="AJ6331"/>
    </row>
    <row r="6332" spans="36:36" ht="11.25" customHeight="1">
      <c r="AJ6332"/>
    </row>
    <row r="6333" spans="36:36" ht="11.25" customHeight="1">
      <c r="AJ6333"/>
    </row>
    <row r="6334" spans="36:36" ht="11.25" customHeight="1">
      <c r="AJ6334"/>
    </row>
    <row r="6335" spans="36:36" ht="11.25" customHeight="1">
      <c r="AJ6335"/>
    </row>
    <row r="6336" spans="36:36" ht="11.25" customHeight="1">
      <c r="AJ6336"/>
    </row>
    <row r="6337" spans="36:36" ht="11.25" customHeight="1">
      <c r="AJ6337"/>
    </row>
    <row r="6338" spans="36:36" ht="11.25" customHeight="1">
      <c r="AJ6338"/>
    </row>
    <row r="6339" spans="36:36" ht="11.25" customHeight="1">
      <c r="AJ6339"/>
    </row>
    <row r="6340" spans="36:36" ht="11.25" customHeight="1">
      <c r="AJ6340"/>
    </row>
    <row r="6341" spans="36:36" ht="11.25" customHeight="1">
      <c r="AJ6341"/>
    </row>
    <row r="6342" spans="36:36" ht="11.25" customHeight="1">
      <c r="AJ6342"/>
    </row>
    <row r="6343" spans="36:36" ht="11.25" customHeight="1">
      <c r="AJ6343"/>
    </row>
    <row r="6344" spans="36:36" ht="11.25" customHeight="1">
      <c r="AJ6344"/>
    </row>
    <row r="6345" spans="36:36" ht="11.25" customHeight="1">
      <c r="AJ6345"/>
    </row>
    <row r="6346" spans="36:36" ht="11.25" customHeight="1">
      <c r="AJ6346"/>
    </row>
    <row r="6347" spans="36:36" ht="11.25" customHeight="1">
      <c r="AJ6347"/>
    </row>
    <row r="6348" spans="36:36" ht="11.25" customHeight="1">
      <c r="AJ6348"/>
    </row>
    <row r="6349" spans="36:36" ht="11.25" customHeight="1">
      <c r="AJ6349"/>
    </row>
    <row r="6350" spans="36:36" ht="11.25" customHeight="1">
      <c r="AJ6350"/>
    </row>
    <row r="6351" spans="36:36" ht="11.25" customHeight="1">
      <c r="AJ6351"/>
    </row>
    <row r="6352" spans="36:36" ht="11.25" customHeight="1">
      <c r="AJ6352"/>
    </row>
    <row r="6353" spans="36:36" ht="11.25" customHeight="1">
      <c r="AJ6353"/>
    </row>
    <row r="6354" spans="36:36" ht="11.25" customHeight="1">
      <c r="AJ6354"/>
    </row>
    <row r="6355" spans="36:36" ht="11.25" customHeight="1">
      <c r="AJ6355"/>
    </row>
    <row r="6356" spans="36:36" ht="11.25" customHeight="1">
      <c r="AJ6356"/>
    </row>
    <row r="6357" spans="36:36" ht="11.25" customHeight="1">
      <c r="AJ6357"/>
    </row>
    <row r="6358" spans="36:36" ht="11.25" customHeight="1">
      <c r="AJ6358"/>
    </row>
    <row r="6359" spans="36:36" ht="11.25" customHeight="1">
      <c r="AJ6359"/>
    </row>
    <row r="6360" spans="36:36" ht="11.25" customHeight="1">
      <c r="AJ6360"/>
    </row>
    <row r="6361" spans="36:36" ht="11.25" customHeight="1">
      <c r="AJ6361"/>
    </row>
    <row r="6362" spans="36:36" ht="11.25" customHeight="1">
      <c r="AJ6362"/>
    </row>
    <row r="6363" spans="36:36" ht="11.25" customHeight="1">
      <c r="AJ6363"/>
    </row>
    <row r="6364" spans="36:36" ht="11.25" customHeight="1">
      <c r="AJ6364"/>
    </row>
    <row r="6365" spans="36:36" ht="11.25" customHeight="1">
      <c r="AJ6365"/>
    </row>
    <row r="6366" spans="36:36" ht="11.25" customHeight="1">
      <c r="AJ6366"/>
    </row>
    <row r="6367" spans="36:36" ht="11.25" customHeight="1">
      <c r="AJ6367"/>
    </row>
    <row r="6368" spans="36:36" ht="11.25" customHeight="1">
      <c r="AJ6368"/>
    </row>
    <row r="6369" spans="36:36" ht="11.25" customHeight="1">
      <c r="AJ6369"/>
    </row>
    <row r="6370" spans="36:36" ht="11.25" customHeight="1">
      <c r="AJ6370"/>
    </row>
    <row r="6371" spans="36:36" ht="11.25" customHeight="1">
      <c r="AJ6371"/>
    </row>
    <row r="6372" spans="36:36" ht="11.25" customHeight="1">
      <c r="AJ6372"/>
    </row>
    <row r="6373" spans="36:36" ht="11.25" customHeight="1">
      <c r="AJ6373"/>
    </row>
    <row r="6374" spans="36:36" ht="11.25" customHeight="1">
      <c r="AJ6374"/>
    </row>
    <row r="6375" spans="36:36" ht="11.25" customHeight="1">
      <c r="AJ6375"/>
    </row>
    <row r="6376" spans="36:36" ht="11.25" customHeight="1">
      <c r="AJ6376"/>
    </row>
    <row r="6377" spans="36:36" ht="11.25" customHeight="1">
      <c r="AJ6377"/>
    </row>
    <row r="6378" spans="36:36" ht="11.25" customHeight="1">
      <c r="AJ6378"/>
    </row>
    <row r="6379" spans="36:36" ht="11.25" customHeight="1">
      <c r="AJ6379"/>
    </row>
    <row r="6380" spans="36:36" ht="11.25" customHeight="1">
      <c r="AJ6380"/>
    </row>
    <row r="6381" spans="36:36" ht="11.25" customHeight="1">
      <c r="AJ6381"/>
    </row>
    <row r="6382" spans="36:36" ht="11.25" customHeight="1">
      <c r="AJ6382"/>
    </row>
    <row r="6383" spans="36:36" ht="11.25" customHeight="1">
      <c r="AJ6383"/>
    </row>
    <row r="6384" spans="36:36" ht="11.25" customHeight="1">
      <c r="AJ6384"/>
    </row>
    <row r="6385" spans="36:36" ht="11.25" customHeight="1">
      <c r="AJ6385"/>
    </row>
    <row r="6386" spans="36:36" ht="11.25" customHeight="1">
      <c r="AJ6386"/>
    </row>
    <row r="6387" spans="36:36" ht="11.25" customHeight="1">
      <c r="AJ6387"/>
    </row>
    <row r="6388" spans="36:36" ht="11.25" customHeight="1">
      <c r="AJ6388"/>
    </row>
    <row r="6389" spans="36:36" ht="11.25" customHeight="1">
      <c r="AJ6389"/>
    </row>
    <row r="6390" spans="36:36" ht="11.25" customHeight="1">
      <c r="AJ6390"/>
    </row>
    <row r="6391" spans="36:36" ht="11.25" customHeight="1">
      <c r="AJ6391"/>
    </row>
    <row r="6392" spans="36:36" ht="11.25" customHeight="1">
      <c r="AJ6392"/>
    </row>
    <row r="6393" spans="36:36" ht="11.25" customHeight="1">
      <c r="AJ6393"/>
    </row>
    <row r="6394" spans="36:36" ht="11.25" customHeight="1">
      <c r="AJ6394"/>
    </row>
    <row r="6395" spans="36:36" ht="11.25" customHeight="1">
      <c r="AJ6395"/>
    </row>
    <row r="6396" spans="36:36" ht="11.25" customHeight="1">
      <c r="AJ6396"/>
    </row>
    <row r="6397" spans="36:36" ht="11.25" customHeight="1">
      <c r="AJ6397"/>
    </row>
    <row r="6398" spans="36:36" ht="11.25" customHeight="1">
      <c r="AJ6398"/>
    </row>
    <row r="6399" spans="36:36" ht="11.25" customHeight="1">
      <c r="AJ6399"/>
    </row>
    <row r="6400" spans="36:36" ht="11.25" customHeight="1">
      <c r="AJ6400"/>
    </row>
    <row r="6401" spans="36:36" ht="11.25" customHeight="1">
      <c r="AJ6401"/>
    </row>
    <row r="6402" spans="36:36" ht="11.25" customHeight="1">
      <c r="AJ6402"/>
    </row>
    <row r="6403" spans="36:36" ht="11.25" customHeight="1">
      <c r="AJ6403"/>
    </row>
    <row r="6404" spans="36:36" ht="11.25" customHeight="1">
      <c r="AJ6404"/>
    </row>
    <row r="6405" spans="36:36" ht="11.25" customHeight="1">
      <c r="AJ6405"/>
    </row>
    <row r="6406" spans="36:36" ht="11.25" customHeight="1">
      <c r="AJ6406"/>
    </row>
    <row r="6407" spans="36:36" ht="11.25" customHeight="1">
      <c r="AJ6407"/>
    </row>
    <row r="6408" spans="36:36" ht="11.25" customHeight="1">
      <c r="AJ6408"/>
    </row>
    <row r="6409" spans="36:36" ht="11.25" customHeight="1">
      <c r="AJ6409"/>
    </row>
    <row r="6410" spans="36:36" ht="11.25" customHeight="1">
      <c r="AJ6410"/>
    </row>
    <row r="6411" spans="36:36" ht="11.25" customHeight="1">
      <c r="AJ6411"/>
    </row>
    <row r="6412" spans="36:36" ht="11.25" customHeight="1">
      <c r="AJ6412"/>
    </row>
    <row r="6413" spans="36:36" ht="11.25" customHeight="1">
      <c r="AJ6413"/>
    </row>
    <row r="6414" spans="36:36" ht="11.25" customHeight="1">
      <c r="AJ6414"/>
    </row>
    <row r="6415" spans="36:36" ht="11.25" customHeight="1">
      <c r="AJ6415"/>
    </row>
    <row r="6416" spans="36:36" ht="11.25" customHeight="1">
      <c r="AJ6416"/>
    </row>
    <row r="6417" spans="36:36" ht="11.25" customHeight="1">
      <c r="AJ6417"/>
    </row>
    <row r="6418" spans="36:36" ht="11.25" customHeight="1">
      <c r="AJ6418"/>
    </row>
    <row r="6419" spans="36:36" ht="11.25" customHeight="1">
      <c r="AJ6419"/>
    </row>
    <row r="6420" spans="36:36" ht="11.25" customHeight="1">
      <c r="AJ6420"/>
    </row>
    <row r="6421" spans="36:36" ht="11.25" customHeight="1">
      <c r="AJ6421"/>
    </row>
    <row r="6422" spans="36:36" ht="11.25" customHeight="1">
      <c r="AJ6422"/>
    </row>
    <row r="6423" spans="36:36" ht="11.25" customHeight="1">
      <c r="AJ6423"/>
    </row>
    <row r="6424" spans="36:36" ht="11.25" customHeight="1">
      <c r="AJ6424"/>
    </row>
    <row r="6425" spans="36:36" ht="11.25" customHeight="1">
      <c r="AJ6425"/>
    </row>
    <row r="6426" spans="36:36" ht="11.25" customHeight="1">
      <c r="AJ6426"/>
    </row>
    <row r="6427" spans="36:36" ht="11.25" customHeight="1">
      <c r="AJ6427"/>
    </row>
    <row r="6428" spans="36:36" ht="11.25" customHeight="1">
      <c r="AJ6428"/>
    </row>
    <row r="6429" spans="36:36" ht="11.25" customHeight="1">
      <c r="AJ6429"/>
    </row>
    <row r="6430" spans="36:36" ht="11.25" customHeight="1">
      <c r="AJ6430"/>
    </row>
    <row r="6431" spans="36:36" ht="11.25" customHeight="1">
      <c r="AJ6431"/>
    </row>
    <row r="6432" spans="36:36" ht="11.25" customHeight="1">
      <c r="AJ6432"/>
    </row>
    <row r="6433" spans="36:36" ht="11.25" customHeight="1">
      <c r="AJ6433"/>
    </row>
    <row r="6434" spans="36:36" ht="11.25" customHeight="1">
      <c r="AJ6434"/>
    </row>
    <row r="6435" spans="36:36" ht="11.25" customHeight="1">
      <c r="AJ6435"/>
    </row>
    <row r="6436" spans="36:36" ht="11.25" customHeight="1">
      <c r="AJ6436"/>
    </row>
    <row r="6437" spans="36:36" ht="11.25" customHeight="1">
      <c r="AJ6437"/>
    </row>
    <row r="6438" spans="36:36" ht="11.25" customHeight="1">
      <c r="AJ6438"/>
    </row>
    <row r="6439" spans="36:36" ht="11.25" customHeight="1">
      <c r="AJ6439"/>
    </row>
    <row r="6440" spans="36:36" ht="11.25" customHeight="1">
      <c r="AJ6440"/>
    </row>
    <row r="6441" spans="36:36" ht="11.25" customHeight="1">
      <c r="AJ6441"/>
    </row>
    <row r="6442" spans="36:36" ht="11.25" customHeight="1">
      <c r="AJ6442"/>
    </row>
    <row r="6443" spans="36:36" ht="11.25" customHeight="1">
      <c r="AJ6443"/>
    </row>
    <row r="6444" spans="36:36" ht="11.25" customHeight="1">
      <c r="AJ6444"/>
    </row>
    <row r="6445" spans="36:36" ht="11.25" customHeight="1">
      <c r="AJ6445"/>
    </row>
    <row r="6446" spans="36:36" ht="11.25" customHeight="1">
      <c r="AJ6446"/>
    </row>
    <row r="6447" spans="36:36" ht="11.25" customHeight="1">
      <c r="AJ6447"/>
    </row>
    <row r="6448" spans="36:36" ht="11.25" customHeight="1">
      <c r="AJ6448"/>
    </row>
    <row r="6449" spans="36:36" ht="11.25" customHeight="1">
      <c r="AJ6449"/>
    </row>
    <row r="6450" spans="36:36" ht="11.25" customHeight="1">
      <c r="AJ6450"/>
    </row>
    <row r="6451" spans="36:36" ht="11.25" customHeight="1">
      <c r="AJ6451"/>
    </row>
    <row r="6452" spans="36:36" ht="11.25" customHeight="1">
      <c r="AJ6452"/>
    </row>
    <row r="6453" spans="36:36" ht="11.25" customHeight="1">
      <c r="AJ6453"/>
    </row>
    <row r="6454" spans="36:36" ht="11.25" customHeight="1">
      <c r="AJ6454"/>
    </row>
    <row r="6455" spans="36:36" ht="11.25" customHeight="1">
      <c r="AJ6455"/>
    </row>
    <row r="6456" spans="36:36" ht="11.25" customHeight="1">
      <c r="AJ6456"/>
    </row>
    <row r="6457" spans="36:36" ht="11.25" customHeight="1">
      <c r="AJ6457"/>
    </row>
    <row r="6458" spans="36:36" ht="11.25" customHeight="1">
      <c r="AJ6458"/>
    </row>
    <row r="6459" spans="36:36" ht="11.25" customHeight="1">
      <c r="AJ6459"/>
    </row>
    <row r="6460" spans="36:36" ht="11.25" customHeight="1">
      <c r="AJ6460"/>
    </row>
    <row r="6461" spans="36:36" ht="11.25" customHeight="1">
      <c r="AJ6461"/>
    </row>
    <row r="6462" spans="36:36" ht="11.25" customHeight="1">
      <c r="AJ6462"/>
    </row>
    <row r="6463" spans="36:36" ht="11.25" customHeight="1">
      <c r="AJ6463"/>
    </row>
    <row r="6464" spans="36:36" ht="11.25" customHeight="1">
      <c r="AJ6464"/>
    </row>
    <row r="6465" spans="36:36" ht="11.25" customHeight="1">
      <c r="AJ6465"/>
    </row>
    <row r="6466" spans="36:36" ht="11.25" customHeight="1">
      <c r="AJ6466"/>
    </row>
    <row r="6467" spans="36:36" ht="11.25" customHeight="1">
      <c r="AJ6467"/>
    </row>
    <row r="6468" spans="36:36" ht="11.25" customHeight="1">
      <c r="AJ6468"/>
    </row>
    <row r="6469" spans="36:36" ht="11.25" customHeight="1">
      <c r="AJ6469"/>
    </row>
    <row r="6470" spans="36:36" ht="11.25" customHeight="1">
      <c r="AJ6470"/>
    </row>
    <row r="6471" spans="36:36" ht="11.25" customHeight="1">
      <c r="AJ6471"/>
    </row>
    <row r="6472" spans="36:36" ht="11.25" customHeight="1">
      <c r="AJ6472"/>
    </row>
    <row r="6473" spans="36:36" ht="11.25" customHeight="1">
      <c r="AJ6473"/>
    </row>
    <row r="6474" spans="36:36" ht="11.25" customHeight="1">
      <c r="AJ6474"/>
    </row>
    <row r="6475" spans="36:36" ht="11.25" customHeight="1">
      <c r="AJ6475"/>
    </row>
    <row r="6476" spans="36:36" ht="11.25" customHeight="1">
      <c r="AJ6476"/>
    </row>
    <row r="6477" spans="36:36" ht="11.25" customHeight="1">
      <c r="AJ6477"/>
    </row>
    <row r="6478" spans="36:36" ht="11.25" customHeight="1">
      <c r="AJ6478"/>
    </row>
    <row r="6479" spans="36:36" ht="11.25" customHeight="1">
      <c r="AJ6479"/>
    </row>
    <row r="6480" spans="36:36" ht="11.25" customHeight="1">
      <c r="AJ6480"/>
    </row>
    <row r="6481" spans="36:36" ht="11.25" customHeight="1">
      <c r="AJ6481"/>
    </row>
    <row r="6482" spans="36:36" ht="11.25" customHeight="1">
      <c r="AJ6482"/>
    </row>
    <row r="6483" spans="36:36" ht="11.25" customHeight="1">
      <c r="AJ6483"/>
    </row>
    <row r="6484" spans="36:36" ht="11.25" customHeight="1">
      <c r="AJ6484"/>
    </row>
    <row r="6485" spans="36:36" ht="11.25" customHeight="1">
      <c r="AJ6485"/>
    </row>
    <row r="6486" spans="36:36" ht="11.25" customHeight="1">
      <c r="AJ6486"/>
    </row>
    <row r="6487" spans="36:36" ht="11.25" customHeight="1">
      <c r="AJ6487"/>
    </row>
    <row r="6488" spans="36:36" ht="11.25" customHeight="1">
      <c r="AJ6488"/>
    </row>
    <row r="6489" spans="36:36" ht="11.25" customHeight="1">
      <c r="AJ6489"/>
    </row>
    <row r="6490" spans="36:36" ht="11.25" customHeight="1">
      <c r="AJ6490"/>
    </row>
    <row r="6491" spans="36:36" ht="11.25" customHeight="1">
      <c r="AJ6491"/>
    </row>
    <row r="6492" spans="36:36" ht="11.25" customHeight="1">
      <c r="AJ6492"/>
    </row>
    <row r="6493" spans="36:36" ht="11.25" customHeight="1">
      <c r="AJ6493"/>
    </row>
    <row r="6494" spans="36:36" ht="11.25" customHeight="1">
      <c r="AJ6494"/>
    </row>
    <row r="6495" spans="36:36" ht="11.25" customHeight="1">
      <c r="AJ6495"/>
    </row>
    <row r="6496" spans="36:36" ht="11.25" customHeight="1">
      <c r="AJ6496"/>
    </row>
    <row r="6497" spans="36:36" ht="11.25" customHeight="1">
      <c r="AJ6497"/>
    </row>
    <row r="6498" spans="36:36" ht="11.25" customHeight="1">
      <c r="AJ6498"/>
    </row>
    <row r="6499" spans="36:36" ht="11.25" customHeight="1">
      <c r="AJ6499"/>
    </row>
    <row r="6500" spans="36:36" ht="11.25" customHeight="1">
      <c r="AJ6500"/>
    </row>
    <row r="6501" spans="36:36" ht="11.25" customHeight="1">
      <c r="AJ6501"/>
    </row>
    <row r="6502" spans="36:36" ht="11.25" customHeight="1">
      <c r="AJ6502"/>
    </row>
    <row r="6503" spans="36:36" ht="11.25" customHeight="1">
      <c r="AJ6503"/>
    </row>
    <row r="6504" spans="36:36" ht="11.25" customHeight="1">
      <c r="AJ6504"/>
    </row>
    <row r="6505" spans="36:36" ht="11.25" customHeight="1">
      <c r="AJ6505"/>
    </row>
    <row r="6506" spans="36:36" ht="11.25" customHeight="1">
      <c r="AJ6506"/>
    </row>
    <row r="6507" spans="36:36" ht="11.25" customHeight="1">
      <c r="AJ6507"/>
    </row>
    <row r="6508" spans="36:36" ht="11.25" customHeight="1">
      <c r="AJ6508"/>
    </row>
    <row r="6509" spans="36:36" ht="11.25" customHeight="1">
      <c r="AJ6509"/>
    </row>
    <row r="6510" spans="36:36" ht="11.25" customHeight="1">
      <c r="AJ6510"/>
    </row>
    <row r="6511" spans="36:36" ht="11.25" customHeight="1">
      <c r="AJ6511"/>
    </row>
    <row r="6512" spans="36:36" ht="11.25" customHeight="1">
      <c r="AJ6512"/>
    </row>
    <row r="6513" spans="36:36" ht="11.25" customHeight="1">
      <c r="AJ6513"/>
    </row>
    <row r="6514" spans="36:36" ht="11.25" customHeight="1">
      <c r="AJ6514"/>
    </row>
    <row r="6515" spans="36:36" ht="11.25" customHeight="1">
      <c r="AJ6515"/>
    </row>
    <row r="6516" spans="36:36" ht="11.25" customHeight="1">
      <c r="AJ6516"/>
    </row>
    <row r="6517" spans="36:36" ht="11.25" customHeight="1">
      <c r="AJ6517"/>
    </row>
    <row r="6518" spans="36:36" ht="11.25" customHeight="1">
      <c r="AJ6518"/>
    </row>
    <row r="6519" spans="36:36" ht="11.25" customHeight="1">
      <c r="AJ6519"/>
    </row>
    <row r="6520" spans="36:36" ht="11.25" customHeight="1">
      <c r="AJ6520"/>
    </row>
    <row r="6521" spans="36:36" ht="11.25" customHeight="1">
      <c r="AJ6521"/>
    </row>
    <row r="6522" spans="36:36" ht="11.25" customHeight="1">
      <c r="AJ6522"/>
    </row>
    <row r="6523" spans="36:36" ht="11.25" customHeight="1">
      <c r="AJ6523"/>
    </row>
    <row r="6524" spans="36:36" ht="11.25" customHeight="1">
      <c r="AJ6524"/>
    </row>
    <row r="6525" spans="36:36" ht="11.25" customHeight="1">
      <c r="AJ6525"/>
    </row>
    <row r="6526" spans="36:36" ht="11.25" customHeight="1">
      <c r="AJ6526"/>
    </row>
    <row r="6527" spans="36:36" ht="11.25" customHeight="1">
      <c r="AJ6527"/>
    </row>
    <row r="6528" spans="36:36" ht="11.25" customHeight="1">
      <c r="AJ6528"/>
    </row>
    <row r="6529" spans="36:36" ht="11.25" customHeight="1">
      <c r="AJ6529"/>
    </row>
    <row r="6530" spans="36:36" ht="11.25" customHeight="1">
      <c r="AJ6530"/>
    </row>
    <row r="6531" spans="36:36" ht="11.25" customHeight="1">
      <c r="AJ6531"/>
    </row>
    <row r="6532" spans="36:36" ht="11.25" customHeight="1">
      <c r="AJ6532"/>
    </row>
    <row r="6533" spans="36:36" ht="11.25" customHeight="1">
      <c r="AJ6533"/>
    </row>
    <row r="6534" spans="36:36" ht="11.25" customHeight="1">
      <c r="AJ6534"/>
    </row>
    <row r="6535" spans="36:36" ht="11.25" customHeight="1">
      <c r="AJ6535"/>
    </row>
    <row r="6536" spans="36:36" ht="11.25" customHeight="1">
      <c r="AJ6536"/>
    </row>
    <row r="6537" spans="36:36" ht="11.25" customHeight="1">
      <c r="AJ6537"/>
    </row>
    <row r="6538" spans="36:36" ht="11.25" customHeight="1">
      <c r="AJ6538"/>
    </row>
    <row r="6539" spans="36:36" ht="11.25" customHeight="1">
      <c r="AJ6539"/>
    </row>
    <row r="6540" spans="36:36" ht="11.25" customHeight="1">
      <c r="AJ6540"/>
    </row>
    <row r="6541" spans="36:36" ht="11.25" customHeight="1">
      <c r="AJ6541"/>
    </row>
    <row r="6542" spans="36:36" ht="11.25" customHeight="1">
      <c r="AJ6542"/>
    </row>
    <row r="6543" spans="36:36" ht="11.25" customHeight="1">
      <c r="AJ6543"/>
    </row>
    <row r="6544" spans="36:36" ht="11.25" customHeight="1">
      <c r="AJ6544"/>
    </row>
    <row r="6545" spans="36:36" ht="11.25" customHeight="1">
      <c r="AJ6545"/>
    </row>
    <row r="6546" spans="36:36" ht="11.25" customHeight="1">
      <c r="AJ6546"/>
    </row>
    <row r="6547" spans="36:36" ht="11.25" customHeight="1">
      <c r="AJ6547"/>
    </row>
    <row r="6548" spans="36:36" ht="11.25" customHeight="1">
      <c r="AJ6548"/>
    </row>
    <row r="6549" spans="36:36" ht="11.25" customHeight="1">
      <c r="AJ6549"/>
    </row>
    <row r="6550" spans="36:36" ht="11.25" customHeight="1">
      <c r="AJ6550"/>
    </row>
    <row r="6551" spans="36:36" ht="11.25" customHeight="1">
      <c r="AJ6551"/>
    </row>
    <row r="6552" spans="36:36" ht="11.25" customHeight="1">
      <c r="AJ6552"/>
    </row>
    <row r="6553" spans="36:36" ht="11.25" customHeight="1">
      <c r="AJ6553"/>
    </row>
    <row r="6554" spans="36:36" ht="11.25" customHeight="1">
      <c r="AJ6554"/>
    </row>
    <row r="6555" spans="36:36" ht="11.25" customHeight="1">
      <c r="AJ6555"/>
    </row>
    <row r="6556" spans="36:36" ht="11.25" customHeight="1">
      <c r="AJ6556"/>
    </row>
    <row r="6557" spans="36:36" ht="11.25" customHeight="1">
      <c r="AJ6557"/>
    </row>
    <row r="6558" spans="36:36" ht="11.25" customHeight="1">
      <c r="AJ6558"/>
    </row>
    <row r="6559" spans="36:36" ht="11.25" customHeight="1">
      <c r="AJ6559"/>
    </row>
    <row r="6560" spans="36:36" ht="11.25" customHeight="1">
      <c r="AJ6560"/>
    </row>
    <row r="6561" spans="36:36" ht="11.25" customHeight="1">
      <c r="AJ6561"/>
    </row>
    <row r="6562" spans="36:36" ht="11.25" customHeight="1">
      <c r="AJ6562"/>
    </row>
    <row r="6563" spans="36:36" ht="11.25" customHeight="1">
      <c r="AJ6563"/>
    </row>
    <row r="6564" spans="36:36" ht="11.25" customHeight="1">
      <c r="AJ6564"/>
    </row>
    <row r="6565" spans="36:36" ht="11.25" customHeight="1">
      <c r="AJ6565"/>
    </row>
    <row r="6566" spans="36:36" ht="11.25" customHeight="1">
      <c r="AJ6566"/>
    </row>
    <row r="6567" spans="36:36" ht="11.25" customHeight="1">
      <c r="AJ6567"/>
    </row>
    <row r="6568" spans="36:36" ht="11.25" customHeight="1">
      <c r="AJ6568"/>
    </row>
    <row r="6569" spans="36:36" ht="11.25" customHeight="1">
      <c r="AJ6569"/>
    </row>
    <row r="6570" spans="36:36" ht="11.25" customHeight="1">
      <c r="AJ6570"/>
    </row>
    <row r="6571" spans="36:36" ht="11.25" customHeight="1">
      <c r="AJ6571"/>
    </row>
    <row r="6572" spans="36:36" ht="11.25" customHeight="1">
      <c r="AJ6572"/>
    </row>
    <row r="6573" spans="36:36" ht="11.25" customHeight="1">
      <c r="AJ6573"/>
    </row>
    <row r="6574" spans="36:36" ht="11.25" customHeight="1">
      <c r="AJ6574"/>
    </row>
    <row r="6575" spans="36:36" ht="11.25" customHeight="1">
      <c r="AJ6575"/>
    </row>
    <row r="6576" spans="36:36" ht="11.25" customHeight="1">
      <c r="AJ6576"/>
    </row>
    <row r="6577" spans="36:36" ht="11.25" customHeight="1">
      <c r="AJ6577"/>
    </row>
    <row r="6578" spans="36:36" ht="11.25" customHeight="1">
      <c r="AJ6578"/>
    </row>
    <row r="6579" spans="36:36" ht="11.25" customHeight="1">
      <c r="AJ6579"/>
    </row>
    <row r="6580" spans="36:36" ht="11.25" customHeight="1">
      <c r="AJ6580"/>
    </row>
    <row r="6581" spans="36:36" ht="11.25" customHeight="1">
      <c r="AJ6581"/>
    </row>
    <row r="6582" spans="36:36" ht="11.25" customHeight="1">
      <c r="AJ6582"/>
    </row>
    <row r="6583" spans="36:36" ht="11.25" customHeight="1">
      <c r="AJ6583"/>
    </row>
    <row r="6584" spans="36:36" ht="11.25" customHeight="1">
      <c r="AJ6584"/>
    </row>
    <row r="6585" spans="36:36" ht="11.25" customHeight="1">
      <c r="AJ6585"/>
    </row>
    <row r="6586" spans="36:36" ht="11.25" customHeight="1">
      <c r="AJ6586"/>
    </row>
    <row r="6587" spans="36:36" ht="11.25" customHeight="1">
      <c r="AJ6587"/>
    </row>
    <row r="6588" spans="36:36" ht="11.25" customHeight="1">
      <c r="AJ6588"/>
    </row>
    <row r="6589" spans="36:36" ht="11.25" customHeight="1">
      <c r="AJ6589"/>
    </row>
    <row r="6590" spans="36:36" ht="11.25" customHeight="1">
      <c r="AJ6590"/>
    </row>
    <row r="6591" spans="36:36" ht="11.25" customHeight="1">
      <c r="AJ6591"/>
    </row>
    <row r="6592" spans="36:36" ht="11.25" customHeight="1">
      <c r="AJ6592"/>
    </row>
    <row r="6593" spans="36:36" ht="11.25" customHeight="1">
      <c r="AJ6593"/>
    </row>
    <row r="6594" spans="36:36" ht="11.25" customHeight="1">
      <c r="AJ6594"/>
    </row>
    <row r="6595" spans="36:36" ht="11.25" customHeight="1">
      <c r="AJ6595"/>
    </row>
    <row r="6596" spans="36:36" ht="11.25" customHeight="1">
      <c r="AJ6596"/>
    </row>
    <row r="6597" spans="36:36" ht="11.25" customHeight="1">
      <c r="AJ6597"/>
    </row>
    <row r="6598" spans="36:36" ht="11.25" customHeight="1">
      <c r="AJ6598"/>
    </row>
    <row r="6599" spans="36:36" ht="11.25" customHeight="1">
      <c r="AJ6599"/>
    </row>
    <row r="6600" spans="36:36" ht="11.25" customHeight="1">
      <c r="AJ6600"/>
    </row>
    <row r="6601" spans="36:36" ht="11.25" customHeight="1">
      <c r="AJ6601"/>
    </row>
    <row r="6602" spans="36:36" ht="11.25" customHeight="1">
      <c r="AJ6602"/>
    </row>
    <row r="6603" spans="36:36" ht="11.25" customHeight="1">
      <c r="AJ6603"/>
    </row>
    <row r="6604" spans="36:36" ht="11.25" customHeight="1">
      <c r="AJ6604"/>
    </row>
    <row r="6605" spans="36:36" ht="11.25" customHeight="1">
      <c r="AJ6605"/>
    </row>
    <row r="6606" spans="36:36" ht="11.25" customHeight="1">
      <c r="AJ6606"/>
    </row>
    <row r="6607" spans="36:36" ht="11.25" customHeight="1">
      <c r="AJ6607"/>
    </row>
    <row r="6608" spans="36:36" ht="11.25" customHeight="1">
      <c r="AJ6608"/>
    </row>
    <row r="6609" spans="36:36" ht="11.25" customHeight="1">
      <c r="AJ6609"/>
    </row>
    <row r="6610" spans="36:36" ht="11.25" customHeight="1">
      <c r="AJ6610"/>
    </row>
    <row r="6611" spans="36:36" ht="11.25" customHeight="1">
      <c r="AJ6611"/>
    </row>
    <row r="6612" spans="36:36" ht="11.25" customHeight="1">
      <c r="AJ6612"/>
    </row>
    <row r="6613" spans="36:36" ht="11.25" customHeight="1">
      <c r="AJ6613"/>
    </row>
    <row r="6614" spans="36:36" ht="11.25" customHeight="1">
      <c r="AJ6614"/>
    </row>
    <row r="6615" spans="36:36" ht="11.25" customHeight="1">
      <c r="AJ6615"/>
    </row>
    <row r="6616" spans="36:36" ht="11.25" customHeight="1">
      <c r="AJ6616"/>
    </row>
    <row r="6617" spans="36:36" ht="11.25" customHeight="1">
      <c r="AJ6617"/>
    </row>
    <row r="6618" spans="36:36" ht="11.25" customHeight="1">
      <c r="AJ6618"/>
    </row>
    <row r="6619" spans="36:36" ht="11.25" customHeight="1">
      <c r="AJ6619"/>
    </row>
    <row r="6620" spans="36:36" ht="11.25" customHeight="1">
      <c r="AJ6620"/>
    </row>
    <row r="6621" spans="36:36" ht="11.25" customHeight="1">
      <c r="AJ6621"/>
    </row>
    <row r="6622" spans="36:36" ht="11.25" customHeight="1">
      <c r="AJ6622"/>
    </row>
    <row r="6623" spans="36:36" ht="11.25" customHeight="1">
      <c r="AJ6623"/>
    </row>
    <row r="6624" spans="36:36" ht="11.25" customHeight="1">
      <c r="AJ6624"/>
    </row>
    <row r="6625" spans="36:36" ht="11.25" customHeight="1">
      <c r="AJ6625"/>
    </row>
    <row r="6626" spans="36:36" ht="11.25" customHeight="1">
      <c r="AJ6626"/>
    </row>
    <row r="6627" spans="36:36" ht="11.25" customHeight="1">
      <c r="AJ6627"/>
    </row>
    <row r="6628" spans="36:36" ht="11.25" customHeight="1">
      <c r="AJ6628"/>
    </row>
    <row r="6629" spans="36:36" ht="11.25" customHeight="1">
      <c r="AJ6629"/>
    </row>
    <row r="6630" spans="36:36" ht="11.25" customHeight="1">
      <c r="AJ6630"/>
    </row>
    <row r="6631" spans="36:36" ht="11.25" customHeight="1">
      <c r="AJ6631"/>
    </row>
    <row r="6632" spans="36:36" ht="11.25" customHeight="1">
      <c r="AJ6632"/>
    </row>
    <row r="6633" spans="36:36" ht="11.25" customHeight="1">
      <c r="AJ6633"/>
    </row>
    <row r="6634" spans="36:36" ht="11.25" customHeight="1">
      <c r="AJ6634"/>
    </row>
    <row r="6635" spans="36:36" ht="11.25" customHeight="1">
      <c r="AJ6635"/>
    </row>
    <row r="6636" spans="36:36" ht="11.25" customHeight="1">
      <c r="AJ6636"/>
    </row>
    <row r="6637" spans="36:36" ht="11.25" customHeight="1">
      <c r="AJ6637"/>
    </row>
    <row r="6638" spans="36:36" ht="11.25" customHeight="1">
      <c r="AJ6638"/>
    </row>
    <row r="6639" spans="36:36" ht="11.25" customHeight="1">
      <c r="AJ6639"/>
    </row>
    <row r="6640" spans="36:36" ht="11.25" customHeight="1">
      <c r="AJ6640"/>
    </row>
    <row r="6641" spans="36:36" ht="11.25" customHeight="1">
      <c r="AJ6641"/>
    </row>
    <row r="6642" spans="36:36" ht="11.25" customHeight="1">
      <c r="AJ6642"/>
    </row>
    <row r="6643" spans="36:36" ht="11.25" customHeight="1">
      <c r="AJ6643"/>
    </row>
    <row r="6644" spans="36:36" ht="11.25" customHeight="1">
      <c r="AJ6644"/>
    </row>
    <row r="6645" spans="36:36" ht="11.25" customHeight="1">
      <c r="AJ6645"/>
    </row>
    <row r="6646" spans="36:36" ht="11.25" customHeight="1">
      <c r="AJ6646"/>
    </row>
    <row r="6647" spans="36:36" ht="11.25" customHeight="1">
      <c r="AJ6647"/>
    </row>
    <row r="6648" spans="36:36" ht="11.25" customHeight="1">
      <c r="AJ6648"/>
    </row>
    <row r="6649" spans="36:36" ht="11.25" customHeight="1">
      <c r="AJ6649"/>
    </row>
    <row r="6650" spans="36:36" ht="11.25" customHeight="1">
      <c r="AJ6650"/>
    </row>
    <row r="6651" spans="36:36" ht="11.25" customHeight="1">
      <c r="AJ6651"/>
    </row>
    <row r="6652" spans="36:36" ht="11.25" customHeight="1">
      <c r="AJ6652"/>
    </row>
    <row r="6653" spans="36:36" ht="11.25" customHeight="1">
      <c r="AJ6653"/>
    </row>
    <row r="6654" spans="36:36" ht="11.25" customHeight="1">
      <c r="AJ6654"/>
    </row>
    <row r="6655" spans="36:36" ht="11.25" customHeight="1">
      <c r="AJ6655"/>
    </row>
    <row r="6656" spans="36:36" ht="11.25" customHeight="1">
      <c r="AJ6656"/>
    </row>
    <row r="6657" spans="36:36" ht="11.25" customHeight="1">
      <c r="AJ6657"/>
    </row>
    <row r="6658" spans="36:36" ht="11.25" customHeight="1">
      <c r="AJ6658"/>
    </row>
    <row r="6659" spans="36:36" ht="11.25" customHeight="1">
      <c r="AJ6659"/>
    </row>
    <row r="6660" spans="36:36" ht="11.25" customHeight="1">
      <c r="AJ6660"/>
    </row>
    <row r="6661" spans="36:36" ht="11.25" customHeight="1">
      <c r="AJ6661"/>
    </row>
    <row r="6662" spans="36:36" ht="11.25" customHeight="1">
      <c r="AJ6662"/>
    </row>
    <row r="6663" spans="36:36" ht="11.25" customHeight="1">
      <c r="AJ6663"/>
    </row>
    <row r="6664" spans="36:36" ht="11.25" customHeight="1">
      <c r="AJ6664"/>
    </row>
    <row r="6665" spans="36:36" ht="11.25" customHeight="1">
      <c r="AJ6665"/>
    </row>
    <row r="6666" spans="36:36" ht="11.25" customHeight="1">
      <c r="AJ6666"/>
    </row>
    <row r="6667" spans="36:36" ht="11.25" customHeight="1">
      <c r="AJ6667"/>
    </row>
    <row r="6668" spans="36:36" ht="11.25" customHeight="1">
      <c r="AJ6668"/>
    </row>
    <row r="6669" spans="36:36" ht="11.25" customHeight="1">
      <c r="AJ6669"/>
    </row>
    <row r="6670" spans="36:36" ht="11.25" customHeight="1">
      <c r="AJ6670"/>
    </row>
    <row r="6671" spans="36:36" ht="11.25" customHeight="1">
      <c r="AJ6671"/>
    </row>
    <row r="6672" spans="36:36" ht="11.25" customHeight="1">
      <c r="AJ6672"/>
    </row>
    <row r="6673" spans="36:36" ht="11.25" customHeight="1">
      <c r="AJ6673"/>
    </row>
    <row r="6674" spans="36:36" ht="11.25" customHeight="1">
      <c r="AJ6674"/>
    </row>
    <row r="6675" spans="36:36" ht="11.25" customHeight="1">
      <c r="AJ6675"/>
    </row>
    <row r="6676" spans="36:36" ht="11.25" customHeight="1">
      <c r="AJ6676"/>
    </row>
    <row r="6677" spans="36:36" ht="11.25" customHeight="1">
      <c r="AJ6677"/>
    </row>
    <row r="6678" spans="36:36" ht="11.25" customHeight="1">
      <c r="AJ6678"/>
    </row>
    <row r="6679" spans="36:36" ht="11.25" customHeight="1">
      <c r="AJ6679"/>
    </row>
    <row r="6680" spans="36:36" ht="11.25" customHeight="1">
      <c r="AJ6680"/>
    </row>
    <row r="6681" spans="36:36" ht="11.25" customHeight="1">
      <c r="AJ6681"/>
    </row>
    <row r="6682" spans="36:36" ht="11.25" customHeight="1">
      <c r="AJ6682"/>
    </row>
    <row r="6683" spans="36:36" ht="11.25" customHeight="1">
      <c r="AJ6683"/>
    </row>
    <row r="6684" spans="36:36" ht="11.25" customHeight="1">
      <c r="AJ6684"/>
    </row>
    <row r="6685" spans="36:36" ht="11.25" customHeight="1">
      <c r="AJ6685"/>
    </row>
    <row r="6686" spans="36:36" ht="11.25" customHeight="1">
      <c r="AJ6686"/>
    </row>
    <row r="6687" spans="36:36" ht="11.25" customHeight="1">
      <c r="AJ6687"/>
    </row>
    <row r="6688" spans="36:36" ht="11.25" customHeight="1">
      <c r="AJ6688"/>
    </row>
    <row r="6689" spans="36:36" ht="11.25" customHeight="1">
      <c r="AJ6689"/>
    </row>
    <row r="6690" spans="36:36" ht="11.25" customHeight="1">
      <c r="AJ6690"/>
    </row>
    <row r="6691" spans="36:36" ht="11.25" customHeight="1">
      <c r="AJ6691"/>
    </row>
    <row r="6692" spans="36:36" ht="11.25" customHeight="1">
      <c r="AJ6692"/>
    </row>
    <row r="6693" spans="36:36" ht="11.25" customHeight="1">
      <c r="AJ6693"/>
    </row>
    <row r="6694" spans="36:36" ht="11.25" customHeight="1">
      <c r="AJ6694"/>
    </row>
    <row r="6695" spans="36:36" ht="11.25" customHeight="1">
      <c r="AJ6695"/>
    </row>
    <row r="6696" spans="36:36" ht="11.25" customHeight="1">
      <c r="AJ6696"/>
    </row>
    <row r="6697" spans="36:36" ht="11.25" customHeight="1">
      <c r="AJ6697"/>
    </row>
    <row r="6698" spans="36:36" ht="11.25" customHeight="1">
      <c r="AJ6698"/>
    </row>
    <row r="6699" spans="36:36" ht="11.25" customHeight="1">
      <c r="AJ6699"/>
    </row>
    <row r="6700" spans="36:36" ht="11.25" customHeight="1">
      <c r="AJ6700"/>
    </row>
    <row r="6701" spans="36:36" ht="11.25" customHeight="1">
      <c r="AJ6701"/>
    </row>
    <row r="6702" spans="36:36" ht="11.25" customHeight="1">
      <c r="AJ6702"/>
    </row>
    <row r="6703" spans="36:36" ht="11.25" customHeight="1">
      <c r="AJ6703"/>
    </row>
    <row r="6704" spans="36:36" ht="11.25" customHeight="1">
      <c r="AJ6704"/>
    </row>
    <row r="6705" spans="36:36" ht="11.25" customHeight="1">
      <c r="AJ6705"/>
    </row>
    <row r="6706" spans="36:36" ht="11.25" customHeight="1">
      <c r="AJ6706"/>
    </row>
    <row r="6707" spans="36:36" ht="11.25" customHeight="1">
      <c r="AJ6707"/>
    </row>
    <row r="6708" spans="36:36" ht="11.25" customHeight="1">
      <c r="AJ6708"/>
    </row>
    <row r="6709" spans="36:36" ht="11.25" customHeight="1">
      <c r="AJ6709"/>
    </row>
    <row r="6710" spans="36:36" ht="11.25" customHeight="1">
      <c r="AJ6710"/>
    </row>
    <row r="6711" spans="36:36" ht="11.25" customHeight="1">
      <c r="AJ6711"/>
    </row>
    <row r="6712" spans="36:36" ht="11.25" customHeight="1">
      <c r="AJ6712"/>
    </row>
    <row r="6713" spans="36:36" ht="11.25" customHeight="1">
      <c r="AJ6713"/>
    </row>
    <row r="6714" spans="36:36" ht="11.25" customHeight="1">
      <c r="AJ6714"/>
    </row>
    <row r="6715" spans="36:36" ht="11.25" customHeight="1">
      <c r="AJ6715"/>
    </row>
    <row r="6716" spans="36:36" ht="11.25" customHeight="1">
      <c r="AJ6716"/>
    </row>
    <row r="6717" spans="36:36" ht="11.25" customHeight="1">
      <c r="AJ6717"/>
    </row>
    <row r="6718" spans="36:36" ht="11.25" customHeight="1">
      <c r="AJ6718"/>
    </row>
    <row r="6719" spans="36:36" ht="11.25" customHeight="1">
      <c r="AJ6719"/>
    </row>
    <row r="6720" spans="36:36" ht="11.25" customHeight="1">
      <c r="AJ6720"/>
    </row>
    <row r="6721" spans="36:36" ht="11.25" customHeight="1">
      <c r="AJ6721"/>
    </row>
    <row r="6722" spans="36:36" ht="11.25" customHeight="1">
      <c r="AJ6722"/>
    </row>
    <row r="6723" spans="36:36" ht="11.25" customHeight="1">
      <c r="AJ6723"/>
    </row>
    <row r="6724" spans="36:36" ht="11.25" customHeight="1">
      <c r="AJ6724"/>
    </row>
    <row r="6725" spans="36:36" ht="11.25" customHeight="1">
      <c r="AJ6725"/>
    </row>
    <row r="6726" spans="36:36" ht="11.25" customHeight="1">
      <c r="AJ6726"/>
    </row>
    <row r="6727" spans="36:36" ht="11.25" customHeight="1">
      <c r="AJ6727"/>
    </row>
    <row r="6728" spans="36:36" ht="11.25" customHeight="1">
      <c r="AJ6728"/>
    </row>
    <row r="6729" spans="36:36" ht="11.25" customHeight="1">
      <c r="AJ6729"/>
    </row>
    <row r="6730" spans="36:36" ht="11.25" customHeight="1">
      <c r="AJ6730"/>
    </row>
    <row r="6731" spans="36:36" ht="11.25" customHeight="1">
      <c r="AJ6731"/>
    </row>
    <row r="6732" spans="36:36" ht="11.25" customHeight="1">
      <c r="AJ6732"/>
    </row>
    <row r="6733" spans="36:36" ht="11.25" customHeight="1">
      <c r="AJ6733"/>
    </row>
    <row r="6734" spans="36:36" ht="11.25" customHeight="1">
      <c r="AJ6734"/>
    </row>
    <row r="6735" spans="36:36" ht="11.25" customHeight="1">
      <c r="AJ6735"/>
    </row>
    <row r="6736" spans="36:36" ht="11.25" customHeight="1">
      <c r="AJ6736"/>
    </row>
    <row r="6737" spans="36:36" ht="11.25" customHeight="1">
      <c r="AJ6737"/>
    </row>
    <row r="6738" spans="36:36" ht="11.25" customHeight="1">
      <c r="AJ6738"/>
    </row>
    <row r="6739" spans="36:36" ht="11.25" customHeight="1">
      <c r="AJ6739"/>
    </row>
    <row r="6740" spans="36:36" ht="11.25" customHeight="1">
      <c r="AJ6740"/>
    </row>
    <row r="6741" spans="36:36" ht="11.25" customHeight="1">
      <c r="AJ6741"/>
    </row>
    <row r="6742" spans="36:36" ht="11.25" customHeight="1">
      <c r="AJ6742"/>
    </row>
    <row r="6743" spans="36:36" ht="11.25" customHeight="1">
      <c r="AJ6743"/>
    </row>
    <row r="6744" spans="36:36" ht="11.25" customHeight="1">
      <c r="AJ6744"/>
    </row>
    <row r="6745" spans="36:36" ht="11.25" customHeight="1">
      <c r="AJ6745"/>
    </row>
    <row r="6746" spans="36:36" ht="11.25" customHeight="1">
      <c r="AJ6746"/>
    </row>
    <row r="6747" spans="36:36" ht="11.25" customHeight="1">
      <c r="AJ6747"/>
    </row>
    <row r="6748" spans="36:36" ht="11.25" customHeight="1">
      <c r="AJ6748"/>
    </row>
    <row r="6749" spans="36:36" ht="11.25" customHeight="1">
      <c r="AJ6749"/>
    </row>
    <row r="6750" spans="36:36" ht="11.25" customHeight="1">
      <c r="AJ6750"/>
    </row>
    <row r="6751" spans="36:36" ht="11.25" customHeight="1">
      <c r="AJ6751"/>
    </row>
    <row r="6752" spans="36:36" ht="11.25" customHeight="1">
      <c r="AJ6752"/>
    </row>
    <row r="6753" spans="36:36" ht="11.25" customHeight="1">
      <c r="AJ6753"/>
    </row>
    <row r="6754" spans="36:36" ht="11.25" customHeight="1">
      <c r="AJ6754"/>
    </row>
    <row r="6755" spans="36:36" ht="11.25" customHeight="1">
      <c r="AJ6755"/>
    </row>
    <row r="6756" spans="36:36" ht="11.25" customHeight="1">
      <c r="AJ6756"/>
    </row>
    <row r="6757" spans="36:36" ht="11.25" customHeight="1">
      <c r="AJ6757"/>
    </row>
    <row r="6758" spans="36:36" ht="11.25" customHeight="1">
      <c r="AJ6758"/>
    </row>
    <row r="6759" spans="36:36" ht="11.25" customHeight="1">
      <c r="AJ6759"/>
    </row>
    <row r="6760" spans="36:36" ht="11.25" customHeight="1">
      <c r="AJ6760"/>
    </row>
    <row r="6761" spans="36:36" ht="11.25" customHeight="1">
      <c r="AJ6761"/>
    </row>
    <row r="6762" spans="36:36" ht="11.25" customHeight="1">
      <c r="AJ6762"/>
    </row>
    <row r="6763" spans="36:36" ht="11.25" customHeight="1">
      <c r="AJ6763"/>
    </row>
    <row r="6764" spans="36:36" ht="11.25" customHeight="1">
      <c r="AJ6764"/>
    </row>
    <row r="6765" spans="36:36" ht="11.25" customHeight="1">
      <c r="AJ6765"/>
    </row>
    <row r="6766" spans="36:36" ht="11.25" customHeight="1">
      <c r="AJ6766"/>
    </row>
    <row r="6767" spans="36:36" ht="11.25" customHeight="1">
      <c r="AJ6767"/>
    </row>
    <row r="6768" spans="36:36" ht="11.25" customHeight="1">
      <c r="AJ6768"/>
    </row>
    <row r="6769" spans="36:36" ht="11.25" customHeight="1">
      <c r="AJ6769"/>
    </row>
    <row r="6770" spans="36:36" ht="11.25" customHeight="1">
      <c r="AJ6770"/>
    </row>
    <row r="6771" spans="36:36" ht="11.25" customHeight="1">
      <c r="AJ6771"/>
    </row>
    <row r="6772" spans="36:36" ht="11.25" customHeight="1">
      <c r="AJ6772"/>
    </row>
    <row r="6773" spans="36:36" ht="11.25" customHeight="1">
      <c r="AJ6773"/>
    </row>
    <row r="6774" spans="36:36" ht="11.25" customHeight="1">
      <c r="AJ6774"/>
    </row>
    <row r="6775" spans="36:36" ht="11.25" customHeight="1">
      <c r="AJ6775"/>
    </row>
    <row r="6776" spans="36:36" ht="11.25" customHeight="1">
      <c r="AJ6776"/>
    </row>
    <row r="6777" spans="36:36" ht="11.25" customHeight="1">
      <c r="AJ6777"/>
    </row>
    <row r="6778" spans="36:36" ht="11.25" customHeight="1">
      <c r="AJ6778"/>
    </row>
    <row r="6779" spans="36:36" ht="11.25" customHeight="1">
      <c r="AJ6779"/>
    </row>
    <row r="6780" spans="36:36" ht="11.25" customHeight="1">
      <c r="AJ6780"/>
    </row>
    <row r="6781" spans="36:36" ht="11.25" customHeight="1">
      <c r="AJ6781"/>
    </row>
    <row r="6782" spans="36:36" ht="11.25" customHeight="1">
      <c r="AJ6782"/>
    </row>
    <row r="6783" spans="36:36" ht="11.25" customHeight="1">
      <c r="AJ6783"/>
    </row>
    <row r="6784" spans="36:36" ht="11.25" customHeight="1">
      <c r="AJ6784"/>
    </row>
    <row r="6785" spans="36:36" ht="11.25" customHeight="1">
      <c r="AJ6785"/>
    </row>
    <row r="6786" spans="36:36" ht="11.25" customHeight="1">
      <c r="AJ6786"/>
    </row>
    <row r="6787" spans="36:36" ht="11.25" customHeight="1">
      <c r="AJ6787"/>
    </row>
    <row r="6788" spans="36:36" ht="11.25" customHeight="1">
      <c r="AJ6788"/>
    </row>
    <row r="6789" spans="36:36" ht="11.25" customHeight="1">
      <c r="AJ6789"/>
    </row>
    <row r="6790" spans="36:36" ht="11.25" customHeight="1">
      <c r="AJ6790"/>
    </row>
    <row r="6791" spans="36:36" ht="11.25" customHeight="1">
      <c r="AJ6791"/>
    </row>
    <row r="6792" spans="36:36" ht="11.25" customHeight="1">
      <c r="AJ6792"/>
    </row>
    <row r="6793" spans="36:36" ht="11.25" customHeight="1">
      <c r="AJ6793"/>
    </row>
    <row r="6794" spans="36:36" ht="11.25" customHeight="1">
      <c r="AJ6794"/>
    </row>
    <row r="6795" spans="36:36" ht="11.25" customHeight="1">
      <c r="AJ6795"/>
    </row>
    <row r="6796" spans="36:36" ht="11.25" customHeight="1">
      <c r="AJ6796"/>
    </row>
    <row r="6797" spans="36:36" ht="11.25" customHeight="1">
      <c r="AJ6797"/>
    </row>
    <row r="6798" spans="36:36" ht="11.25" customHeight="1">
      <c r="AJ6798"/>
    </row>
    <row r="6799" spans="36:36" ht="11.25" customHeight="1">
      <c r="AJ6799"/>
    </row>
    <row r="6800" spans="36:36" ht="11.25" customHeight="1">
      <c r="AJ6800"/>
    </row>
    <row r="6801" spans="36:36" ht="11.25" customHeight="1">
      <c r="AJ6801"/>
    </row>
    <row r="6802" spans="36:36" ht="11.25" customHeight="1">
      <c r="AJ6802"/>
    </row>
    <row r="6803" spans="36:36" ht="11.25" customHeight="1">
      <c r="AJ6803"/>
    </row>
    <row r="6804" spans="36:36" ht="11.25" customHeight="1">
      <c r="AJ6804"/>
    </row>
    <row r="6805" spans="36:36" ht="11.25" customHeight="1">
      <c r="AJ6805"/>
    </row>
    <row r="6806" spans="36:36" ht="11.25" customHeight="1">
      <c r="AJ6806"/>
    </row>
    <row r="6807" spans="36:36" ht="11.25" customHeight="1">
      <c r="AJ6807"/>
    </row>
    <row r="6808" spans="36:36" ht="11.25" customHeight="1">
      <c r="AJ6808"/>
    </row>
    <row r="6809" spans="36:36" ht="11.25" customHeight="1">
      <c r="AJ6809"/>
    </row>
    <row r="6810" spans="36:36" ht="11.25" customHeight="1">
      <c r="AJ6810"/>
    </row>
    <row r="6811" spans="36:36" ht="11.25" customHeight="1">
      <c r="AJ6811"/>
    </row>
    <row r="6812" spans="36:36" ht="11.25" customHeight="1">
      <c r="AJ6812"/>
    </row>
    <row r="6813" spans="36:36" ht="11.25" customHeight="1">
      <c r="AJ6813"/>
    </row>
    <row r="6814" spans="36:36" ht="11.25" customHeight="1">
      <c r="AJ6814"/>
    </row>
    <row r="6815" spans="36:36" ht="11.25" customHeight="1">
      <c r="AJ6815"/>
    </row>
    <row r="6816" spans="36:36" ht="11.25" customHeight="1">
      <c r="AJ6816"/>
    </row>
    <row r="6817" spans="36:36" ht="11.25" customHeight="1">
      <c r="AJ6817"/>
    </row>
    <row r="6818" spans="36:36" ht="11.25" customHeight="1">
      <c r="AJ6818"/>
    </row>
    <row r="6819" spans="36:36" ht="11.25" customHeight="1">
      <c r="AJ6819"/>
    </row>
    <row r="6820" spans="36:36" ht="11.25" customHeight="1">
      <c r="AJ6820"/>
    </row>
    <row r="6821" spans="36:36" ht="11.25" customHeight="1">
      <c r="AJ6821"/>
    </row>
    <row r="6822" spans="36:36" ht="11.25" customHeight="1">
      <c r="AJ6822"/>
    </row>
    <row r="6823" spans="36:36" ht="11.25" customHeight="1">
      <c r="AJ6823"/>
    </row>
    <row r="6824" spans="36:36" ht="11.25" customHeight="1">
      <c r="AJ6824"/>
    </row>
    <row r="6825" spans="36:36" ht="11.25" customHeight="1">
      <c r="AJ6825"/>
    </row>
    <row r="6826" spans="36:36" ht="11.25" customHeight="1">
      <c r="AJ6826"/>
    </row>
    <row r="6827" spans="36:36" ht="11.25" customHeight="1">
      <c r="AJ6827"/>
    </row>
    <row r="6828" spans="36:36" ht="11.25" customHeight="1">
      <c r="AJ6828"/>
    </row>
    <row r="6829" spans="36:36" ht="11.25" customHeight="1">
      <c r="AJ6829"/>
    </row>
    <row r="6830" spans="36:36" ht="11.25" customHeight="1">
      <c r="AJ6830"/>
    </row>
    <row r="6831" spans="36:36" ht="11.25" customHeight="1">
      <c r="AJ6831"/>
    </row>
    <row r="6832" spans="36:36" ht="11.25" customHeight="1">
      <c r="AJ6832"/>
    </row>
    <row r="6833" spans="36:36" ht="11.25" customHeight="1">
      <c r="AJ6833"/>
    </row>
    <row r="6834" spans="36:36" ht="11.25" customHeight="1">
      <c r="AJ6834"/>
    </row>
    <row r="6835" spans="36:36" ht="11.25" customHeight="1">
      <c r="AJ6835"/>
    </row>
    <row r="6836" spans="36:36" ht="11.25" customHeight="1">
      <c r="AJ6836"/>
    </row>
    <row r="6837" spans="36:36" ht="11.25" customHeight="1">
      <c r="AJ6837"/>
    </row>
    <row r="6838" spans="36:36" ht="11.25" customHeight="1">
      <c r="AJ6838"/>
    </row>
    <row r="6839" spans="36:36" ht="11.25" customHeight="1">
      <c r="AJ6839"/>
    </row>
    <row r="6840" spans="36:36" ht="11.25" customHeight="1">
      <c r="AJ6840"/>
    </row>
    <row r="6841" spans="36:36" ht="11.25" customHeight="1">
      <c r="AJ6841"/>
    </row>
    <row r="6842" spans="36:36" ht="11.25" customHeight="1">
      <c r="AJ6842"/>
    </row>
    <row r="6843" spans="36:36" ht="11.25" customHeight="1">
      <c r="AJ6843"/>
    </row>
    <row r="6844" spans="36:36" ht="11.25" customHeight="1">
      <c r="AJ6844"/>
    </row>
    <row r="6845" spans="36:36" ht="11.25" customHeight="1">
      <c r="AJ6845"/>
    </row>
    <row r="6846" spans="36:36" ht="11.25" customHeight="1">
      <c r="AJ6846"/>
    </row>
    <row r="6847" spans="36:36" ht="11.25" customHeight="1">
      <c r="AJ6847"/>
    </row>
    <row r="6848" spans="36:36" ht="11.25" customHeight="1">
      <c r="AJ6848"/>
    </row>
    <row r="6849" spans="36:36" ht="11.25" customHeight="1">
      <c r="AJ6849"/>
    </row>
    <row r="6850" spans="36:36" ht="11.25" customHeight="1">
      <c r="AJ6850"/>
    </row>
    <row r="6851" spans="36:36" ht="11.25" customHeight="1">
      <c r="AJ6851"/>
    </row>
    <row r="6852" spans="36:36" ht="11.25" customHeight="1">
      <c r="AJ6852"/>
    </row>
    <row r="6853" spans="36:36" ht="11.25" customHeight="1">
      <c r="AJ6853"/>
    </row>
    <row r="6854" spans="36:36" ht="11.25" customHeight="1">
      <c r="AJ6854"/>
    </row>
    <row r="6855" spans="36:36" ht="11.25" customHeight="1">
      <c r="AJ6855"/>
    </row>
    <row r="6856" spans="36:36" ht="11.25" customHeight="1">
      <c r="AJ6856"/>
    </row>
    <row r="6857" spans="36:36" ht="11.25" customHeight="1">
      <c r="AJ6857"/>
    </row>
    <row r="6858" spans="36:36" ht="11.25" customHeight="1">
      <c r="AJ6858"/>
    </row>
    <row r="6859" spans="36:36" ht="11.25" customHeight="1">
      <c r="AJ6859"/>
    </row>
    <row r="6860" spans="36:36" ht="11.25" customHeight="1">
      <c r="AJ6860"/>
    </row>
    <row r="6861" spans="36:36" ht="11.25" customHeight="1">
      <c r="AJ6861"/>
    </row>
    <row r="6862" spans="36:36" ht="11.25" customHeight="1">
      <c r="AJ6862"/>
    </row>
    <row r="6863" spans="36:36" ht="11.25" customHeight="1">
      <c r="AJ6863"/>
    </row>
    <row r="6864" spans="36:36" ht="11.25" customHeight="1">
      <c r="AJ6864"/>
    </row>
    <row r="6865" spans="36:36" ht="11.25" customHeight="1">
      <c r="AJ6865"/>
    </row>
    <row r="6866" spans="36:36" ht="11.25" customHeight="1">
      <c r="AJ6866"/>
    </row>
    <row r="6867" spans="36:36" ht="11.25" customHeight="1">
      <c r="AJ6867"/>
    </row>
    <row r="6868" spans="36:36" ht="11.25" customHeight="1">
      <c r="AJ6868"/>
    </row>
    <row r="6869" spans="36:36" ht="11.25" customHeight="1">
      <c r="AJ6869"/>
    </row>
    <row r="6870" spans="36:36" ht="11.25" customHeight="1">
      <c r="AJ6870"/>
    </row>
    <row r="6871" spans="36:36" ht="11.25" customHeight="1">
      <c r="AJ6871"/>
    </row>
    <row r="6872" spans="36:36" ht="11.25" customHeight="1">
      <c r="AJ6872"/>
    </row>
    <row r="6873" spans="36:36" ht="11.25" customHeight="1">
      <c r="AJ6873"/>
    </row>
    <row r="6874" spans="36:36" ht="11.25" customHeight="1">
      <c r="AJ6874"/>
    </row>
    <row r="6875" spans="36:36" ht="11.25" customHeight="1">
      <c r="AJ6875"/>
    </row>
    <row r="6876" spans="36:36" ht="11.25" customHeight="1">
      <c r="AJ6876"/>
    </row>
    <row r="6877" spans="36:36" ht="11.25" customHeight="1">
      <c r="AJ6877"/>
    </row>
    <row r="6878" spans="36:36" ht="11.25" customHeight="1">
      <c r="AJ6878"/>
    </row>
    <row r="6879" spans="36:36" ht="11.25" customHeight="1">
      <c r="AJ6879"/>
    </row>
    <row r="6880" spans="36:36" ht="11.25" customHeight="1">
      <c r="AJ6880"/>
    </row>
    <row r="6881" spans="36:36" ht="11.25" customHeight="1">
      <c r="AJ6881"/>
    </row>
    <row r="6882" spans="36:36" ht="11.25" customHeight="1">
      <c r="AJ6882"/>
    </row>
    <row r="6883" spans="36:36" ht="11.25" customHeight="1">
      <c r="AJ6883"/>
    </row>
    <row r="6884" spans="36:36" ht="11.25" customHeight="1">
      <c r="AJ6884"/>
    </row>
    <row r="6885" spans="36:36" ht="11.25" customHeight="1">
      <c r="AJ6885"/>
    </row>
    <row r="6886" spans="36:36" ht="11.25" customHeight="1">
      <c r="AJ6886"/>
    </row>
    <row r="6887" spans="36:36" ht="11.25" customHeight="1">
      <c r="AJ6887"/>
    </row>
    <row r="6888" spans="36:36" ht="11.25" customHeight="1">
      <c r="AJ6888"/>
    </row>
    <row r="6889" spans="36:36" ht="11.25" customHeight="1">
      <c r="AJ6889"/>
    </row>
    <row r="6890" spans="36:36" ht="11.25" customHeight="1">
      <c r="AJ6890"/>
    </row>
    <row r="6891" spans="36:36" ht="11.25" customHeight="1">
      <c r="AJ6891"/>
    </row>
    <row r="6892" spans="36:36" ht="11.25" customHeight="1">
      <c r="AJ6892"/>
    </row>
    <row r="6893" spans="36:36" ht="11.25" customHeight="1">
      <c r="AJ6893"/>
    </row>
    <row r="6894" spans="36:36" ht="11.25" customHeight="1">
      <c r="AJ6894"/>
    </row>
    <row r="6895" spans="36:36" ht="11.25" customHeight="1">
      <c r="AJ6895"/>
    </row>
    <row r="6896" spans="36:36" ht="11.25" customHeight="1">
      <c r="AJ6896"/>
    </row>
    <row r="6897" spans="36:36" ht="11.25" customHeight="1">
      <c r="AJ6897"/>
    </row>
    <row r="6898" spans="36:36" ht="11.25" customHeight="1">
      <c r="AJ6898"/>
    </row>
    <row r="6899" spans="36:36" ht="11.25" customHeight="1">
      <c r="AJ6899"/>
    </row>
    <row r="6900" spans="36:36" ht="11.25" customHeight="1">
      <c r="AJ6900"/>
    </row>
    <row r="6901" spans="36:36" ht="11.25" customHeight="1">
      <c r="AJ6901"/>
    </row>
    <row r="6902" spans="36:36" ht="11.25" customHeight="1">
      <c r="AJ6902"/>
    </row>
    <row r="6903" spans="36:36" ht="11.25" customHeight="1">
      <c r="AJ6903"/>
    </row>
    <row r="6904" spans="36:36" ht="11.25" customHeight="1">
      <c r="AJ6904"/>
    </row>
    <row r="6905" spans="36:36" ht="11.25" customHeight="1">
      <c r="AJ6905"/>
    </row>
    <row r="6906" spans="36:36" ht="11.25" customHeight="1">
      <c r="AJ6906"/>
    </row>
    <row r="6907" spans="36:36" ht="11.25" customHeight="1">
      <c r="AJ6907"/>
    </row>
    <row r="6908" spans="36:36" ht="11.25" customHeight="1">
      <c r="AJ6908"/>
    </row>
    <row r="6909" spans="36:36" ht="11.25" customHeight="1">
      <c r="AJ6909"/>
    </row>
    <row r="6910" spans="36:36" ht="11.25" customHeight="1">
      <c r="AJ6910"/>
    </row>
    <row r="6911" spans="36:36" ht="11.25" customHeight="1">
      <c r="AJ6911"/>
    </row>
    <row r="6912" spans="36:36" ht="11.25" customHeight="1">
      <c r="AJ6912"/>
    </row>
    <row r="6913" spans="36:36" ht="11.25" customHeight="1">
      <c r="AJ6913"/>
    </row>
    <row r="6914" spans="36:36" ht="11.25" customHeight="1">
      <c r="AJ6914"/>
    </row>
    <row r="6915" spans="36:36" ht="11.25" customHeight="1">
      <c r="AJ6915"/>
    </row>
    <row r="6916" spans="36:36" ht="11.25" customHeight="1">
      <c r="AJ6916"/>
    </row>
    <row r="6917" spans="36:36" ht="11.25" customHeight="1">
      <c r="AJ6917"/>
    </row>
    <row r="6918" spans="36:36" ht="11.25" customHeight="1">
      <c r="AJ6918"/>
    </row>
    <row r="6919" spans="36:36" ht="11.25" customHeight="1">
      <c r="AJ6919"/>
    </row>
    <row r="6920" spans="36:36" ht="11.25" customHeight="1">
      <c r="AJ6920"/>
    </row>
    <row r="6921" spans="36:36" ht="11.25" customHeight="1">
      <c r="AJ6921"/>
    </row>
    <row r="6922" spans="36:36" ht="11.25" customHeight="1">
      <c r="AJ6922"/>
    </row>
    <row r="6923" spans="36:36" ht="11.25" customHeight="1">
      <c r="AJ6923"/>
    </row>
    <row r="6924" spans="36:36" ht="11.25" customHeight="1">
      <c r="AJ6924"/>
    </row>
    <row r="6925" spans="36:36" ht="11.25" customHeight="1">
      <c r="AJ6925"/>
    </row>
    <row r="6926" spans="36:36" ht="11.25" customHeight="1">
      <c r="AJ6926"/>
    </row>
    <row r="6927" spans="36:36" ht="11.25" customHeight="1">
      <c r="AJ6927"/>
    </row>
    <row r="6928" spans="36:36" ht="11.25" customHeight="1">
      <c r="AJ6928"/>
    </row>
    <row r="6929" spans="36:36" ht="11.25" customHeight="1">
      <c r="AJ6929"/>
    </row>
    <row r="6930" spans="36:36" ht="11.25" customHeight="1">
      <c r="AJ6930"/>
    </row>
    <row r="6931" spans="36:36" ht="11.25" customHeight="1">
      <c r="AJ6931"/>
    </row>
    <row r="6932" spans="36:36" ht="11.25" customHeight="1">
      <c r="AJ6932"/>
    </row>
    <row r="6933" spans="36:36" ht="11.25" customHeight="1">
      <c r="AJ6933"/>
    </row>
    <row r="6934" spans="36:36" ht="11.25" customHeight="1">
      <c r="AJ6934"/>
    </row>
    <row r="6935" spans="36:36" ht="11.25" customHeight="1">
      <c r="AJ6935"/>
    </row>
    <row r="6936" spans="36:36" ht="11.25" customHeight="1">
      <c r="AJ6936"/>
    </row>
    <row r="6937" spans="36:36" ht="11.25" customHeight="1">
      <c r="AJ6937"/>
    </row>
    <row r="6938" spans="36:36" ht="11.25" customHeight="1">
      <c r="AJ6938"/>
    </row>
    <row r="6939" spans="36:36" ht="11.25" customHeight="1">
      <c r="AJ6939"/>
    </row>
    <row r="6940" spans="36:36" ht="11.25" customHeight="1">
      <c r="AJ6940"/>
    </row>
    <row r="6941" spans="36:36" ht="11.25" customHeight="1">
      <c r="AJ6941"/>
    </row>
    <row r="6942" spans="36:36" ht="11.25" customHeight="1">
      <c r="AJ6942"/>
    </row>
    <row r="6943" spans="36:36" ht="11.25" customHeight="1">
      <c r="AJ6943"/>
    </row>
    <row r="6944" spans="36:36" ht="11.25" customHeight="1">
      <c r="AJ6944"/>
    </row>
    <row r="6945" spans="36:36" ht="11.25" customHeight="1">
      <c r="AJ6945"/>
    </row>
    <row r="6946" spans="36:36" ht="11.25" customHeight="1">
      <c r="AJ6946"/>
    </row>
    <row r="6947" spans="36:36" ht="11.25" customHeight="1">
      <c r="AJ6947"/>
    </row>
    <row r="6948" spans="36:36" ht="11.25" customHeight="1">
      <c r="AJ6948"/>
    </row>
    <row r="6949" spans="36:36" ht="11.25" customHeight="1">
      <c r="AJ6949"/>
    </row>
    <row r="6950" spans="36:36" ht="11.25" customHeight="1">
      <c r="AJ6950"/>
    </row>
    <row r="6951" spans="36:36" ht="11.25" customHeight="1">
      <c r="AJ6951"/>
    </row>
    <row r="6952" spans="36:36" ht="11.25" customHeight="1">
      <c r="AJ6952"/>
    </row>
    <row r="6953" spans="36:36" ht="11.25" customHeight="1">
      <c r="AJ6953"/>
    </row>
    <row r="6954" spans="36:36" ht="11.25" customHeight="1">
      <c r="AJ6954"/>
    </row>
    <row r="6955" spans="36:36" ht="11.25" customHeight="1">
      <c r="AJ6955"/>
    </row>
    <row r="6956" spans="36:36" ht="11.25" customHeight="1">
      <c r="AJ6956"/>
    </row>
    <row r="6957" spans="36:36" ht="11.25" customHeight="1">
      <c r="AJ6957"/>
    </row>
    <row r="6958" spans="36:36" ht="11.25" customHeight="1">
      <c r="AJ6958"/>
    </row>
    <row r="6959" spans="36:36" ht="11.25" customHeight="1">
      <c r="AJ6959"/>
    </row>
    <row r="6960" spans="36:36" ht="11.25" customHeight="1">
      <c r="AJ6960"/>
    </row>
    <row r="6961" spans="36:36" ht="11.25" customHeight="1">
      <c r="AJ6961"/>
    </row>
    <row r="6962" spans="36:36" ht="11.25" customHeight="1">
      <c r="AJ6962"/>
    </row>
    <row r="6963" spans="36:36" ht="11.25" customHeight="1">
      <c r="AJ6963"/>
    </row>
    <row r="6964" spans="36:36" ht="11.25" customHeight="1">
      <c r="AJ6964"/>
    </row>
    <row r="6965" spans="36:36" ht="11.25" customHeight="1">
      <c r="AJ6965"/>
    </row>
    <row r="6966" spans="36:36" ht="11.25" customHeight="1">
      <c r="AJ6966"/>
    </row>
    <row r="6967" spans="36:36" ht="11.25" customHeight="1">
      <c r="AJ6967"/>
    </row>
    <row r="6968" spans="36:36" ht="11.25" customHeight="1">
      <c r="AJ6968"/>
    </row>
    <row r="6969" spans="36:36" ht="11.25" customHeight="1">
      <c r="AJ6969"/>
    </row>
    <row r="6970" spans="36:36" ht="11.25" customHeight="1">
      <c r="AJ6970"/>
    </row>
    <row r="6971" spans="36:36" ht="11.25" customHeight="1">
      <c r="AJ6971"/>
    </row>
    <row r="6972" spans="36:36" ht="11.25" customHeight="1">
      <c r="AJ6972"/>
    </row>
    <row r="6973" spans="36:36" ht="11.25" customHeight="1">
      <c r="AJ6973"/>
    </row>
    <row r="6974" spans="36:36" ht="11.25" customHeight="1">
      <c r="AJ6974"/>
    </row>
    <row r="6975" spans="36:36" ht="11.25" customHeight="1">
      <c r="AJ6975"/>
    </row>
    <row r="6976" spans="36:36" ht="11.25" customHeight="1">
      <c r="AJ6976"/>
    </row>
    <row r="6977" spans="36:36" ht="11.25" customHeight="1">
      <c r="AJ6977"/>
    </row>
    <row r="6978" spans="36:36" ht="11.25" customHeight="1">
      <c r="AJ6978"/>
    </row>
    <row r="6979" spans="36:36" ht="11.25" customHeight="1">
      <c r="AJ6979"/>
    </row>
    <row r="6980" spans="36:36" ht="11.25" customHeight="1">
      <c r="AJ6980"/>
    </row>
    <row r="6981" spans="36:36" ht="11.25" customHeight="1">
      <c r="AJ6981"/>
    </row>
    <row r="6982" spans="36:36" ht="11.25" customHeight="1">
      <c r="AJ6982"/>
    </row>
    <row r="6983" spans="36:36" ht="11.25" customHeight="1">
      <c r="AJ6983"/>
    </row>
    <row r="6984" spans="36:36" ht="11.25" customHeight="1">
      <c r="AJ6984"/>
    </row>
    <row r="6985" spans="36:36" ht="11.25" customHeight="1">
      <c r="AJ6985"/>
    </row>
    <row r="6986" spans="36:36" ht="11.25" customHeight="1">
      <c r="AJ6986"/>
    </row>
    <row r="6987" spans="36:36" ht="11.25" customHeight="1">
      <c r="AJ6987"/>
    </row>
    <row r="6988" spans="36:36" ht="11.25" customHeight="1">
      <c r="AJ6988"/>
    </row>
    <row r="6989" spans="36:36" ht="11.25" customHeight="1">
      <c r="AJ6989"/>
    </row>
    <row r="6990" spans="36:36" ht="11.25" customHeight="1">
      <c r="AJ6990"/>
    </row>
    <row r="6991" spans="36:36" ht="11.25" customHeight="1">
      <c r="AJ6991"/>
    </row>
    <row r="6992" spans="36:36" ht="11.25" customHeight="1">
      <c r="AJ6992"/>
    </row>
    <row r="6993" spans="36:36" ht="11.25" customHeight="1">
      <c r="AJ6993"/>
    </row>
    <row r="6994" spans="36:36" ht="11.25" customHeight="1">
      <c r="AJ6994"/>
    </row>
    <row r="6995" spans="36:36" ht="11.25" customHeight="1">
      <c r="AJ6995"/>
    </row>
    <row r="6996" spans="36:36" ht="11.25" customHeight="1">
      <c r="AJ6996"/>
    </row>
    <row r="6997" spans="36:36" ht="11.25" customHeight="1">
      <c r="AJ6997"/>
    </row>
    <row r="6998" spans="36:36" ht="11.25" customHeight="1">
      <c r="AJ6998"/>
    </row>
    <row r="6999" spans="36:36" ht="11.25" customHeight="1">
      <c r="AJ6999"/>
    </row>
    <row r="7000" spans="36:36" ht="11.25" customHeight="1">
      <c r="AJ7000"/>
    </row>
    <row r="7001" spans="36:36" ht="11.25" customHeight="1">
      <c r="AJ7001"/>
    </row>
    <row r="7002" spans="36:36" ht="11.25" customHeight="1">
      <c r="AJ7002"/>
    </row>
    <row r="7003" spans="36:36" ht="11.25" customHeight="1">
      <c r="AJ7003"/>
    </row>
    <row r="7004" spans="36:36" ht="11.25" customHeight="1">
      <c r="AJ7004"/>
    </row>
    <row r="7005" spans="36:36" ht="11.25" customHeight="1">
      <c r="AJ7005"/>
    </row>
    <row r="7006" spans="36:36" ht="11.25" customHeight="1">
      <c r="AJ7006"/>
    </row>
    <row r="7007" spans="36:36" ht="11.25" customHeight="1">
      <c r="AJ7007"/>
    </row>
    <row r="7008" spans="36:36" ht="11.25" customHeight="1">
      <c r="AJ7008"/>
    </row>
    <row r="7009" spans="36:36" ht="11.25" customHeight="1">
      <c r="AJ7009"/>
    </row>
    <row r="7010" spans="36:36" ht="11.25" customHeight="1">
      <c r="AJ7010"/>
    </row>
    <row r="7011" spans="36:36" ht="11.25" customHeight="1">
      <c r="AJ7011"/>
    </row>
    <row r="7012" spans="36:36" ht="11.25" customHeight="1">
      <c r="AJ7012"/>
    </row>
    <row r="7013" spans="36:36" ht="11.25" customHeight="1">
      <c r="AJ7013"/>
    </row>
    <row r="7014" spans="36:36" ht="11.25" customHeight="1">
      <c r="AJ7014"/>
    </row>
    <row r="7015" spans="36:36" ht="11.25" customHeight="1">
      <c r="AJ7015"/>
    </row>
    <row r="7016" spans="36:36" ht="11.25" customHeight="1">
      <c r="AJ7016"/>
    </row>
    <row r="7017" spans="36:36" ht="11.25" customHeight="1">
      <c r="AJ7017"/>
    </row>
    <row r="7018" spans="36:36" ht="11.25" customHeight="1">
      <c r="AJ7018"/>
    </row>
    <row r="7019" spans="36:36" ht="11.25" customHeight="1">
      <c r="AJ7019"/>
    </row>
    <row r="7020" spans="36:36" ht="11.25" customHeight="1">
      <c r="AJ7020"/>
    </row>
    <row r="7021" spans="36:36" ht="11.25" customHeight="1">
      <c r="AJ7021"/>
    </row>
    <row r="7022" spans="36:36" ht="11.25" customHeight="1">
      <c r="AJ7022"/>
    </row>
    <row r="7023" spans="36:36" ht="11.25" customHeight="1">
      <c r="AJ7023"/>
    </row>
    <row r="7024" spans="36:36" ht="11.25" customHeight="1">
      <c r="AJ7024"/>
    </row>
    <row r="7025" spans="36:36" ht="11.25" customHeight="1">
      <c r="AJ7025"/>
    </row>
    <row r="7026" spans="36:36" ht="11.25" customHeight="1">
      <c r="AJ7026"/>
    </row>
    <row r="7027" spans="36:36" ht="11.25" customHeight="1">
      <c r="AJ7027"/>
    </row>
    <row r="7028" spans="36:36" ht="11.25" customHeight="1">
      <c r="AJ7028"/>
    </row>
    <row r="7029" spans="36:36" ht="11.25" customHeight="1">
      <c r="AJ7029"/>
    </row>
    <row r="7030" spans="36:36" ht="11.25" customHeight="1">
      <c r="AJ7030"/>
    </row>
    <row r="7031" spans="36:36" ht="11.25" customHeight="1">
      <c r="AJ7031"/>
    </row>
    <row r="7032" spans="36:36" ht="11.25" customHeight="1">
      <c r="AJ7032"/>
    </row>
    <row r="7033" spans="36:36" ht="11.25" customHeight="1">
      <c r="AJ7033"/>
    </row>
    <row r="7034" spans="36:36" ht="11.25" customHeight="1">
      <c r="AJ7034"/>
    </row>
    <row r="7035" spans="36:36" ht="11.25" customHeight="1">
      <c r="AJ7035"/>
    </row>
    <row r="7036" spans="36:36" ht="11.25" customHeight="1">
      <c r="AJ7036"/>
    </row>
    <row r="7037" spans="36:36" ht="11.25" customHeight="1">
      <c r="AJ7037"/>
    </row>
    <row r="7038" spans="36:36" ht="11.25" customHeight="1">
      <c r="AJ7038"/>
    </row>
    <row r="7039" spans="36:36" ht="11.25" customHeight="1">
      <c r="AJ7039"/>
    </row>
    <row r="7040" spans="36:36" ht="11.25" customHeight="1">
      <c r="AJ7040"/>
    </row>
    <row r="7041" spans="36:36" ht="11.25" customHeight="1">
      <c r="AJ7041"/>
    </row>
    <row r="7042" spans="36:36" ht="11.25" customHeight="1">
      <c r="AJ7042"/>
    </row>
    <row r="7043" spans="36:36" ht="11.25" customHeight="1">
      <c r="AJ7043"/>
    </row>
    <row r="7044" spans="36:36" ht="11.25" customHeight="1">
      <c r="AJ7044"/>
    </row>
    <row r="7045" spans="36:36" ht="11.25" customHeight="1">
      <c r="AJ7045"/>
    </row>
    <row r="7046" spans="36:36" ht="11.25" customHeight="1">
      <c r="AJ7046"/>
    </row>
    <row r="7047" spans="36:36" ht="11.25" customHeight="1">
      <c r="AJ7047"/>
    </row>
    <row r="7048" spans="36:36" ht="11.25" customHeight="1">
      <c r="AJ7048"/>
    </row>
    <row r="7049" spans="36:36" ht="11.25" customHeight="1">
      <c r="AJ7049"/>
    </row>
    <row r="7050" spans="36:36" ht="11.25" customHeight="1">
      <c r="AJ7050"/>
    </row>
    <row r="7051" spans="36:36" ht="11.25" customHeight="1">
      <c r="AJ7051"/>
    </row>
    <row r="7052" spans="36:36" ht="11.25" customHeight="1">
      <c r="AJ7052"/>
    </row>
    <row r="7053" spans="36:36" ht="11.25" customHeight="1">
      <c r="AJ7053"/>
    </row>
    <row r="7054" spans="36:36" ht="11.25" customHeight="1">
      <c r="AJ7054"/>
    </row>
    <row r="7055" spans="36:36" ht="11.25" customHeight="1">
      <c r="AJ7055"/>
    </row>
    <row r="7056" spans="36:36" ht="11.25" customHeight="1">
      <c r="AJ7056"/>
    </row>
    <row r="7057" spans="36:36" ht="11.25" customHeight="1">
      <c r="AJ7057"/>
    </row>
    <row r="7058" spans="36:36" ht="11.25" customHeight="1">
      <c r="AJ7058"/>
    </row>
    <row r="7059" spans="36:36" ht="11.25" customHeight="1">
      <c r="AJ7059"/>
    </row>
    <row r="7060" spans="36:36" ht="11.25" customHeight="1">
      <c r="AJ7060"/>
    </row>
    <row r="7061" spans="36:36" ht="11.25" customHeight="1">
      <c r="AJ7061"/>
    </row>
    <row r="7062" spans="36:36" ht="11.25" customHeight="1">
      <c r="AJ7062"/>
    </row>
    <row r="7063" spans="36:36" ht="11.25" customHeight="1">
      <c r="AJ7063"/>
    </row>
    <row r="7064" spans="36:36" ht="11.25" customHeight="1">
      <c r="AJ7064"/>
    </row>
    <row r="7065" spans="36:36" ht="11.25" customHeight="1">
      <c r="AJ7065"/>
    </row>
    <row r="7066" spans="36:36" ht="11.25" customHeight="1">
      <c r="AJ7066"/>
    </row>
    <row r="7067" spans="36:36" ht="11.25" customHeight="1">
      <c r="AJ7067"/>
    </row>
    <row r="7068" spans="36:36" ht="11.25" customHeight="1">
      <c r="AJ7068"/>
    </row>
    <row r="7069" spans="36:36" ht="11.25" customHeight="1">
      <c r="AJ7069"/>
    </row>
    <row r="7070" spans="36:36" ht="11.25" customHeight="1">
      <c r="AJ7070"/>
    </row>
    <row r="7071" spans="36:36" ht="11.25" customHeight="1">
      <c r="AJ7071"/>
    </row>
    <row r="7072" spans="36:36" ht="11.25" customHeight="1">
      <c r="AJ7072"/>
    </row>
    <row r="7073" spans="36:36" ht="11.25" customHeight="1">
      <c r="AJ7073"/>
    </row>
    <row r="7074" spans="36:36" ht="11.25" customHeight="1">
      <c r="AJ7074"/>
    </row>
    <row r="7075" spans="36:36" ht="11.25" customHeight="1">
      <c r="AJ7075"/>
    </row>
    <row r="7076" spans="36:36" ht="11.25" customHeight="1">
      <c r="AJ7076"/>
    </row>
    <row r="7077" spans="36:36" ht="11.25" customHeight="1">
      <c r="AJ7077"/>
    </row>
    <row r="7078" spans="36:36" ht="11.25" customHeight="1">
      <c r="AJ7078"/>
    </row>
    <row r="7079" spans="36:36" ht="11.25" customHeight="1">
      <c r="AJ7079"/>
    </row>
    <row r="7080" spans="36:36" ht="11.25" customHeight="1">
      <c r="AJ7080"/>
    </row>
    <row r="7081" spans="36:36" ht="11.25" customHeight="1">
      <c r="AJ7081"/>
    </row>
    <row r="7082" spans="36:36" ht="11.25" customHeight="1">
      <c r="AJ7082"/>
    </row>
    <row r="7083" spans="36:36" ht="11.25" customHeight="1">
      <c r="AJ7083"/>
    </row>
    <row r="7084" spans="36:36" ht="11.25" customHeight="1">
      <c r="AJ7084"/>
    </row>
    <row r="7085" spans="36:36" ht="11.25" customHeight="1">
      <c r="AJ7085"/>
    </row>
    <row r="7086" spans="36:36" ht="11.25" customHeight="1">
      <c r="AJ7086"/>
    </row>
    <row r="7087" spans="36:36" ht="11.25" customHeight="1">
      <c r="AJ7087"/>
    </row>
    <row r="7088" spans="36:36" ht="11.25" customHeight="1">
      <c r="AJ7088"/>
    </row>
    <row r="7089" spans="36:36" ht="11.25" customHeight="1">
      <c r="AJ7089"/>
    </row>
    <row r="7090" spans="36:36" ht="11.25" customHeight="1">
      <c r="AJ7090"/>
    </row>
    <row r="7091" spans="36:36" ht="11.25" customHeight="1">
      <c r="AJ7091"/>
    </row>
    <row r="7092" spans="36:36" ht="11.25" customHeight="1">
      <c r="AJ7092"/>
    </row>
    <row r="7093" spans="36:36" ht="11.25" customHeight="1">
      <c r="AJ7093"/>
    </row>
    <row r="7094" spans="36:36" ht="11.25" customHeight="1">
      <c r="AJ7094"/>
    </row>
    <row r="7095" spans="36:36" ht="11.25" customHeight="1">
      <c r="AJ7095"/>
    </row>
    <row r="7096" spans="36:36" ht="11.25" customHeight="1">
      <c r="AJ7096"/>
    </row>
    <row r="7097" spans="36:36" ht="11.25" customHeight="1">
      <c r="AJ7097"/>
    </row>
    <row r="7098" spans="36:36" ht="11.25" customHeight="1">
      <c r="AJ7098"/>
    </row>
    <row r="7099" spans="36:36" ht="11.25" customHeight="1">
      <c r="AJ7099"/>
    </row>
    <row r="7100" spans="36:36" ht="11.25" customHeight="1">
      <c r="AJ7100"/>
    </row>
    <row r="7101" spans="36:36" ht="11.25" customHeight="1">
      <c r="AJ7101"/>
    </row>
    <row r="7102" spans="36:36" ht="11.25" customHeight="1">
      <c r="AJ7102"/>
    </row>
    <row r="7103" spans="36:36" ht="11.25" customHeight="1">
      <c r="AJ7103"/>
    </row>
    <row r="7104" spans="36:36" ht="11.25" customHeight="1">
      <c r="AJ7104"/>
    </row>
    <row r="7105" spans="36:36" ht="11.25" customHeight="1">
      <c r="AJ7105"/>
    </row>
    <row r="7106" spans="36:36" ht="11.25" customHeight="1">
      <c r="AJ7106"/>
    </row>
    <row r="7107" spans="36:36" ht="11.25" customHeight="1">
      <c r="AJ7107"/>
    </row>
    <row r="7108" spans="36:36" ht="11.25" customHeight="1">
      <c r="AJ7108"/>
    </row>
    <row r="7109" spans="36:36" ht="11.25" customHeight="1">
      <c r="AJ7109"/>
    </row>
    <row r="7110" spans="36:36" ht="11.25" customHeight="1">
      <c r="AJ7110"/>
    </row>
    <row r="7111" spans="36:36" ht="11.25" customHeight="1">
      <c r="AJ7111"/>
    </row>
    <row r="7112" spans="36:36" ht="11.25" customHeight="1">
      <c r="AJ7112"/>
    </row>
    <row r="7113" spans="36:36" ht="11.25" customHeight="1">
      <c r="AJ7113"/>
    </row>
    <row r="7114" spans="36:36" ht="11.25" customHeight="1">
      <c r="AJ7114"/>
    </row>
    <row r="7115" spans="36:36" ht="11.25" customHeight="1">
      <c r="AJ7115"/>
    </row>
    <row r="7116" spans="36:36" ht="11.25" customHeight="1">
      <c r="AJ7116"/>
    </row>
    <row r="7117" spans="36:36" ht="11.25" customHeight="1">
      <c r="AJ7117"/>
    </row>
    <row r="7118" spans="36:36" ht="11.25" customHeight="1">
      <c r="AJ7118"/>
    </row>
    <row r="7119" spans="36:36" ht="11.25" customHeight="1">
      <c r="AJ7119"/>
    </row>
    <row r="7120" spans="36:36" ht="11.25" customHeight="1">
      <c r="AJ7120"/>
    </row>
    <row r="7121" spans="36:36" ht="11.25" customHeight="1">
      <c r="AJ7121"/>
    </row>
    <row r="7122" spans="36:36" ht="11.25" customHeight="1">
      <c r="AJ7122"/>
    </row>
    <row r="7123" spans="36:36" ht="11.25" customHeight="1">
      <c r="AJ7123"/>
    </row>
    <row r="7124" spans="36:36" ht="11.25" customHeight="1">
      <c r="AJ7124"/>
    </row>
    <row r="7125" spans="36:36" ht="11.25" customHeight="1">
      <c r="AJ7125"/>
    </row>
    <row r="7126" spans="36:36" ht="11.25" customHeight="1">
      <c r="AJ7126"/>
    </row>
    <row r="7127" spans="36:36" ht="11.25" customHeight="1">
      <c r="AJ7127"/>
    </row>
    <row r="7128" spans="36:36" ht="11.25" customHeight="1">
      <c r="AJ7128"/>
    </row>
    <row r="7129" spans="36:36" ht="11.25" customHeight="1">
      <c r="AJ7129"/>
    </row>
    <row r="7130" spans="36:36" ht="11.25" customHeight="1">
      <c r="AJ7130"/>
    </row>
    <row r="7131" spans="36:36" ht="11.25" customHeight="1">
      <c r="AJ7131"/>
    </row>
    <row r="7132" spans="36:36" ht="11.25" customHeight="1">
      <c r="AJ7132"/>
    </row>
    <row r="7133" spans="36:36" ht="11.25" customHeight="1">
      <c r="AJ7133"/>
    </row>
    <row r="7134" spans="36:36" ht="11.25" customHeight="1">
      <c r="AJ7134"/>
    </row>
    <row r="7135" spans="36:36" ht="11.25" customHeight="1">
      <c r="AJ7135"/>
    </row>
    <row r="7136" spans="36:36" ht="11.25" customHeight="1">
      <c r="AJ7136"/>
    </row>
    <row r="7137" spans="36:36" ht="11.25" customHeight="1">
      <c r="AJ7137"/>
    </row>
    <row r="7138" spans="36:36" ht="11.25" customHeight="1">
      <c r="AJ7138"/>
    </row>
    <row r="7139" spans="36:36" ht="11.25" customHeight="1">
      <c r="AJ7139"/>
    </row>
    <row r="7140" spans="36:36" ht="11.25" customHeight="1">
      <c r="AJ7140"/>
    </row>
    <row r="7141" spans="36:36" ht="11.25" customHeight="1">
      <c r="AJ7141"/>
    </row>
    <row r="7142" spans="36:36" ht="11.25" customHeight="1">
      <c r="AJ7142"/>
    </row>
    <row r="7143" spans="36:36" ht="11.25" customHeight="1">
      <c r="AJ7143"/>
    </row>
    <row r="7144" spans="36:36" ht="11.25" customHeight="1">
      <c r="AJ7144"/>
    </row>
    <row r="7145" spans="36:36" ht="11.25" customHeight="1">
      <c r="AJ7145"/>
    </row>
    <row r="7146" spans="36:36" ht="11.25" customHeight="1">
      <c r="AJ7146"/>
    </row>
    <row r="7147" spans="36:36" ht="11.25" customHeight="1">
      <c r="AJ7147"/>
    </row>
    <row r="7148" spans="36:36" ht="11.25" customHeight="1">
      <c r="AJ7148"/>
    </row>
    <row r="7149" spans="36:36" ht="11.25" customHeight="1">
      <c r="AJ7149"/>
    </row>
    <row r="7150" spans="36:36" ht="11.25" customHeight="1">
      <c r="AJ7150"/>
    </row>
    <row r="7151" spans="36:36" ht="11.25" customHeight="1">
      <c r="AJ7151"/>
    </row>
    <row r="7152" spans="36:36" ht="11.25" customHeight="1">
      <c r="AJ7152"/>
    </row>
    <row r="7153" spans="36:36" ht="11.25" customHeight="1">
      <c r="AJ7153"/>
    </row>
    <row r="7154" spans="36:36" ht="11.25" customHeight="1">
      <c r="AJ7154"/>
    </row>
    <row r="7155" spans="36:36" ht="11.25" customHeight="1">
      <c r="AJ7155"/>
    </row>
    <row r="7156" spans="36:36" ht="11.25" customHeight="1">
      <c r="AJ7156"/>
    </row>
    <row r="7157" spans="36:36" ht="11.25" customHeight="1">
      <c r="AJ7157"/>
    </row>
    <row r="7158" spans="36:36" ht="11.25" customHeight="1">
      <c r="AJ7158"/>
    </row>
    <row r="7159" spans="36:36" ht="11.25" customHeight="1">
      <c r="AJ7159"/>
    </row>
    <row r="7160" spans="36:36" ht="11.25" customHeight="1">
      <c r="AJ7160"/>
    </row>
    <row r="7161" spans="36:36" ht="11.25" customHeight="1">
      <c r="AJ7161"/>
    </row>
    <row r="7162" spans="36:36" ht="11.25" customHeight="1">
      <c r="AJ7162"/>
    </row>
    <row r="7163" spans="36:36" ht="11.25" customHeight="1">
      <c r="AJ7163"/>
    </row>
    <row r="7164" spans="36:36" ht="11.25" customHeight="1">
      <c r="AJ7164"/>
    </row>
    <row r="7165" spans="36:36" ht="11.25" customHeight="1">
      <c r="AJ7165"/>
    </row>
    <row r="7166" spans="36:36" ht="11.25" customHeight="1">
      <c r="AJ7166"/>
    </row>
    <row r="7167" spans="36:36" ht="11.25" customHeight="1">
      <c r="AJ7167"/>
    </row>
    <row r="7168" spans="36:36" ht="11.25" customHeight="1">
      <c r="AJ7168"/>
    </row>
    <row r="7169" spans="36:36" ht="11.25" customHeight="1">
      <c r="AJ7169"/>
    </row>
    <row r="7170" spans="36:36" ht="11.25" customHeight="1">
      <c r="AJ7170"/>
    </row>
    <row r="7171" spans="36:36" ht="11.25" customHeight="1">
      <c r="AJ7171"/>
    </row>
    <row r="7172" spans="36:36" ht="11.25" customHeight="1">
      <c r="AJ7172"/>
    </row>
    <row r="7173" spans="36:36" ht="11.25" customHeight="1">
      <c r="AJ7173"/>
    </row>
    <row r="7174" spans="36:36" ht="11.25" customHeight="1">
      <c r="AJ7174"/>
    </row>
    <row r="7175" spans="36:36" ht="11.25" customHeight="1">
      <c r="AJ7175"/>
    </row>
    <row r="7176" spans="36:36" ht="11.25" customHeight="1">
      <c r="AJ7176"/>
    </row>
    <row r="7177" spans="36:36" ht="11.25" customHeight="1">
      <c r="AJ7177"/>
    </row>
    <row r="7178" spans="36:36" ht="11.25" customHeight="1">
      <c r="AJ7178"/>
    </row>
    <row r="7179" spans="36:36" ht="11.25" customHeight="1">
      <c r="AJ7179"/>
    </row>
    <row r="7180" spans="36:36" ht="11.25" customHeight="1">
      <c r="AJ7180"/>
    </row>
    <row r="7181" spans="36:36" ht="11.25" customHeight="1">
      <c r="AJ7181"/>
    </row>
    <row r="7182" spans="36:36" ht="11.25" customHeight="1">
      <c r="AJ7182"/>
    </row>
    <row r="7183" spans="36:36" ht="11.25" customHeight="1">
      <c r="AJ7183"/>
    </row>
    <row r="7184" spans="36:36" ht="11.25" customHeight="1">
      <c r="AJ7184"/>
    </row>
    <row r="7185" spans="36:36" ht="11.25" customHeight="1">
      <c r="AJ7185"/>
    </row>
    <row r="7186" spans="36:36" ht="11.25" customHeight="1">
      <c r="AJ7186"/>
    </row>
    <row r="7187" spans="36:36" ht="11.25" customHeight="1">
      <c r="AJ7187"/>
    </row>
    <row r="7188" spans="36:36" ht="11.25" customHeight="1">
      <c r="AJ7188"/>
    </row>
    <row r="7189" spans="36:36" ht="11.25" customHeight="1">
      <c r="AJ7189"/>
    </row>
    <row r="7190" spans="36:36" ht="11.25" customHeight="1">
      <c r="AJ7190"/>
    </row>
    <row r="7191" spans="36:36" ht="11.25" customHeight="1">
      <c r="AJ7191"/>
    </row>
    <row r="7192" spans="36:36" ht="11.25" customHeight="1">
      <c r="AJ7192"/>
    </row>
    <row r="7193" spans="36:36" ht="11.25" customHeight="1">
      <c r="AJ7193"/>
    </row>
    <row r="7194" spans="36:36" ht="11.25" customHeight="1">
      <c r="AJ7194"/>
    </row>
    <row r="7195" spans="36:36" ht="11.25" customHeight="1">
      <c r="AJ7195"/>
    </row>
    <row r="7196" spans="36:36" ht="11.25" customHeight="1">
      <c r="AJ7196"/>
    </row>
    <row r="7197" spans="36:36" ht="11.25" customHeight="1">
      <c r="AJ7197"/>
    </row>
    <row r="7198" spans="36:36" ht="11.25" customHeight="1">
      <c r="AJ7198"/>
    </row>
    <row r="7199" spans="36:36" ht="11.25" customHeight="1">
      <c r="AJ7199"/>
    </row>
    <row r="7200" spans="36:36" ht="11.25" customHeight="1">
      <c r="AJ7200"/>
    </row>
    <row r="7201" spans="36:36" ht="11.25" customHeight="1">
      <c r="AJ7201"/>
    </row>
    <row r="7202" spans="36:36" ht="11.25" customHeight="1">
      <c r="AJ7202"/>
    </row>
    <row r="7203" spans="36:36" ht="11.25" customHeight="1">
      <c r="AJ7203"/>
    </row>
    <row r="7204" spans="36:36" ht="11.25" customHeight="1">
      <c r="AJ7204"/>
    </row>
    <row r="7205" spans="36:36" ht="11.25" customHeight="1">
      <c r="AJ7205"/>
    </row>
    <row r="7206" spans="36:36" ht="11.25" customHeight="1">
      <c r="AJ7206"/>
    </row>
    <row r="7207" spans="36:36" ht="11.25" customHeight="1">
      <c r="AJ7207"/>
    </row>
    <row r="7208" spans="36:36" ht="11.25" customHeight="1">
      <c r="AJ7208"/>
    </row>
    <row r="7209" spans="36:36" ht="11.25" customHeight="1">
      <c r="AJ7209"/>
    </row>
    <row r="7210" spans="36:36" ht="11.25" customHeight="1">
      <c r="AJ7210"/>
    </row>
    <row r="7211" spans="36:36" ht="11.25" customHeight="1">
      <c r="AJ7211"/>
    </row>
    <row r="7212" spans="36:36" ht="11.25" customHeight="1">
      <c r="AJ7212"/>
    </row>
    <row r="7213" spans="36:36" ht="11.25" customHeight="1">
      <c r="AJ7213"/>
    </row>
    <row r="7214" spans="36:36" ht="11.25" customHeight="1">
      <c r="AJ7214"/>
    </row>
    <row r="7215" spans="36:36" ht="11.25" customHeight="1">
      <c r="AJ7215"/>
    </row>
    <row r="7216" spans="36:36" ht="11.25" customHeight="1">
      <c r="AJ7216"/>
    </row>
    <row r="7217" spans="36:36" ht="11.25" customHeight="1">
      <c r="AJ7217"/>
    </row>
    <row r="7218" spans="36:36" ht="11.25" customHeight="1">
      <c r="AJ7218"/>
    </row>
    <row r="7219" spans="36:36" ht="11.25" customHeight="1">
      <c r="AJ7219"/>
    </row>
    <row r="7220" spans="36:36" ht="11.25" customHeight="1">
      <c r="AJ7220"/>
    </row>
    <row r="7221" spans="36:36" ht="11.25" customHeight="1">
      <c r="AJ7221"/>
    </row>
    <row r="7222" spans="36:36" ht="11.25" customHeight="1">
      <c r="AJ7222"/>
    </row>
    <row r="7223" spans="36:36" ht="11.25" customHeight="1">
      <c r="AJ7223"/>
    </row>
    <row r="7224" spans="36:36" ht="11.25" customHeight="1">
      <c r="AJ7224"/>
    </row>
    <row r="7225" spans="36:36" ht="11.25" customHeight="1">
      <c r="AJ7225"/>
    </row>
    <row r="7226" spans="36:36" ht="11.25" customHeight="1">
      <c r="AJ7226"/>
    </row>
    <row r="7227" spans="36:36" ht="11.25" customHeight="1">
      <c r="AJ7227"/>
    </row>
    <row r="7228" spans="36:36" ht="11.25" customHeight="1">
      <c r="AJ7228"/>
    </row>
    <row r="7229" spans="36:36" ht="11.25" customHeight="1">
      <c r="AJ7229"/>
    </row>
    <row r="7230" spans="36:36" ht="11.25" customHeight="1">
      <c r="AJ7230"/>
    </row>
    <row r="7231" spans="36:36" ht="11.25" customHeight="1">
      <c r="AJ7231"/>
    </row>
    <row r="7232" spans="36:36" ht="11.25" customHeight="1">
      <c r="AJ7232"/>
    </row>
    <row r="7233" spans="36:36" ht="11.25" customHeight="1">
      <c r="AJ7233"/>
    </row>
    <row r="7234" spans="36:36" ht="11.25" customHeight="1">
      <c r="AJ7234"/>
    </row>
    <row r="7235" spans="36:36" ht="11.25" customHeight="1">
      <c r="AJ7235"/>
    </row>
    <row r="7236" spans="36:36" ht="11.25" customHeight="1">
      <c r="AJ7236"/>
    </row>
    <row r="7237" spans="36:36" ht="11.25" customHeight="1">
      <c r="AJ7237"/>
    </row>
    <row r="7238" spans="36:36" ht="11.25" customHeight="1">
      <c r="AJ7238"/>
    </row>
    <row r="7239" spans="36:36" ht="11.25" customHeight="1">
      <c r="AJ7239"/>
    </row>
    <row r="7240" spans="36:36" ht="11.25" customHeight="1">
      <c r="AJ7240"/>
    </row>
    <row r="7241" spans="36:36" ht="11.25" customHeight="1">
      <c r="AJ7241"/>
    </row>
    <row r="7242" spans="36:36" ht="11.25" customHeight="1">
      <c r="AJ7242"/>
    </row>
    <row r="7243" spans="36:36" ht="11.25" customHeight="1">
      <c r="AJ7243"/>
    </row>
    <row r="7244" spans="36:36" ht="11.25" customHeight="1">
      <c r="AJ7244"/>
    </row>
    <row r="7245" spans="36:36" ht="11.25" customHeight="1">
      <c r="AJ7245"/>
    </row>
    <row r="7246" spans="36:36" ht="11.25" customHeight="1">
      <c r="AJ7246"/>
    </row>
    <row r="7247" spans="36:36" ht="11.25" customHeight="1">
      <c r="AJ7247"/>
    </row>
    <row r="7248" spans="36:36" ht="11.25" customHeight="1">
      <c r="AJ7248"/>
    </row>
    <row r="7249" spans="36:36" ht="11.25" customHeight="1">
      <c r="AJ7249"/>
    </row>
    <row r="7250" spans="36:36" ht="11.25" customHeight="1">
      <c r="AJ7250"/>
    </row>
    <row r="7251" spans="36:36" ht="11.25" customHeight="1">
      <c r="AJ7251"/>
    </row>
    <row r="7252" spans="36:36" ht="11.25" customHeight="1">
      <c r="AJ7252"/>
    </row>
    <row r="7253" spans="36:36" ht="11.25" customHeight="1">
      <c r="AJ7253"/>
    </row>
    <row r="7254" spans="36:36" ht="11.25" customHeight="1">
      <c r="AJ7254"/>
    </row>
    <row r="7255" spans="36:36" ht="11.25" customHeight="1">
      <c r="AJ7255"/>
    </row>
    <row r="7256" spans="36:36" ht="11.25" customHeight="1">
      <c r="AJ7256"/>
    </row>
    <row r="7257" spans="36:36" ht="11.25" customHeight="1">
      <c r="AJ7257"/>
    </row>
    <row r="7258" spans="36:36" ht="11.25" customHeight="1">
      <c r="AJ7258"/>
    </row>
    <row r="7259" spans="36:36" ht="11.25" customHeight="1">
      <c r="AJ7259"/>
    </row>
    <row r="7260" spans="36:36" ht="11.25" customHeight="1">
      <c r="AJ7260"/>
    </row>
    <row r="7261" spans="36:36" ht="11.25" customHeight="1">
      <c r="AJ7261"/>
    </row>
    <row r="7262" spans="36:36" ht="11.25" customHeight="1">
      <c r="AJ7262"/>
    </row>
    <row r="7263" spans="36:36" ht="11.25" customHeight="1">
      <c r="AJ7263"/>
    </row>
    <row r="7264" spans="36:36" ht="11.25" customHeight="1">
      <c r="AJ7264"/>
    </row>
    <row r="7265" spans="36:36" ht="11.25" customHeight="1">
      <c r="AJ7265"/>
    </row>
    <row r="7266" spans="36:36" ht="11.25" customHeight="1">
      <c r="AJ7266"/>
    </row>
    <row r="7267" spans="36:36" ht="11.25" customHeight="1">
      <c r="AJ7267"/>
    </row>
    <row r="7268" spans="36:36" ht="11.25" customHeight="1">
      <c r="AJ7268"/>
    </row>
    <row r="7269" spans="36:36" ht="11.25" customHeight="1">
      <c r="AJ7269"/>
    </row>
    <row r="7270" spans="36:36" ht="11.25" customHeight="1">
      <c r="AJ7270"/>
    </row>
    <row r="7271" spans="36:36" ht="11.25" customHeight="1">
      <c r="AJ7271"/>
    </row>
    <row r="7272" spans="36:36" ht="11.25" customHeight="1">
      <c r="AJ7272"/>
    </row>
    <row r="7273" spans="36:36" ht="11.25" customHeight="1">
      <c r="AJ7273"/>
    </row>
    <row r="7274" spans="36:36" ht="11.25" customHeight="1">
      <c r="AJ7274"/>
    </row>
    <row r="7275" spans="36:36" ht="11.25" customHeight="1">
      <c r="AJ7275"/>
    </row>
    <row r="7276" spans="36:36" ht="11.25" customHeight="1">
      <c r="AJ7276"/>
    </row>
    <row r="7277" spans="36:36" ht="11.25" customHeight="1">
      <c r="AJ7277"/>
    </row>
    <row r="7278" spans="36:36" ht="11.25" customHeight="1">
      <c r="AJ7278"/>
    </row>
    <row r="7279" spans="36:36" ht="11.25" customHeight="1">
      <c r="AJ7279"/>
    </row>
    <row r="7280" spans="36:36" ht="11.25" customHeight="1">
      <c r="AJ7280"/>
    </row>
    <row r="7281" spans="36:36" ht="11.25" customHeight="1">
      <c r="AJ7281"/>
    </row>
    <row r="7282" spans="36:36" ht="11.25" customHeight="1">
      <c r="AJ7282"/>
    </row>
    <row r="7283" spans="36:36" ht="11.25" customHeight="1">
      <c r="AJ7283"/>
    </row>
    <row r="7284" spans="36:36" ht="11.25" customHeight="1">
      <c r="AJ7284"/>
    </row>
    <row r="7285" spans="36:36" ht="11.25" customHeight="1">
      <c r="AJ7285"/>
    </row>
    <row r="7286" spans="36:36" ht="11.25" customHeight="1">
      <c r="AJ7286"/>
    </row>
    <row r="7287" spans="36:36" ht="11.25" customHeight="1">
      <c r="AJ7287"/>
    </row>
    <row r="7288" spans="36:36" ht="11.25" customHeight="1">
      <c r="AJ7288"/>
    </row>
    <row r="7289" spans="36:36" ht="11.25" customHeight="1">
      <c r="AJ7289"/>
    </row>
    <row r="7290" spans="36:36" ht="11.25" customHeight="1">
      <c r="AJ7290"/>
    </row>
    <row r="7291" spans="36:36" ht="11.25" customHeight="1">
      <c r="AJ7291"/>
    </row>
    <row r="7292" spans="36:36" ht="11.25" customHeight="1">
      <c r="AJ7292"/>
    </row>
    <row r="7293" spans="36:36" ht="11.25" customHeight="1">
      <c r="AJ7293"/>
    </row>
    <row r="7294" spans="36:36" ht="11.25" customHeight="1">
      <c r="AJ7294"/>
    </row>
    <row r="7295" spans="36:36" ht="11.25" customHeight="1">
      <c r="AJ7295"/>
    </row>
    <row r="7296" spans="36:36" ht="11.25" customHeight="1">
      <c r="AJ7296"/>
    </row>
    <row r="7297" spans="36:36" ht="11.25" customHeight="1">
      <c r="AJ7297"/>
    </row>
    <row r="7298" spans="36:36" ht="11.25" customHeight="1">
      <c r="AJ7298"/>
    </row>
    <row r="7299" spans="36:36" ht="11.25" customHeight="1">
      <c r="AJ7299"/>
    </row>
    <row r="7300" spans="36:36" ht="11.25" customHeight="1">
      <c r="AJ7300"/>
    </row>
    <row r="7301" spans="36:36" ht="11.25" customHeight="1">
      <c r="AJ7301"/>
    </row>
    <row r="7302" spans="36:36" ht="11.25" customHeight="1">
      <c r="AJ7302"/>
    </row>
    <row r="7303" spans="36:36" ht="11.25" customHeight="1">
      <c r="AJ7303"/>
    </row>
    <row r="7304" spans="36:36" ht="11.25" customHeight="1">
      <c r="AJ7304"/>
    </row>
    <row r="7305" spans="36:36" ht="11.25" customHeight="1">
      <c r="AJ7305"/>
    </row>
    <row r="7306" spans="36:36" ht="11.25" customHeight="1">
      <c r="AJ7306"/>
    </row>
    <row r="7307" spans="36:36" ht="11.25" customHeight="1">
      <c r="AJ7307"/>
    </row>
    <row r="7308" spans="36:36" ht="11.25" customHeight="1">
      <c r="AJ7308"/>
    </row>
    <row r="7309" spans="36:36" ht="11.25" customHeight="1">
      <c r="AJ7309"/>
    </row>
    <row r="7310" spans="36:36" ht="11.25" customHeight="1">
      <c r="AJ7310"/>
    </row>
    <row r="7311" spans="36:36" ht="11.25" customHeight="1">
      <c r="AJ7311"/>
    </row>
    <row r="7312" spans="36:36" ht="11.25" customHeight="1">
      <c r="AJ7312"/>
    </row>
    <row r="7313" spans="36:36" ht="11.25" customHeight="1">
      <c r="AJ7313"/>
    </row>
    <row r="7314" spans="36:36" ht="11.25" customHeight="1">
      <c r="AJ7314"/>
    </row>
    <row r="7315" spans="36:36" ht="11.25" customHeight="1">
      <c r="AJ7315"/>
    </row>
    <row r="7316" spans="36:36" ht="11.25" customHeight="1">
      <c r="AJ7316"/>
    </row>
    <row r="7317" spans="36:36" ht="11.25" customHeight="1">
      <c r="AJ7317"/>
    </row>
    <row r="7318" spans="36:36" ht="11.25" customHeight="1">
      <c r="AJ7318"/>
    </row>
    <row r="7319" spans="36:36" ht="11.25" customHeight="1">
      <c r="AJ7319"/>
    </row>
    <row r="7320" spans="36:36" ht="11.25" customHeight="1">
      <c r="AJ7320"/>
    </row>
    <row r="7321" spans="36:36" ht="11.25" customHeight="1">
      <c r="AJ7321"/>
    </row>
    <row r="7322" spans="36:36" ht="11.25" customHeight="1">
      <c r="AJ7322"/>
    </row>
    <row r="7323" spans="36:36" ht="11.25" customHeight="1">
      <c r="AJ7323"/>
    </row>
    <row r="7324" spans="36:36" ht="11.25" customHeight="1">
      <c r="AJ7324"/>
    </row>
    <row r="7325" spans="36:36" ht="11.25" customHeight="1">
      <c r="AJ7325"/>
    </row>
    <row r="7326" spans="36:36" ht="11.25" customHeight="1">
      <c r="AJ7326"/>
    </row>
    <row r="7327" spans="36:36" ht="11.25" customHeight="1">
      <c r="AJ7327"/>
    </row>
    <row r="7328" spans="36:36" ht="11.25" customHeight="1">
      <c r="AJ7328"/>
    </row>
    <row r="7329" spans="36:36" ht="11.25" customHeight="1">
      <c r="AJ7329"/>
    </row>
    <row r="7330" spans="36:36" ht="11.25" customHeight="1">
      <c r="AJ7330"/>
    </row>
    <row r="7331" spans="36:36" ht="11.25" customHeight="1">
      <c r="AJ7331"/>
    </row>
    <row r="7332" spans="36:36" ht="11.25" customHeight="1">
      <c r="AJ7332"/>
    </row>
    <row r="7333" spans="36:36" ht="11.25" customHeight="1">
      <c r="AJ7333"/>
    </row>
    <row r="7334" spans="36:36" ht="11.25" customHeight="1">
      <c r="AJ7334"/>
    </row>
    <row r="7335" spans="36:36" ht="11.25" customHeight="1">
      <c r="AJ7335"/>
    </row>
    <row r="7336" spans="36:36" ht="11.25" customHeight="1">
      <c r="AJ7336"/>
    </row>
    <row r="7337" spans="36:36" ht="11.25" customHeight="1">
      <c r="AJ7337"/>
    </row>
    <row r="7338" spans="36:36" ht="11.25" customHeight="1">
      <c r="AJ7338"/>
    </row>
    <row r="7339" spans="36:36" ht="11.25" customHeight="1">
      <c r="AJ7339"/>
    </row>
    <row r="7340" spans="36:36" ht="11.25" customHeight="1">
      <c r="AJ7340"/>
    </row>
    <row r="7341" spans="36:36" ht="11.25" customHeight="1">
      <c r="AJ7341"/>
    </row>
    <row r="7342" spans="36:36" ht="11.25" customHeight="1">
      <c r="AJ7342"/>
    </row>
    <row r="7343" spans="36:36" ht="11.25" customHeight="1">
      <c r="AJ7343"/>
    </row>
    <row r="7344" spans="36:36" ht="11.25" customHeight="1">
      <c r="AJ7344"/>
    </row>
    <row r="7345" spans="36:36" ht="11.25" customHeight="1">
      <c r="AJ7345"/>
    </row>
    <row r="7346" spans="36:36" ht="11.25" customHeight="1">
      <c r="AJ7346"/>
    </row>
    <row r="7347" spans="36:36" ht="11.25" customHeight="1">
      <c r="AJ7347"/>
    </row>
    <row r="7348" spans="36:36" ht="11.25" customHeight="1">
      <c r="AJ7348"/>
    </row>
    <row r="7349" spans="36:36" ht="11.25" customHeight="1">
      <c r="AJ7349"/>
    </row>
    <row r="7350" spans="36:36" ht="11.25" customHeight="1">
      <c r="AJ7350"/>
    </row>
    <row r="7351" spans="36:36" ht="11.25" customHeight="1">
      <c r="AJ7351"/>
    </row>
    <row r="7352" spans="36:36" ht="11.25" customHeight="1">
      <c r="AJ7352"/>
    </row>
    <row r="7353" spans="36:36" ht="11.25" customHeight="1">
      <c r="AJ7353"/>
    </row>
    <row r="7354" spans="36:36" ht="11.25" customHeight="1">
      <c r="AJ7354"/>
    </row>
    <row r="7355" spans="36:36" ht="11.25" customHeight="1">
      <c r="AJ7355"/>
    </row>
    <row r="7356" spans="36:36" ht="11.25" customHeight="1">
      <c r="AJ7356"/>
    </row>
    <row r="7357" spans="36:36" ht="11.25" customHeight="1">
      <c r="AJ7357"/>
    </row>
    <row r="7358" spans="36:36" ht="11.25" customHeight="1">
      <c r="AJ7358"/>
    </row>
    <row r="7359" spans="36:36" ht="11.25" customHeight="1">
      <c r="AJ7359"/>
    </row>
    <row r="7360" spans="36:36" ht="11.25" customHeight="1">
      <c r="AJ7360"/>
    </row>
    <row r="7361" spans="36:36" ht="11.25" customHeight="1">
      <c r="AJ7361"/>
    </row>
    <row r="7362" spans="36:36" ht="11.25" customHeight="1">
      <c r="AJ7362"/>
    </row>
    <row r="7363" spans="36:36" ht="11.25" customHeight="1">
      <c r="AJ7363"/>
    </row>
    <row r="7364" spans="36:36" ht="11.25" customHeight="1">
      <c r="AJ7364"/>
    </row>
    <row r="7365" spans="36:36" ht="11.25" customHeight="1">
      <c r="AJ7365"/>
    </row>
    <row r="7366" spans="36:36" ht="11.25" customHeight="1">
      <c r="AJ7366"/>
    </row>
    <row r="7367" spans="36:36" ht="11.25" customHeight="1">
      <c r="AJ7367"/>
    </row>
    <row r="7368" spans="36:36" ht="11.25" customHeight="1">
      <c r="AJ7368"/>
    </row>
    <row r="7369" spans="36:36" ht="11.25" customHeight="1">
      <c r="AJ7369"/>
    </row>
    <row r="7370" spans="36:36" ht="11.25" customHeight="1">
      <c r="AJ7370"/>
    </row>
    <row r="7371" spans="36:36" ht="11.25" customHeight="1">
      <c r="AJ7371"/>
    </row>
    <row r="7372" spans="36:36" ht="11.25" customHeight="1">
      <c r="AJ7372"/>
    </row>
    <row r="7373" spans="36:36" ht="11.25" customHeight="1">
      <c r="AJ7373"/>
    </row>
    <row r="7374" spans="36:36" ht="11.25" customHeight="1">
      <c r="AJ7374"/>
    </row>
    <row r="7375" spans="36:36" ht="11.25" customHeight="1">
      <c r="AJ7375"/>
    </row>
    <row r="7376" spans="36:36" ht="11.25" customHeight="1">
      <c r="AJ7376"/>
    </row>
    <row r="7377" spans="36:36" ht="11.25" customHeight="1">
      <c r="AJ7377"/>
    </row>
    <row r="7378" spans="36:36" ht="11.25" customHeight="1">
      <c r="AJ7378"/>
    </row>
    <row r="7379" spans="36:36" ht="11.25" customHeight="1">
      <c r="AJ7379"/>
    </row>
    <row r="7380" spans="36:36" ht="11.25" customHeight="1">
      <c r="AJ7380"/>
    </row>
    <row r="7381" spans="36:36" ht="11.25" customHeight="1">
      <c r="AJ7381"/>
    </row>
    <row r="7382" spans="36:36" ht="11.25" customHeight="1">
      <c r="AJ7382"/>
    </row>
    <row r="7383" spans="36:36" ht="11.25" customHeight="1">
      <c r="AJ7383"/>
    </row>
    <row r="7384" spans="36:36" ht="11.25" customHeight="1">
      <c r="AJ7384"/>
    </row>
    <row r="7385" spans="36:36" ht="11.25" customHeight="1">
      <c r="AJ7385"/>
    </row>
    <row r="7386" spans="36:36" ht="11.25" customHeight="1">
      <c r="AJ7386"/>
    </row>
    <row r="7387" spans="36:36" ht="11.25" customHeight="1">
      <c r="AJ7387"/>
    </row>
    <row r="7388" spans="36:36" ht="11.25" customHeight="1">
      <c r="AJ7388"/>
    </row>
    <row r="7389" spans="36:36" ht="11.25" customHeight="1">
      <c r="AJ7389"/>
    </row>
    <row r="7390" spans="36:36" ht="11.25" customHeight="1">
      <c r="AJ7390"/>
    </row>
    <row r="7391" spans="36:36" ht="11.25" customHeight="1">
      <c r="AJ7391"/>
    </row>
    <row r="7392" spans="36:36" ht="11.25" customHeight="1">
      <c r="AJ7392"/>
    </row>
    <row r="7393" spans="36:36" ht="11.25" customHeight="1">
      <c r="AJ7393"/>
    </row>
    <row r="7394" spans="36:36" ht="11.25" customHeight="1">
      <c r="AJ7394"/>
    </row>
    <row r="7395" spans="36:36" ht="11.25" customHeight="1">
      <c r="AJ7395"/>
    </row>
    <row r="7396" spans="36:36" ht="11.25" customHeight="1">
      <c r="AJ7396"/>
    </row>
    <row r="7397" spans="36:36" ht="11.25" customHeight="1">
      <c r="AJ7397"/>
    </row>
    <row r="7398" spans="36:36" ht="11.25" customHeight="1">
      <c r="AJ7398"/>
    </row>
    <row r="7399" spans="36:36" ht="11.25" customHeight="1">
      <c r="AJ7399"/>
    </row>
    <row r="7400" spans="36:36" ht="11.25" customHeight="1">
      <c r="AJ7400"/>
    </row>
    <row r="7401" spans="36:36" ht="11.25" customHeight="1">
      <c r="AJ7401"/>
    </row>
    <row r="7402" spans="36:36" ht="11.25" customHeight="1">
      <c r="AJ7402"/>
    </row>
    <row r="7403" spans="36:36" ht="11.25" customHeight="1">
      <c r="AJ7403"/>
    </row>
    <row r="7404" spans="36:36" ht="11.25" customHeight="1">
      <c r="AJ7404"/>
    </row>
    <row r="7405" spans="36:36" ht="11.25" customHeight="1">
      <c r="AJ7405"/>
    </row>
    <row r="7406" spans="36:36" ht="11.25" customHeight="1">
      <c r="AJ7406"/>
    </row>
    <row r="7407" spans="36:36" ht="11.25" customHeight="1">
      <c r="AJ7407"/>
    </row>
    <row r="7408" spans="36:36" ht="11.25" customHeight="1">
      <c r="AJ7408"/>
    </row>
    <row r="7409" spans="36:36" ht="11.25" customHeight="1">
      <c r="AJ7409"/>
    </row>
    <row r="7410" spans="36:36" ht="11.25" customHeight="1">
      <c r="AJ7410"/>
    </row>
    <row r="7411" spans="36:36" ht="11.25" customHeight="1">
      <c r="AJ7411"/>
    </row>
    <row r="7412" spans="36:36" ht="11.25" customHeight="1">
      <c r="AJ7412"/>
    </row>
    <row r="7413" spans="36:36" ht="11.25" customHeight="1">
      <c r="AJ7413"/>
    </row>
    <row r="7414" spans="36:36" ht="11.25" customHeight="1">
      <c r="AJ7414"/>
    </row>
    <row r="7415" spans="36:36" ht="11.25" customHeight="1">
      <c r="AJ7415"/>
    </row>
    <row r="7416" spans="36:36" ht="11.25" customHeight="1">
      <c r="AJ7416"/>
    </row>
    <row r="7417" spans="36:36" ht="11.25" customHeight="1">
      <c r="AJ7417"/>
    </row>
    <row r="7418" spans="36:36" ht="11.25" customHeight="1">
      <c r="AJ7418"/>
    </row>
    <row r="7419" spans="36:36" ht="11.25" customHeight="1">
      <c r="AJ7419"/>
    </row>
    <row r="7420" spans="36:36" ht="11.25" customHeight="1">
      <c r="AJ7420"/>
    </row>
    <row r="7421" spans="36:36" ht="11.25" customHeight="1">
      <c r="AJ7421"/>
    </row>
    <row r="7422" spans="36:36" ht="11.25" customHeight="1">
      <c r="AJ7422"/>
    </row>
    <row r="7423" spans="36:36" ht="11.25" customHeight="1">
      <c r="AJ7423"/>
    </row>
    <row r="7424" spans="36:36" ht="11.25" customHeight="1">
      <c r="AJ7424"/>
    </row>
    <row r="7425" spans="36:36" ht="11.25" customHeight="1">
      <c r="AJ7425"/>
    </row>
    <row r="7426" spans="36:36" ht="11.25" customHeight="1">
      <c r="AJ7426"/>
    </row>
    <row r="7427" spans="36:36" ht="11.25" customHeight="1">
      <c r="AJ7427"/>
    </row>
    <row r="7428" spans="36:36" ht="11.25" customHeight="1">
      <c r="AJ7428"/>
    </row>
    <row r="7429" spans="36:36" ht="11.25" customHeight="1">
      <c r="AJ7429"/>
    </row>
    <row r="7430" spans="36:36" ht="11.25" customHeight="1">
      <c r="AJ7430"/>
    </row>
    <row r="7431" spans="36:36" ht="11.25" customHeight="1">
      <c r="AJ7431"/>
    </row>
    <row r="7432" spans="36:36" ht="11.25" customHeight="1">
      <c r="AJ7432"/>
    </row>
    <row r="7433" spans="36:36" ht="11.25" customHeight="1">
      <c r="AJ7433"/>
    </row>
    <row r="7434" spans="36:36" ht="11.25" customHeight="1">
      <c r="AJ7434"/>
    </row>
    <row r="7435" spans="36:36" ht="11.25" customHeight="1">
      <c r="AJ7435"/>
    </row>
    <row r="7436" spans="36:36" ht="11.25" customHeight="1">
      <c r="AJ7436"/>
    </row>
    <row r="7437" spans="36:36" ht="11.25" customHeight="1">
      <c r="AJ7437"/>
    </row>
    <row r="7438" spans="36:36" ht="11.25" customHeight="1">
      <c r="AJ7438"/>
    </row>
    <row r="7439" spans="36:36" ht="11.25" customHeight="1">
      <c r="AJ7439"/>
    </row>
    <row r="7440" spans="36:36" ht="11.25" customHeight="1">
      <c r="AJ7440"/>
    </row>
    <row r="7441" spans="36:36" ht="11.25" customHeight="1">
      <c r="AJ7441"/>
    </row>
    <row r="7442" spans="36:36" ht="11.25" customHeight="1">
      <c r="AJ7442"/>
    </row>
    <row r="7443" spans="36:36" ht="11.25" customHeight="1">
      <c r="AJ7443"/>
    </row>
    <row r="7444" spans="36:36" ht="11.25" customHeight="1">
      <c r="AJ7444"/>
    </row>
    <row r="7445" spans="36:36" ht="11.25" customHeight="1">
      <c r="AJ7445"/>
    </row>
    <row r="7446" spans="36:36" ht="11.25" customHeight="1">
      <c r="AJ7446"/>
    </row>
    <row r="7447" spans="36:36" ht="11.25" customHeight="1">
      <c r="AJ7447"/>
    </row>
    <row r="7448" spans="36:36" ht="11.25" customHeight="1">
      <c r="AJ7448"/>
    </row>
    <row r="7449" spans="36:36" ht="11.25" customHeight="1">
      <c r="AJ7449"/>
    </row>
    <row r="7450" spans="36:36" ht="11.25" customHeight="1">
      <c r="AJ7450"/>
    </row>
    <row r="7451" spans="36:36" ht="11.25" customHeight="1">
      <c r="AJ7451"/>
    </row>
    <row r="7452" spans="36:36" ht="11.25" customHeight="1">
      <c r="AJ7452"/>
    </row>
    <row r="7453" spans="36:36" ht="11.25" customHeight="1">
      <c r="AJ7453"/>
    </row>
    <row r="7454" spans="36:36" ht="11.25" customHeight="1">
      <c r="AJ7454"/>
    </row>
    <row r="7455" spans="36:36" ht="11.25" customHeight="1">
      <c r="AJ7455"/>
    </row>
    <row r="7456" spans="36:36" ht="11.25" customHeight="1">
      <c r="AJ7456"/>
    </row>
    <row r="7457" spans="36:36" ht="11.25" customHeight="1">
      <c r="AJ7457"/>
    </row>
    <row r="7458" spans="36:36" ht="11.25" customHeight="1">
      <c r="AJ7458"/>
    </row>
    <row r="7459" spans="36:36" ht="11.25" customHeight="1">
      <c r="AJ7459"/>
    </row>
    <row r="7460" spans="36:36" ht="11.25" customHeight="1">
      <c r="AJ7460"/>
    </row>
    <row r="7461" spans="36:36" ht="11.25" customHeight="1">
      <c r="AJ7461"/>
    </row>
    <row r="7462" spans="36:36" ht="11.25" customHeight="1">
      <c r="AJ7462"/>
    </row>
    <row r="7463" spans="36:36" ht="11.25" customHeight="1">
      <c r="AJ7463"/>
    </row>
    <row r="7464" spans="36:36" ht="11.25" customHeight="1">
      <c r="AJ7464"/>
    </row>
    <row r="7465" spans="36:36" ht="11.25" customHeight="1">
      <c r="AJ7465"/>
    </row>
    <row r="7466" spans="36:36" ht="11.25" customHeight="1">
      <c r="AJ7466"/>
    </row>
    <row r="7467" spans="36:36" ht="11.25" customHeight="1">
      <c r="AJ7467"/>
    </row>
    <row r="7468" spans="36:36" ht="11.25" customHeight="1">
      <c r="AJ7468"/>
    </row>
    <row r="7469" spans="36:36" ht="11.25" customHeight="1">
      <c r="AJ7469"/>
    </row>
    <row r="7470" spans="36:36" ht="11.25" customHeight="1">
      <c r="AJ7470"/>
    </row>
    <row r="7471" spans="36:36" ht="11.25" customHeight="1">
      <c r="AJ7471"/>
    </row>
    <row r="7472" spans="36:36" ht="11.25" customHeight="1">
      <c r="AJ7472"/>
    </row>
    <row r="7473" spans="36:36" ht="11.25" customHeight="1">
      <c r="AJ7473"/>
    </row>
    <row r="7474" spans="36:36" ht="11.25" customHeight="1">
      <c r="AJ7474"/>
    </row>
    <row r="7475" spans="36:36" ht="11.25" customHeight="1">
      <c r="AJ7475"/>
    </row>
    <row r="7476" spans="36:36" ht="11.25" customHeight="1">
      <c r="AJ7476"/>
    </row>
    <row r="7477" spans="36:36" ht="11.25" customHeight="1">
      <c r="AJ7477"/>
    </row>
    <row r="7478" spans="36:36" ht="11.25" customHeight="1">
      <c r="AJ7478"/>
    </row>
    <row r="7479" spans="36:36" ht="11.25" customHeight="1">
      <c r="AJ7479"/>
    </row>
    <row r="7480" spans="36:36" ht="11.25" customHeight="1">
      <c r="AJ7480"/>
    </row>
    <row r="7481" spans="36:36" ht="11.25" customHeight="1">
      <c r="AJ7481"/>
    </row>
    <row r="7482" spans="36:36" ht="11.25" customHeight="1">
      <c r="AJ7482"/>
    </row>
    <row r="7483" spans="36:36" ht="11.25" customHeight="1">
      <c r="AJ7483"/>
    </row>
    <row r="7484" spans="36:36" ht="11.25" customHeight="1">
      <c r="AJ7484"/>
    </row>
    <row r="7485" spans="36:36" ht="11.25" customHeight="1">
      <c r="AJ7485"/>
    </row>
    <row r="7486" spans="36:36" ht="11.25" customHeight="1">
      <c r="AJ7486"/>
    </row>
    <row r="7487" spans="36:36" ht="11.25" customHeight="1">
      <c r="AJ7487"/>
    </row>
    <row r="7488" spans="36:36" ht="11.25" customHeight="1">
      <c r="AJ7488"/>
    </row>
    <row r="7489" spans="36:36" ht="11.25" customHeight="1">
      <c r="AJ7489"/>
    </row>
    <row r="7490" spans="36:36" ht="11.25" customHeight="1">
      <c r="AJ7490"/>
    </row>
    <row r="7491" spans="36:36" ht="11.25" customHeight="1">
      <c r="AJ7491"/>
    </row>
    <row r="7492" spans="36:36" ht="11.25" customHeight="1">
      <c r="AJ7492"/>
    </row>
    <row r="7493" spans="36:36" ht="11.25" customHeight="1">
      <c r="AJ7493"/>
    </row>
    <row r="7494" spans="36:36" ht="11.25" customHeight="1">
      <c r="AJ7494"/>
    </row>
    <row r="7495" spans="36:36" ht="11.25" customHeight="1">
      <c r="AJ7495"/>
    </row>
    <row r="7496" spans="36:36" ht="11.25" customHeight="1">
      <c r="AJ7496"/>
    </row>
    <row r="7497" spans="36:36" ht="11.25" customHeight="1">
      <c r="AJ7497"/>
    </row>
    <row r="7498" spans="36:36" ht="11.25" customHeight="1">
      <c r="AJ7498"/>
    </row>
    <row r="7499" spans="36:36" ht="11.25" customHeight="1">
      <c r="AJ7499"/>
    </row>
    <row r="7500" spans="36:36" ht="11.25" customHeight="1">
      <c r="AJ7500"/>
    </row>
    <row r="7501" spans="36:36" ht="11.25" customHeight="1">
      <c r="AJ7501"/>
    </row>
    <row r="7502" spans="36:36" ht="11.25" customHeight="1">
      <c r="AJ7502"/>
    </row>
    <row r="7503" spans="36:36" ht="11.25" customHeight="1">
      <c r="AJ7503"/>
    </row>
    <row r="7504" spans="36:36" ht="11.25" customHeight="1">
      <c r="AJ7504"/>
    </row>
    <row r="7505" spans="36:36" ht="11.25" customHeight="1">
      <c r="AJ7505"/>
    </row>
    <row r="7506" spans="36:36" ht="11.25" customHeight="1">
      <c r="AJ7506"/>
    </row>
    <row r="7507" spans="36:36" ht="11.25" customHeight="1">
      <c r="AJ7507"/>
    </row>
    <row r="7508" spans="36:36" ht="11.25" customHeight="1">
      <c r="AJ7508"/>
    </row>
    <row r="7509" spans="36:36" ht="11.25" customHeight="1">
      <c r="AJ7509"/>
    </row>
    <row r="7510" spans="36:36" ht="11.25" customHeight="1">
      <c r="AJ7510"/>
    </row>
    <row r="7511" spans="36:36" ht="11.25" customHeight="1">
      <c r="AJ7511"/>
    </row>
    <row r="7512" spans="36:36" ht="11.25" customHeight="1">
      <c r="AJ7512"/>
    </row>
    <row r="7513" spans="36:36" ht="11.25" customHeight="1">
      <c r="AJ7513"/>
    </row>
    <row r="7514" spans="36:36" ht="11.25" customHeight="1">
      <c r="AJ7514"/>
    </row>
    <row r="7515" spans="36:36" ht="11.25" customHeight="1">
      <c r="AJ7515"/>
    </row>
    <row r="7516" spans="36:36" ht="11.25" customHeight="1">
      <c r="AJ7516"/>
    </row>
    <row r="7517" spans="36:36" ht="11.25" customHeight="1">
      <c r="AJ7517"/>
    </row>
    <row r="7518" spans="36:36" ht="11.25" customHeight="1">
      <c r="AJ7518"/>
    </row>
    <row r="7519" spans="36:36" ht="11.25" customHeight="1">
      <c r="AJ7519"/>
    </row>
    <row r="7520" spans="36:36" ht="11.25" customHeight="1">
      <c r="AJ7520"/>
    </row>
    <row r="7521" spans="36:36" ht="11.25" customHeight="1">
      <c r="AJ7521"/>
    </row>
    <row r="7522" spans="36:36" ht="11.25" customHeight="1">
      <c r="AJ7522"/>
    </row>
    <row r="7523" spans="36:36" ht="11.25" customHeight="1">
      <c r="AJ7523"/>
    </row>
    <row r="7524" spans="36:36" ht="11.25" customHeight="1">
      <c r="AJ7524"/>
    </row>
    <row r="7525" spans="36:36" ht="11.25" customHeight="1">
      <c r="AJ7525"/>
    </row>
    <row r="7526" spans="36:36" ht="11.25" customHeight="1">
      <c r="AJ7526"/>
    </row>
    <row r="7527" spans="36:36" ht="11.25" customHeight="1">
      <c r="AJ7527"/>
    </row>
    <row r="7528" spans="36:36" ht="11.25" customHeight="1">
      <c r="AJ7528"/>
    </row>
    <row r="7529" spans="36:36" ht="11.25" customHeight="1">
      <c r="AJ7529"/>
    </row>
    <row r="7530" spans="36:36" ht="11.25" customHeight="1">
      <c r="AJ7530"/>
    </row>
    <row r="7531" spans="36:36" ht="11.25" customHeight="1">
      <c r="AJ7531"/>
    </row>
    <row r="7532" spans="36:36" ht="11.25" customHeight="1">
      <c r="AJ7532"/>
    </row>
    <row r="7533" spans="36:36" ht="11.25" customHeight="1">
      <c r="AJ7533"/>
    </row>
    <row r="7534" spans="36:36" ht="11.25" customHeight="1">
      <c r="AJ7534"/>
    </row>
    <row r="7535" spans="36:36" ht="11.25" customHeight="1">
      <c r="AJ7535"/>
    </row>
    <row r="7536" spans="36:36" ht="11.25" customHeight="1">
      <c r="AJ7536"/>
    </row>
    <row r="7537" spans="36:36" ht="11.25" customHeight="1">
      <c r="AJ7537"/>
    </row>
    <row r="7538" spans="36:36" ht="11.25" customHeight="1">
      <c r="AJ7538"/>
    </row>
    <row r="7539" spans="36:36" ht="11.25" customHeight="1">
      <c r="AJ7539"/>
    </row>
    <row r="7540" spans="36:36" ht="11.25" customHeight="1">
      <c r="AJ7540"/>
    </row>
    <row r="7541" spans="36:36" ht="11.25" customHeight="1">
      <c r="AJ7541"/>
    </row>
    <row r="7542" spans="36:36" ht="11.25" customHeight="1">
      <c r="AJ7542"/>
    </row>
    <row r="7543" spans="36:36" ht="11.25" customHeight="1">
      <c r="AJ7543"/>
    </row>
    <row r="7544" spans="36:36" ht="11.25" customHeight="1">
      <c r="AJ7544"/>
    </row>
    <row r="7545" spans="36:36" ht="11.25" customHeight="1">
      <c r="AJ7545"/>
    </row>
    <row r="7546" spans="36:36" ht="11.25" customHeight="1">
      <c r="AJ7546"/>
    </row>
    <row r="7547" spans="36:36" ht="11.25" customHeight="1">
      <c r="AJ7547"/>
    </row>
    <row r="7548" spans="36:36" ht="11.25" customHeight="1">
      <c r="AJ7548"/>
    </row>
    <row r="7549" spans="36:36" ht="11.25" customHeight="1">
      <c r="AJ7549"/>
    </row>
    <row r="7550" spans="36:36" ht="11.25" customHeight="1">
      <c r="AJ7550"/>
    </row>
    <row r="7551" spans="36:36" ht="11.25" customHeight="1">
      <c r="AJ7551"/>
    </row>
    <row r="7552" spans="36:36" ht="11.25" customHeight="1">
      <c r="AJ7552"/>
    </row>
    <row r="7553" spans="36:36" ht="11.25" customHeight="1">
      <c r="AJ7553"/>
    </row>
    <row r="7554" spans="36:36" ht="11.25" customHeight="1">
      <c r="AJ7554"/>
    </row>
    <row r="7555" spans="36:36" ht="11.25" customHeight="1">
      <c r="AJ7555"/>
    </row>
    <row r="7556" spans="36:36" ht="11.25" customHeight="1">
      <c r="AJ7556"/>
    </row>
    <row r="7557" spans="36:36" ht="11.25" customHeight="1">
      <c r="AJ7557"/>
    </row>
    <row r="7558" spans="36:36" ht="11.25" customHeight="1">
      <c r="AJ7558"/>
    </row>
    <row r="7559" spans="36:36" ht="11.25" customHeight="1">
      <c r="AJ7559"/>
    </row>
    <row r="7560" spans="36:36" ht="11.25" customHeight="1">
      <c r="AJ7560"/>
    </row>
    <row r="7561" spans="36:36" ht="11.25" customHeight="1">
      <c r="AJ7561"/>
    </row>
    <row r="7562" spans="36:36" ht="11.25" customHeight="1">
      <c r="AJ7562"/>
    </row>
    <row r="7563" spans="36:36" ht="11.25" customHeight="1">
      <c r="AJ7563"/>
    </row>
    <row r="7564" spans="36:36" ht="11.25" customHeight="1">
      <c r="AJ7564"/>
    </row>
    <row r="7565" spans="36:36" ht="11.25" customHeight="1">
      <c r="AJ7565"/>
    </row>
    <row r="7566" spans="36:36" ht="11.25" customHeight="1">
      <c r="AJ7566"/>
    </row>
    <row r="7567" spans="36:36" ht="11.25" customHeight="1">
      <c r="AJ7567"/>
    </row>
    <row r="7568" spans="36:36" ht="11.25" customHeight="1">
      <c r="AJ7568"/>
    </row>
    <row r="7569" spans="36:36" ht="11.25" customHeight="1">
      <c r="AJ7569"/>
    </row>
    <row r="7570" spans="36:36" ht="11.25" customHeight="1">
      <c r="AJ7570"/>
    </row>
    <row r="7571" spans="36:36" ht="11.25" customHeight="1">
      <c r="AJ7571"/>
    </row>
    <row r="7572" spans="36:36" ht="11.25" customHeight="1">
      <c r="AJ7572"/>
    </row>
    <row r="7573" spans="36:36" ht="11.25" customHeight="1">
      <c r="AJ7573"/>
    </row>
    <row r="7574" spans="36:36" ht="11.25" customHeight="1">
      <c r="AJ7574"/>
    </row>
    <row r="7575" spans="36:36" ht="11.25" customHeight="1">
      <c r="AJ7575"/>
    </row>
    <row r="7576" spans="36:36" ht="11.25" customHeight="1">
      <c r="AJ7576"/>
    </row>
    <row r="7577" spans="36:36" ht="11.25" customHeight="1">
      <c r="AJ7577"/>
    </row>
    <row r="7578" spans="36:36" ht="11.25" customHeight="1">
      <c r="AJ7578"/>
    </row>
    <row r="7579" spans="36:36" ht="11.25" customHeight="1">
      <c r="AJ7579"/>
    </row>
    <row r="7580" spans="36:36" ht="11.25" customHeight="1">
      <c r="AJ7580"/>
    </row>
    <row r="7581" spans="36:36" ht="11.25" customHeight="1">
      <c r="AJ7581"/>
    </row>
    <row r="7582" spans="36:36" ht="11.25" customHeight="1">
      <c r="AJ7582"/>
    </row>
    <row r="7583" spans="36:36" ht="11.25" customHeight="1">
      <c r="AJ7583"/>
    </row>
    <row r="7584" spans="36:36" ht="11.25" customHeight="1">
      <c r="AJ7584"/>
    </row>
    <row r="7585" spans="36:36" ht="11.25" customHeight="1">
      <c r="AJ7585"/>
    </row>
    <row r="7586" spans="36:36" ht="11.25" customHeight="1">
      <c r="AJ7586"/>
    </row>
    <row r="7587" spans="36:36" ht="11.25" customHeight="1">
      <c r="AJ7587"/>
    </row>
    <row r="7588" spans="36:36" ht="11.25" customHeight="1">
      <c r="AJ7588"/>
    </row>
    <row r="7589" spans="36:36" ht="11.25" customHeight="1">
      <c r="AJ7589"/>
    </row>
    <row r="7590" spans="36:36" ht="11.25" customHeight="1">
      <c r="AJ7590"/>
    </row>
    <row r="7591" spans="36:36" ht="11.25" customHeight="1">
      <c r="AJ7591"/>
    </row>
    <row r="7592" spans="36:36" ht="11.25" customHeight="1">
      <c r="AJ7592"/>
    </row>
    <row r="7593" spans="36:36" ht="11.25" customHeight="1">
      <c r="AJ7593"/>
    </row>
    <row r="7594" spans="36:36" ht="11.25" customHeight="1">
      <c r="AJ7594"/>
    </row>
    <row r="7595" spans="36:36" ht="11.25" customHeight="1">
      <c r="AJ7595"/>
    </row>
    <row r="7596" spans="36:36" ht="11.25" customHeight="1">
      <c r="AJ7596"/>
    </row>
    <row r="7597" spans="36:36" ht="11.25" customHeight="1">
      <c r="AJ7597"/>
    </row>
    <row r="7598" spans="36:36" ht="11.25" customHeight="1">
      <c r="AJ7598"/>
    </row>
    <row r="7599" spans="36:36" ht="11.25" customHeight="1">
      <c r="AJ7599"/>
    </row>
    <row r="7600" spans="36:36" ht="11.25" customHeight="1">
      <c r="AJ7600"/>
    </row>
    <row r="7601" spans="36:36" ht="11.25" customHeight="1">
      <c r="AJ7601"/>
    </row>
    <row r="7602" spans="36:36" ht="11.25" customHeight="1">
      <c r="AJ7602"/>
    </row>
    <row r="7603" spans="36:36" ht="11.25" customHeight="1">
      <c r="AJ7603"/>
    </row>
    <row r="7604" spans="36:36" ht="11.25" customHeight="1">
      <c r="AJ7604"/>
    </row>
    <row r="7605" spans="36:36" ht="11.25" customHeight="1">
      <c r="AJ7605"/>
    </row>
    <row r="7606" spans="36:36" ht="11.25" customHeight="1">
      <c r="AJ7606"/>
    </row>
    <row r="7607" spans="36:36" ht="11.25" customHeight="1">
      <c r="AJ7607"/>
    </row>
    <row r="7608" spans="36:36" ht="11.25" customHeight="1">
      <c r="AJ7608"/>
    </row>
    <row r="7609" spans="36:36" ht="11.25" customHeight="1">
      <c r="AJ7609"/>
    </row>
    <row r="7610" spans="36:36" ht="11.25" customHeight="1">
      <c r="AJ7610"/>
    </row>
    <row r="7611" spans="36:36" ht="11.25" customHeight="1">
      <c r="AJ7611"/>
    </row>
    <row r="7612" spans="36:36" ht="11.25" customHeight="1">
      <c r="AJ7612"/>
    </row>
    <row r="7613" spans="36:36" ht="11.25" customHeight="1">
      <c r="AJ7613"/>
    </row>
    <row r="7614" spans="36:36" ht="11.25" customHeight="1">
      <c r="AJ7614"/>
    </row>
    <row r="7615" spans="36:36" ht="11.25" customHeight="1">
      <c r="AJ7615"/>
    </row>
    <row r="7616" spans="36:36" ht="11.25" customHeight="1">
      <c r="AJ7616"/>
    </row>
    <row r="7617" spans="36:36" ht="11.25" customHeight="1">
      <c r="AJ7617"/>
    </row>
    <row r="7618" spans="36:36" ht="11.25" customHeight="1">
      <c r="AJ7618"/>
    </row>
    <row r="7619" spans="36:36" ht="11.25" customHeight="1">
      <c r="AJ7619"/>
    </row>
    <row r="7620" spans="36:36" ht="11.25" customHeight="1">
      <c r="AJ7620"/>
    </row>
    <row r="7621" spans="36:36" ht="11.25" customHeight="1">
      <c r="AJ7621"/>
    </row>
    <row r="7622" spans="36:36" ht="11.25" customHeight="1">
      <c r="AJ7622"/>
    </row>
    <row r="7623" spans="36:36" ht="11.25" customHeight="1">
      <c r="AJ7623"/>
    </row>
    <row r="7624" spans="36:36" ht="11.25" customHeight="1">
      <c r="AJ7624"/>
    </row>
    <row r="7625" spans="36:36" ht="11.25" customHeight="1">
      <c r="AJ7625"/>
    </row>
    <row r="7626" spans="36:36" ht="11.25" customHeight="1">
      <c r="AJ7626"/>
    </row>
    <row r="7627" spans="36:36" ht="11.25" customHeight="1">
      <c r="AJ7627"/>
    </row>
    <row r="7628" spans="36:36" ht="11.25" customHeight="1">
      <c r="AJ7628"/>
    </row>
    <row r="7629" spans="36:36" ht="11.25" customHeight="1">
      <c r="AJ7629"/>
    </row>
    <row r="7630" spans="36:36" ht="11.25" customHeight="1">
      <c r="AJ7630"/>
    </row>
    <row r="7631" spans="36:36" ht="11.25" customHeight="1">
      <c r="AJ7631"/>
    </row>
    <row r="7632" spans="36:36" ht="11.25" customHeight="1">
      <c r="AJ7632"/>
    </row>
    <row r="7633" spans="36:36" ht="11.25" customHeight="1">
      <c r="AJ7633"/>
    </row>
    <row r="7634" spans="36:36" ht="11.25" customHeight="1">
      <c r="AJ7634"/>
    </row>
    <row r="7635" spans="36:36" ht="11.25" customHeight="1">
      <c r="AJ7635"/>
    </row>
    <row r="7636" spans="36:36" ht="11.25" customHeight="1">
      <c r="AJ7636"/>
    </row>
    <row r="7637" spans="36:36" ht="11.25" customHeight="1">
      <c r="AJ7637"/>
    </row>
    <row r="7638" spans="36:36" ht="11.25" customHeight="1">
      <c r="AJ7638"/>
    </row>
    <row r="7639" spans="36:36" ht="11.25" customHeight="1">
      <c r="AJ7639"/>
    </row>
    <row r="7640" spans="36:36" ht="11.25" customHeight="1">
      <c r="AJ7640"/>
    </row>
    <row r="7641" spans="36:36" ht="11.25" customHeight="1">
      <c r="AJ7641"/>
    </row>
    <row r="7642" spans="36:36" ht="11.25" customHeight="1">
      <c r="AJ7642"/>
    </row>
    <row r="7643" spans="36:36" ht="11.25" customHeight="1">
      <c r="AJ7643"/>
    </row>
    <row r="7644" spans="36:36" ht="11.25" customHeight="1">
      <c r="AJ7644"/>
    </row>
    <row r="7645" spans="36:36" ht="11.25" customHeight="1">
      <c r="AJ7645"/>
    </row>
    <row r="7646" spans="36:36" ht="11.25" customHeight="1">
      <c r="AJ7646"/>
    </row>
    <row r="7647" spans="36:36" ht="11.25" customHeight="1">
      <c r="AJ7647"/>
    </row>
    <row r="7648" spans="36:36" ht="11.25" customHeight="1">
      <c r="AJ7648"/>
    </row>
    <row r="7649" spans="36:36" ht="11.25" customHeight="1">
      <c r="AJ7649"/>
    </row>
    <row r="7650" spans="36:36" ht="11.25" customHeight="1">
      <c r="AJ7650"/>
    </row>
    <row r="7651" spans="36:36" ht="11.25" customHeight="1">
      <c r="AJ7651"/>
    </row>
    <row r="7652" spans="36:36" ht="11.25" customHeight="1">
      <c r="AJ7652"/>
    </row>
    <row r="7653" spans="36:36" ht="11.25" customHeight="1">
      <c r="AJ7653"/>
    </row>
    <row r="7654" spans="36:36" ht="11.25" customHeight="1">
      <c r="AJ7654"/>
    </row>
    <row r="7655" spans="36:36" ht="11.25" customHeight="1">
      <c r="AJ7655"/>
    </row>
    <row r="7656" spans="36:36" ht="11.25" customHeight="1">
      <c r="AJ7656"/>
    </row>
    <row r="7657" spans="36:36" ht="11.25" customHeight="1">
      <c r="AJ7657"/>
    </row>
    <row r="7658" spans="36:36" ht="11.25" customHeight="1">
      <c r="AJ7658"/>
    </row>
    <row r="7659" spans="36:36" ht="11.25" customHeight="1">
      <c r="AJ7659"/>
    </row>
    <row r="7660" spans="36:36" ht="11.25" customHeight="1">
      <c r="AJ7660"/>
    </row>
    <row r="7661" spans="36:36" ht="11.25" customHeight="1">
      <c r="AJ7661"/>
    </row>
    <row r="7662" spans="36:36" ht="11.25" customHeight="1">
      <c r="AJ7662"/>
    </row>
    <row r="7663" spans="36:36" ht="11.25" customHeight="1">
      <c r="AJ7663"/>
    </row>
    <row r="7664" spans="36:36" ht="11.25" customHeight="1">
      <c r="AJ7664"/>
    </row>
    <row r="7665" spans="36:36" ht="11.25" customHeight="1">
      <c r="AJ7665"/>
    </row>
    <row r="7666" spans="36:36" ht="11.25" customHeight="1">
      <c r="AJ7666"/>
    </row>
    <row r="7667" spans="36:36" ht="11.25" customHeight="1">
      <c r="AJ7667"/>
    </row>
    <row r="7668" spans="36:36" ht="11.25" customHeight="1">
      <c r="AJ7668"/>
    </row>
    <row r="7669" spans="36:36" ht="11.25" customHeight="1">
      <c r="AJ7669"/>
    </row>
    <row r="7670" spans="36:36" ht="11.25" customHeight="1">
      <c r="AJ7670"/>
    </row>
    <row r="7671" spans="36:36" ht="11.25" customHeight="1">
      <c r="AJ7671"/>
    </row>
    <row r="7672" spans="36:36" ht="11.25" customHeight="1">
      <c r="AJ7672"/>
    </row>
    <row r="7673" spans="36:36" ht="11.25" customHeight="1">
      <c r="AJ7673"/>
    </row>
    <row r="7674" spans="36:36" ht="11.25" customHeight="1">
      <c r="AJ7674"/>
    </row>
    <row r="7675" spans="36:36" ht="11.25" customHeight="1">
      <c r="AJ7675"/>
    </row>
    <row r="7676" spans="36:36" ht="11.25" customHeight="1">
      <c r="AJ7676"/>
    </row>
    <row r="7677" spans="36:36" ht="11.25" customHeight="1">
      <c r="AJ7677"/>
    </row>
    <row r="7678" spans="36:36" ht="11.25" customHeight="1">
      <c r="AJ7678"/>
    </row>
    <row r="7679" spans="36:36" ht="11.25" customHeight="1">
      <c r="AJ7679"/>
    </row>
    <row r="7680" spans="36:36" ht="11.25" customHeight="1">
      <c r="AJ7680"/>
    </row>
    <row r="7681" spans="36:36" ht="11.25" customHeight="1">
      <c r="AJ7681"/>
    </row>
    <row r="7682" spans="36:36" ht="11.25" customHeight="1">
      <c r="AJ7682"/>
    </row>
    <row r="7683" spans="36:36" ht="11.25" customHeight="1">
      <c r="AJ7683"/>
    </row>
    <row r="7684" spans="36:36" ht="11.25" customHeight="1">
      <c r="AJ7684"/>
    </row>
    <row r="7685" spans="36:36" ht="11.25" customHeight="1">
      <c r="AJ7685"/>
    </row>
    <row r="7686" spans="36:36" ht="11.25" customHeight="1">
      <c r="AJ7686"/>
    </row>
    <row r="7687" spans="36:36" ht="11.25" customHeight="1">
      <c r="AJ7687"/>
    </row>
    <row r="7688" spans="36:36" ht="11.25" customHeight="1">
      <c r="AJ7688"/>
    </row>
    <row r="7689" spans="36:36" ht="11.25" customHeight="1">
      <c r="AJ7689"/>
    </row>
    <row r="7690" spans="36:36" ht="11.25" customHeight="1">
      <c r="AJ7690"/>
    </row>
    <row r="7691" spans="36:36" ht="11.25" customHeight="1">
      <c r="AJ7691"/>
    </row>
    <row r="7692" spans="36:36" ht="11.25" customHeight="1">
      <c r="AJ7692"/>
    </row>
    <row r="7693" spans="36:36" ht="11.25" customHeight="1">
      <c r="AJ7693"/>
    </row>
    <row r="7694" spans="36:36" ht="11.25" customHeight="1">
      <c r="AJ7694"/>
    </row>
    <row r="7695" spans="36:36" ht="11.25" customHeight="1">
      <c r="AJ7695"/>
    </row>
    <row r="7696" spans="36:36" ht="11.25" customHeight="1">
      <c r="AJ7696"/>
    </row>
    <row r="7697" spans="36:36" ht="11.25" customHeight="1">
      <c r="AJ7697"/>
    </row>
    <row r="7698" spans="36:36" ht="11.25" customHeight="1">
      <c r="AJ7698"/>
    </row>
    <row r="7699" spans="36:36" ht="11.25" customHeight="1">
      <c r="AJ7699"/>
    </row>
    <row r="7700" spans="36:36" ht="11.25" customHeight="1">
      <c r="AJ7700"/>
    </row>
    <row r="7701" spans="36:36" ht="11.25" customHeight="1">
      <c r="AJ7701"/>
    </row>
    <row r="7702" spans="36:36" ht="11.25" customHeight="1">
      <c r="AJ7702"/>
    </row>
    <row r="7703" spans="36:36" ht="11.25" customHeight="1">
      <c r="AJ7703"/>
    </row>
    <row r="7704" spans="36:36" ht="11.25" customHeight="1">
      <c r="AJ7704"/>
    </row>
    <row r="7705" spans="36:36" ht="11.25" customHeight="1">
      <c r="AJ7705"/>
    </row>
    <row r="7706" spans="36:36" ht="11.25" customHeight="1">
      <c r="AJ7706"/>
    </row>
    <row r="7707" spans="36:36" ht="11.25" customHeight="1">
      <c r="AJ7707"/>
    </row>
    <row r="7708" spans="36:36" ht="11.25" customHeight="1">
      <c r="AJ7708"/>
    </row>
    <row r="7709" spans="36:36" ht="11.25" customHeight="1">
      <c r="AJ7709"/>
    </row>
    <row r="7710" spans="36:36" ht="11.25" customHeight="1">
      <c r="AJ7710"/>
    </row>
    <row r="7711" spans="36:36" ht="11.25" customHeight="1">
      <c r="AJ7711"/>
    </row>
    <row r="7712" spans="36:36" ht="11.25" customHeight="1">
      <c r="AJ7712"/>
    </row>
    <row r="7713" spans="36:36" ht="11.25" customHeight="1">
      <c r="AJ7713"/>
    </row>
    <row r="7714" spans="36:36" ht="11.25" customHeight="1">
      <c r="AJ7714"/>
    </row>
    <row r="7715" spans="36:36" ht="11.25" customHeight="1">
      <c r="AJ7715"/>
    </row>
    <row r="7716" spans="36:36" ht="11.25" customHeight="1">
      <c r="AJ7716"/>
    </row>
    <row r="7717" spans="36:36" ht="11.25" customHeight="1">
      <c r="AJ7717"/>
    </row>
    <row r="7718" spans="36:36" ht="11.25" customHeight="1">
      <c r="AJ7718"/>
    </row>
    <row r="7719" spans="36:36" ht="11.25" customHeight="1">
      <c r="AJ7719"/>
    </row>
    <row r="7720" spans="36:36" ht="11.25" customHeight="1">
      <c r="AJ7720"/>
    </row>
    <row r="7721" spans="36:36" ht="11.25" customHeight="1">
      <c r="AJ7721"/>
    </row>
    <row r="7722" spans="36:36" ht="11.25" customHeight="1">
      <c r="AJ7722"/>
    </row>
    <row r="7723" spans="36:36" ht="11.25" customHeight="1">
      <c r="AJ7723"/>
    </row>
    <row r="7724" spans="36:36" ht="11.25" customHeight="1">
      <c r="AJ7724"/>
    </row>
    <row r="7725" spans="36:36" ht="11.25" customHeight="1">
      <c r="AJ7725"/>
    </row>
    <row r="7726" spans="36:36" ht="11.25" customHeight="1">
      <c r="AJ7726"/>
    </row>
    <row r="7727" spans="36:36" ht="11.25" customHeight="1">
      <c r="AJ7727"/>
    </row>
    <row r="7728" spans="36:36" ht="11.25" customHeight="1">
      <c r="AJ7728"/>
    </row>
    <row r="7729" spans="36:36" ht="11.25" customHeight="1">
      <c r="AJ7729"/>
    </row>
    <row r="7730" spans="36:36" ht="11.25" customHeight="1">
      <c r="AJ7730"/>
    </row>
    <row r="7731" spans="36:36" ht="11.25" customHeight="1">
      <c r="AJ7731"/>
    </row>
    <row r="7732" spans="36:36" ht="11.25" customHeight="1">
      <c r="AJ7732"/>
    </row>
    <row r="7733" spans="36:36" ht="11.25" customHeight="1">
      <c r="AJ7733"/>
    </row>
    <row r="7734" spans="36:36" ht="11.25" customHeight="1">
      <c r="AJ7734"/>
    </row>
    <row r="7735" spans="36:36" ht="11.25" customHeight="1">
      <c r="AJ7735"/>
    </row>
    <row r="7736" spans="36:36" ht="11.25" customHeight="1">
      <c r="AJ7736"/>
    </row>
    <row r="7737" spans="36:36" ht="11.25" customHeight="1">
      <c r="AJ7737"/>
    </row>
    <row r="7738" spans="36:36" ht="11.25" customHeight="1">
      <c r="AJ7738"/>
    </row>
    <row r="7739" spans="36:36" ht="11.25" customHeight="1">
      <c r="AJ7739"/>
    </row>
    <row r="7740" spans="36:36" ht="11.25" customHeight="1">
      <c r="AJ7740"/>
    </row>
    <row r="7741" spans="36:36" ht="11.25" customHeight="1">
      <c r="AJ7741"/>
    </row>
    <row r="7742" spans="36:36" ht="11.25" customHeight="1">
      <c r="AJ7742"/>
    </row>
    <row r="7743" spans="36:36" ht="11.25" customHeight="1">
      <c r="AJ7743"/>
    </row>
    <row r="7744" spans="36:36" ht="11.25" customHeight="1">
      <c r="AJ7744"/>
    </row>
    <row r="7745" spans="36:36" ht="11.25" customHeight="1">
      <c r="AJ7745"/>
    </row>
    <row r="7746" spans="36:36" ht="11.25" customHeight="1">
      <c r="AJ7746"/>
    </row>
    <row r="7747" spans="36:36" ht="11.25" customHeight="1">
      <c r="AJ7747"/>
    </row>
    <row r="7748" spans="36:36" ht="11.25" customHeight="1">
      <c r="AJ7748"/>
    </row>
    <row r="7749" spans="36:36" ht="11.25" customHeight="1">
      <c r="AJ7749"/>
    </row>
    <row r="7750" spans="36:36" ht="11.25" customHeight="1">
      <c r="AJ7750"/>
    </row>
    <row r="7751" spans="36:36" ht="11.25" customHeight="1">
      <c r="AJ7751"/>
    </row>
    <row r="7752" spans="36:36" ht="11.25" customHeight="1">
      <c r="AJ7752"/>
    </row>
    <row r="7753" spans="36:36" ht="11.25" customHeight="1">
      <c r="AJ7753"/>
    </row>
    <row r="7754" spans="36:36" ht="11.25" customHeight="1">
      <c r="AJ7754"/>
    </row>
    <row r="7755" spans="36:36" ht="11.25" customHeight="1">
      <c r="AJ7755"/>
    </row>
    <row r="7756" spans="36:36" ht="11.25" customHeight="1">
      <c r="AJ7756"/>
    </row>
    <row r="7757" spans="36:36" ht="11.25" customHeight="1">
      <c r="AJ7757"/>
    </row>
    <row r="7758" spans="36:36" ht="11.25" customHeight="1">
      <c r="AJ7758"/>
    </row>
    <row r="7759" spans="36:36" ht="11.25" customHeight="1">
      <c r="AJ7759"/>
    </row>
    <row r="7760" spans="36:36" ht="11.25" customHeight="1">
      <c r="AJ7760"/>
    </row>
    <row r="7761" spans="36:36" ht="11.25" customHeight="1">
      <c r="AJ7761"/>
    </row>
    <row r="7762" spans="36:36" ht="11.25" customHeight="1">
      <c r="AJ7762"/>
    </row>
    <row r="7763" spans="36:36" ht="11.25" customHeight="1">
      <c r="AJ7763"/>
    </row>
    <row r="7764" spans="36:36" ht="11.25" customHeight="1">
      <c r="AJ7764"/>
    </row>
    <row r="7765" spans="36:36" ht="11.25" customHeight="1">
      <c r="AJ7765"/>
    </row>
    <row r="7766" spans="36:36" ht="11.25" customHeight="1">
      <c r="AJ7766"/>
    </row>
    <row r="7767" spans="36:36" ht="11.25" customHeight="1">
      <c r="AJ7767"/>
    </row>
    <row r="7768" spans="36:36" ht="11.25" customHeight="1">
      <c r="AJ7768"/>
    </row>
    <row r="7769" spans="36:36" ht="11.25" customHeight="1">
      <c r="AJ7769"/>
    </row>
    <row r="7770" spans="36:36" ht="11.25" customHeight="1">
      <c r="AJ7770"/>
    </row>
    <row r="7771" spans="36:36" ht="11.25" customHeight="1">
      <c r="AJ7771"/>
    </row>
    <row r="7772" spans="36:36" ht="11.25" customHeight="1">
      <c r="AJ7772"/>
    </row>
    <row r="7773" spans="36:36" ht="11.25" customHeight="1">
      <c r="AJ7773"/>
    </row>
    <row r="7774" spans="36:36" ht="11.25" customHeight="1">
      <c r="AJ7774"/>
    </row>
    <row r="7775" spans="36:36" ht="11.25" customHeight="1">
      <c r="AJ7775"/>
    </row>
    <row r="7776" spans="36:36" ht="11.25" customHeight="1">
      <c r="AJ7776"/>
    </row>
    <row r="7777" spans="36:36" ht="11.25" customHeight="1">
      <c r="AJ7777"/>
    </row>
    <row r="7778" spans="36:36" ht="11.25" customHeight="1">
      <c r="AJ7778"/>
    </row>
    <row r="7779" spans="36:36" ht="11.25" customHeight="1">
      <c r="AJ7779"/>
    </row>
    <row r="7780" spans="36:36" ht="11.25" customHeight="1">
      <c r="AJ7780"/>
    </row>
    <row r="7781" spans="36:36" ht="11.25" customHeight="1">
      <c r="AJ7781"/>
    </row>
    <row r="7782" spans="36:36" ht="11.25" customHeight="1">
      <c r="AJ7782"/>
    </row>
    <row r="7783" spans="36:36" ht="11.25" customHeight="1">
      <c r="AJ7783"/>
    </row>
    <row r="7784" spans="36:36" ht="11.25" customHeight="1">
      <c r="AJ7784"/>
    </row>
    <row r="7785" spans="36:36" ht="11.25" customHeight="1">
      <c r="AJ7785"/>
    </row>
    <row r="7786" spans="36:36" ht="11.25" customHeight="1">
      <c r="AJ7786"/>
    </row>
    <row r="7787" spans="36:36" ht="11.25" customHeight="1">
      <c r="AJ7787"/>
    </row>
    <row r="7788" spans="36:36" ht="11.25" customHeight="1">
      <c r="AJ7788"/>
    </row>
    <row r="7789" spans="36:36" ht="11.25" customHeight="1">
      <c r="AJ7789"/>
    </row>
    <row r="7790" spans="36:36" ht="11.25" customHeight="1">
      <c r="AJ7790"/>
    </row>
    <row r="7791" spans="36:36" ht="11.25" customHeight="1">
      <c r="AJ7791"/>
    </row>
    <row r="7792" spans="36:36" ht="11.25" customHeight="1">
      <c r="AJ7792"/>
    </row>
    <row r="7793" spans="36:36" ht="11.25" customHeight="1">
      <c r="AJ7793"/>
    </row>
    <row r="7794" spans="36:36" ht="11.25" customHeight="1">
      <c r="AJ7794"/>
    </row>
    <row r="7795" spans="36:36" ht="11.25" customHeight="1">
      <c r="AJ7795"/>
    </row>
    <row r="7796" spans="36:36" ht="11.25" customHeight="1">
      <c r="AJ7796"/>
    </row>
    <row r="7797" spans="36:36" ht="11.25" customHeight="1">
      <c r="AJ7797"/>
    </row>
    <row r="7798" spans="36:36" ht="11.25" customHeight="1">
      <c r="AJ7798"/>
    </row>
    <row r="7799" spans="36:36" ht="11.25" customHeight="1">
      <c r="AJ7799"/>
    </row>
    <row r="7800" spans="36:36" ht="11.25" customHeight="1">
      <c r="AJ7800"/>
    </row>
    <row r="7801" spans="36:36" ht="11.25" customHeight="1">
      <c r="AJ7801"/>
    </row>
    <row r="7802" spans="36:36" ht="11.25" customHeight="1">
      <c r="AJ7802"/>
    </row>
    <row r="7803" spans="36:36" ht="11.25" customHeight="1">
      <c r="AJ7803"/>
    </row>
    <row r="7804" spans="36:36" ht="11.25" customHeight="1">
      <c r="AJ7804"/>
    </row>
    <row r="7805" spans="36:36" ht="11.25" customHeight="1">
      <c r="AJ7805"/>
    </row>
    <row r="7806" spans="36:36" ht="11.25" customHeight="1">
      <c r="AJ7806"/>
    </row>
    <row r="7807" spans="36:36" ht="11.25" customHeight="1">
      <c r="AJ7807"/>
    </row>
    <row r="7808" spans="36:36" ht="11.25" customHeight="1">
      <c r="AJ7808"/>
    </row>
    <row r="7809" spans="36:36" ht="11.25" customHeight="1">
      <c r="AJ7809"/>
    </row>
    <row r="7810" spans="36:36" ht="11.25" customHeight="1">
      <c r="AJ7810"/>
    </row>
    <row r="7811" spans="36:36" ht="11.25" customHeight="1">
      <c r="AJ7811"/>
    </row>
    <row r="7812" spans="36:36" ht="11.25" customHeight="1">
      <c r="AJ7812"/>
    </row>
    <row r="7813" spans="36:36" ht="11.25" customHeight="1">
      <c r="AJ7813"/>
    </row>
    <row r="7814" spans="36:36" ht="11.25" customHeight="1">
      <c r="AJ7814"/>
    </row>
    <row r="7815" spans="36:36" ht="11.25" customHeight="1">
      <c r="AJ7815"/>
    </row>
    <row r="7816" spans="36:36" ht="11.25" customHeight="1">
      <c r="AJ7816"/>
    </row>
    <row r="7817" spans="36:36" ht="11.25" customHeight="1">
      <c r="AJ7817"/>
    </row>
    <row r="7818" spans="36:36" ht="11.25" customHeight="1">
      <c r="AJ7818"/>
    </row>
    <row r="7819" spans="36:36" ht="11.25" customHeight="1">
      <c r="AJ7819"/>
    </row>
    <row r="7820" spans="36:36" ht="11.25" customHeight="1">
      <c r="AJ7820"/>
    </row>
    <row r="7821" spans="36:36" ht="11.25" customHeight="1">
      <c r="AJ7821"/>
    </row>
    <row r="7822" spans="36:36" ht="11.25" customHeight="1">
      <c r="AJ7822"/>
    </row>
    <row r="7823" spans="36:36" ht="11.25" customHeight="1">
      <c r="AJ7823"/>
    </row>
    <row r="7824" spans="36:36" ht="11.25" customHeight="1">
      <c r="AJ7824"/>
    </row>
    <row r="7825" spans="36:36" ht="11.25" customHeight="1">
      <c r="AJ7825"/>
    </row>
    <row r="7826" spans="36:36" ht="11.25" customHeight="1">
      <c r="AJ7826"/>
    </row>
    <row r="7827" spans="36:36" ht="11.25" customHeight="1">
      <c r="AJ7827"/>
    </row>
    <row r="7828" spans="36:36" ht="11.25" customHeight="1">
      <c r="AJ7828"/>
    </row>
    <row r="7829" spans="36:36" ht="11.25" customHeight="1">
      <c r="AJ7829"/>
    </row>
    <row r="7830" spans="36:36" ht="11.25" customHeight="1">
      <c r="AJ7830"/>
    </row>
    <row r="7831" spans="36:36" ht="11.25" customHeight="1">
      <c r="AJ7831"/>
    </row>
    <row r="7832" spans="36:36" ht="11.25" customHeight="1">
      <c r="AJ7832"/>
    </row>
    <row r="7833" spans="36:36" ht="11.25" customHeight="1">
      <c r="AJ7833"/>
    </row>
    <row r="7834" spans="36:36" ht="11.25" customHeight="1">
      <c r="AJ7834"/>
    </row>
    <row r="7835" spans="36:36" ht="11.25" customHeight="1">
      <c r="AJ7835"/>
    </row>
    <row r="7836" spans="36:36" ht="11.25" customHeight="1">
      <c r="AJ7836"/>
    </row>
    <row r="7837" spans="36:36" ht="11.25" customHeight="1">
      <c r="AJ7837"/>
    </row>
    <row r="7838" spans="36:36" ht="11.25" customHeight="1">
      <c r="AJ7838"/>
    </row>
    <row r="7839" spans="36:36" ht="11.25" customHeight="1">
      <c r="AJ7839"/>
    </row>
    <row r="7840" spans="36:36" ht="11.25" customHeight="1">
      <c r="AJ7840"/>
    </row>
    <row r="7841" spans="36:36" ht="11.25" customHeight="1">
      <c r="AJ7841"/>
    </row>
    <row r="7842" spans="36:36" ht="11.25" customHeight="1">
      <c r="AJ7842"/>
    </row>
    <row r="7843" spans="36:36" ht="11.25" customHeight="1">
      <c r="AJ7843"/>
    </row>
    <row r="7844" spans="36:36" ht="11.25" customHeight="1">
      <c r="AJ7844"/>
    </row>
    <row r="7845" spans="36:36" ht="11.25" customHeight="1">
      <c r="AJ7845"/>
    </row>
    <row r="7846" spans="36:36" ht="11.25" customHeight="1">
      <c r="AJ7846"/>
    </row>
    <row r="7847" spans="36:36" ht="11.25" customHeight="1">
      <c r="AJ7847"/>
    </row>
    <row r="7848" spans="36:36" ht="11.25" customHeight="1">
      <c r="AJ7848"/>
    </row>
    <row r="7849" spans="36:36" ht="11.25" customHeight="1">
      <c r="AJ7849"/>
    </row>
    <row r="7850" spans="36:36" ht="11.25" customHeight="1">
      <c r="AJ7850"/>
    </row>
    <row r="7851" spans="36:36" ht="11.25" customHeight="1">
      <c r="AJ7851"/>
    </row>
    <row r="7852" spans="36:36" ht="11.25" customHeight="1">
      <c r="AJ7852"/>
    </row>
    <row r="7853" spans="36:36" ht="11.25" customHeight="1">
      <c r="AJ7853"/>
    </row>
    <row r="7854" spans="36:36" ht="11.25" customHeight="1">
      <c r="AJ7854"/>
    </row>
    <row r="7855" spans="36:36" ht="11.25" customHeight="1">
      <c r="AJ7855"/>
    </row>
    <row r="7856" spans="36:36" ht="11.25" customHeight="1">
      <c r="AJ7856"/>
    </row>
    <row r="7857" spans="36:36" ht="11.25" customHeight="1">
      <c r="AJ7857"/>
    </row>
    <row r="7858" spans="36:36" ht="11.25" customHeight="1">
      <c r="AJ7858"/>
    </row>
    <row r="7859" spans="36:36" ht="11.25" customHeight="1">
      <c r="AJ7859"/>
    </row>
    <row r="7860" spans="36:36" ht="11.25" customHeight="1">
      <c r="AJ7860"/>
    </row>
    <row r="7861" spans="36:36" ht="11.25" customHeight="1">
      <c r="AJ7861"/>
    </row>
    <row r="7862" spans="36:36" ht="11.25" customHeight="1">
      <c r="AJ7862"/>
    </row>
    <row r="7863" spans="36:36" ht="11.25" customHeight="1">
      <c r="AJ7863"/>
    </row>
    <row r="7864" spans="36:36" ht="11.25" customHeight="1">
      <c r="AJ7864"/>
    </row>
    <row r="7865" spans="36:36" ht="11.25" customHeight="1">
      <c r="AJ7865"/>
    </row>
    <row r="7866" spans="36:36" ht="11.25" customHeight="1">
      <c r="AJ7866"/>
    </row>
    <row r="7867" spans="36:36" ht="11.25" customHeight="1">
      <c r="AJ7867"/>
    </row>
    <row r="7868" spans="36:36" ht="11.25" customHeight="1">
      <c r="AJ7868"/>
    </row>
    <row r="7869" spans="36:36" ht="11.25" customHeight="1">
      <c r="AJ7869"/>
    </row>
    <row r="7870" spans="36:36" ht="11.25" customHeight="1">
      <c r="AJ7870"/>
    </row>
    <row r="7871" spans="36:36" ht="11.25" customHeight="1">
      <c r="AJ7871"/>
    </row>
    <row r="7872" spans="36:36" ht="11.25" customHeight="1">
      <c r="AJ7872"/>
    </row>
    <row r="7873" spans="36:36" ht="11.25" customHeight="1">
      <c r="AJ7873"/>
    </row>
    <row r="7874" spans="36:36" ht="11.25" customHeight="1">
      <c r="AJ7874"/>
    </row>
    <row r="7875" spans="36:36" ht="11.25" customHeight="1">
      <c r="AJ7875"/>
    </row>
    <row r="7876" spans="36:36" ht="11.25" customHeight="1">
      <c r="AJ7876"/>
    </row>
    <row r="7877" spans="36:36" ht="11.25" customHeight="1">
      <c r="AJ7877"/>
    </row>
    <row r="7878" spans="36:36" ht="11.25" customHeight="1">
      <c r="AJ7878"/>
    </row>
    <row r="7879" spans="36:36" ht="11.25" customHeight="1">
      <c r="AJ7879"/>
    </row>
    <row r="7880" spans="36:36" ht="11.25" customHeight="1">
      <c r="AJ7880"/>
    </row>
    <row r="7881" spans="36:36" ht="11.25" customHeight="1">
      <c r="AJ7881"/>
    </row>
    <row r="7882" spans="36:36" ht="11.25" customHeight="1">
      <c r="AJ7882"/>
    </row>
    <row r="7883" spans="36:36" ht="11.25" customHeight="1">
      <c r="AJ7883"/>
    </row>
    <row r="7884" spans="36:36" ht="11.25" customHeight="1">
      <c r="AJ7884"/>
    </row>
    <row r="7885" spans="36:36" ht="11.25" customHeight="1">
      <c r="AJ7885"/>
    </row>
    <row r="7886" spans="36:36" ht="11.25" customHeight="1">
      <c r="AJ7886"/>
    </row>
    <row r="7887" spans="36:36" ht="11.25" customHeight="1">
      <c r="AJ7887"/>
    </row>
    <row r="7888" spans="36:36" ht="11.25" customHeight="1">
      <c r="AJ7888"/>
    </row>
    <row r="7889" spans="36:36" ht="11.25" customHeight="1">
      <c r="AJ7889"/>
    </row>
    <row r="7890" spans="36:36" ht="11.25" customHeight="1">
      <c r="AJ7890"/>
    </row>
    <row r="7891" spans="36:36" ht="11.25" customHeight="1">
      <c r="AJ7891"/>
    </row>
    <row r="7892" spans="36:36" ht="11.25" customHeight="1">
      <c r="AJ7892"/>
    </row>
    <row r="7893" spans="36:36" ht="11.25" customHeight="1">
      <c r="AJ7893"/>
    </row>
    <row r="7894" spans="36:36" ht="11.25" customHeight="1">
      <c r="AJ7894"/>
    </row>
    <row r="7895" spans="36:36" ht="11.25" customHeight="1">
      <c r="AJ7895"/>
    </row>
    <row r="7896" spans="36:36" ht="11.25" customHeight="1">
      <c r="AJ7896"/>
    </row>
    <row r="7897" spans="36:36" ht="11.25" customHeight="1">
      <c r="AJ7897"/>
    </row>
    <row r="7898" spans="36:36" ht="11.25" customHeight="1">
      <c r="AJ7898"/>
    </row>
    <row r="7899" spans="36:36" ht="11.25" customHeight="1">
      <c r="AJ7899"/>
    </row>
    <row r="7900" spans="36:36" ht="11.25" customHeight="1">
      <c r="AJ7900"/>
    </row>
    <row r="7901" spans="36:36" ht="11.25" customHeight="1">
      <c r="AJ7901"/>
    </row>
    <row r="7902" spans="36:36" ht="11.25" customHeight="1">
      <c r="AJ7902"/>
    </row>
    <row r="7903" spans="36:36" ht="11.25" customHeight="1">
      <c r="AJ7903"/>
    </row>
    <row r="7904" spans="36:36" ht="11.25" customHeight="1">
      <c r="AJ7904"/>
    </row>
    <row r="7905" spans="36:36" ht="11.25" customHeight="1">
      <c r="AJ7905"/>
    </row>
    <row r="7906" spans="36:36" ht="11.25" customHeight="1">
      <c r="AJ7906"/>
    </row>
    <row r="7907" spans="36:36" ht="11.25" customHeight="1">
      <c r="AJ7907"/>
    </row>
    <row r="7908" spans="36:36" ht="11.25" customHeight="1">
      <c r="AJ7908"/>
    </row>
    <row r="7909" spans="36:36" ht="11.25" customHeight="1">
      <c r="AJ7909"/>
    </row>
    <row r="7910" spans="36:36" ht="11.25" customHeight="1">
      <c r="AJ7910"/>
    </row>
    <row r="7911" spans="36:36" ht="11.25" customHeight="1">
      <c r="AJ7911"/>
    </row>
    <row r="7912" spans="36:36" ht="11.25" customHeight="1">
      <c r="AJ7912"/>
    </row>
    <row r="7913" spans="36:36" ht="11.25" customHeight="1">
      <c r="AJ7913"/>
    </row>
    <row r="7914" spans="36:36" ht="11.25" customHeight="1">
      <c r="AJ7914"/>
    </row>
    <row r="7915" spans="36:36" ht="11.25" customHeight="1">
      <c r="AJ7915"/>
    </row>
    <row r="7916" spans="36:36" ht="11.25" customHeight="1">
      <c r="AJ7916"/>
    </row>
    <row r="7917" spans="36:36" ht="11.25" customHeight="1">
      <c r="AJ7917"/>
    </row>
    <row r="7918" spans="36:36" ht="11.25" customHeight="1">
      <c r="AJ7918"/>
    </row>
    <row r="7919" spans="36:36" ht="11.25" customHeight="1">
      <c r="AJ7919"/>
    </row>
    <row r="7920" spans="36:36" ht="11.25" customHeight="1">
      <c r="AJ7920"/>
    </row>
    <row r="7921" spans="36:36" ht="11.25" customHeight="1">
      <c r="AJ7921"/>
    </row>
    <row r="7922" spans="36:36" ht="11.25" customHeight="1">
      <c r="AJ7922"/>
    </row>
    <row r="7923" spans="36:36" ht="11.25" customHeight="1">
      <c r="AJ7923"/>
    </row>
    <row r="7924" spans="36:36" ht="11.25" customHeight="1">
      <c r="AJ7924"/>
    </row>
    <row r="7925" spans="36:36" ht="11.25" customHeight="1">
      <c r="AJ7925"/>
    </row>
    <row r="7926" spans="36:36" ht="11.25" customHeight="1">
      <c r="AJ7926"/>
    </row>
    <row r="7927" spans="36:36" ht="11.25" customHeight="1">
      <c r="AJ7927"/>
    </row>
    <row r="7928" spans="36:36" ht="11.25" customHeight="1">
      <c r="AJ7928"/>
    </row>
    <row r="7929" spans="36:36" ht="11.25" customHeight="1">
      <c r="AJ7929"/>
    </row>
    <row r="7930" spans="36:36" ht="11.25" customHeight="1">
      <c r="AJ7930"/>
    </row>
    <row r="7931" spans="36:36" ht="11.25" customHeight="1">
      <c r="AJ7931"/>
    </row>
    <row r="7932" spans="36:36" ht="11.25" customHeight="1">
      <c r="AJ7932"/>
    </row>
    <row r="7933" spans="36:36" ht="11.25" customHeight="1">
      <c r="AJ7933"/>
    </row>
    <row r="7934" spans="36:36" ht="11.25" customHeight="1">
      <c r="AJ7934"/>
    </row>
    <row r="7935" spans="36:36" ht="11.25" customHeight="1">
      <c r="AJ7935"/>
    </row>
    <row r="7936" spans="36:36" ht="11.25" customHeight="1">
      <c r="AJ7936"/>
    </row>
    <row r="7937" spans="36:36" ht="11.25" customHeight="1">
      <c r="AJ7937"/>
    </row>
    <row r="7938" spans="36:36" ht="11.25" customHeight="1">
      <c r="AJ7938"/>
    </row>
    <row r="7939" spans="36:36" ht="11.25" customHeight="1">
      <c r="AJ7939"/>
    </row>
    <row r="7940" spans="36:36" ht="11.25" customHeight="1">
      <c r="AJ7940"/>
    </row>
    <row r="7941" spans="36:36" ht="11.25" customHeight="1">
      <c r="AJ7941"/>
    </row>
    <row r="7942" spans="36:36" ht="11.25" customHeight="1">
      <c r="AJ7942"/>
    </row>
    <row r="7943" spans="36:36" ht="11.25" customHeight="1">
      <c r="AJ7943"/>
    </row>
    <row r="7944" spans="36:36" ht="11.25" customHeight="1">
      <c r="AJ7944"/>
    </row>
    <row r="7945" spans="36:36" ht="11.25" customHeight="1">
      <c r="AJ7945"/>
    </row>
    <row r="7946" spans="36:36" ht="11.25" customHeight="1">
      <c r="AJ7946"/>
    </row>
    <row r="7947" spans="36:36" ht="11.25" customHeight="1">
      <c r="AJ7947"/>
    </row>
    <row r="7948" spans="36:36" ht="11.25" customHeight="1">
      <c r="AJ7948"/>
    </row>
    <row r="7949" spans="36:36" ht="11.25" customHeight="1">
      <c r="AJ7949"/>
    </row>
    <row r="7950" spans="36:36" ht="11.25" customHeight="1">
      <c r="AJ7950"/>
    </row>
    <row r="7951" spans="36:36" ht="11.25" customHeight="1">
      <c r="AJ7951"/>
    </row>
    <row r="7952" spans="36:36" ht="11.25" customHeight="1">
      <c r="AJ7952"/>
    </row>
    <row r="7953" spans="36:36" ht="11.25" customHeight="1">
      <c r="AJ7953"/>
    </row>
    <row r="7954" spans="36:36" ht="11.25" customHeight="1">
      <c r="AJ7954"/>
    </row>
    <row r="7955" spans="36:36" ht="11.25" customHeight="1">
      <c r="AJ7955"/>
    </row>
    <row r="7956" spans="36:36" ht="11.25" customHeight="1">
      <c r="AJ7956"/>
    </row>
    <row r="7957" spans="36:36" ht="11.25" customHeight="1">
      <c r="AJ7957"/>
    </row>
    <row r="7958" spans="36:36" ht="11.25" customHeight="1">
      <c r="AJ7958"/>
    </row>
    <row r="7959" spans="36:36" ht="11.25" customHeight="1">
      <c r="AJ7959"/>
    </row>
    <row r="7960" spans="36:36" ht="11.25" customHeight="1">
      <c r="AJ7960"/>
    </row>
    <row r="7961" spans="36:36" ht="11.25" customHeight="1">
      <c r="AJ7961"/>
    </row>
    <row r="7962" spans="36:36" ht="11.25" customHeight="1">
      <c r="AJ7962"/>
    </row>
    <row r="7963" spans="36:36" ht="11.25" customHeight="1">
      <c r="AJ7963"/>
    </row>
    <row r="7964" spans="36:36" ht="11.25" customHeight="1">
      <c r="AJ7964"/>
    </row>
    <row r="7965" spans="36:36" ht="11.25" customHeight="1">
      <c r="AJ7965"/>
    </row>
    <row r="7966" spans="36:36" ht="11.25" customHeight="1">
      <c r="AJ7966"/>
    </row>
    <row r="7967" spans="36:36" ht="11.25" customHeight="1">
      <c r="AJ7967"/>
    </row>
    <row r="7968" spans="36:36" ht="11.25" customHeight="1">
      <c r="AJ7968"/>
    </row>
    <row r="7969" spans="36:36" ht="11.25" customHeight="1">
      <c r="AJ7969"/>
    </row>
    <row r="7970" spans="36:36" ht="11.25" customHeight="1">
      <c r="AJ7970"/>
    </row>
    <row r="7971" spans="36:36" ht="11.25" customHeight="1">
      <c r="AJ7971"/>
    </row>
    <row r="7972" spans="36:36" ht="11.25" customHeight="1">
      <c r="AJ7972"/>
    </row>
    <row r="7973" spans="36:36" ht="11.25" customHeight="1">
      <c r="AJ7973"/>
    </row>
    <row r="7974" spans="36:36" ht="11.25" customHeight="1">
      <c r="AJ7974"/>
    </row>
    <row r="7975" spans="36:36" ht="11.25" customHeight="1">
      <c r="AJ7975"/>
    </row>
    <row r="7976" spans="36:36" ht="11.25" customHeight="1">
      <c r="AJ7976"/>
    </row>
    <row r="7977" spans="36:36" ht="11.25" customHeight="1">
      <c r="AJ7977"/>
    </row>
    <row r="7978" spans="36:36" ht="11.25" customHeight="1">
      <c r="AJ7978"/>
    </row>
    <row r="7979" spans="36:36" ht="11.25" customHeight="1">
      <c r="AJ7979"/>
    </row>
    <row r="7980" spans="36:36" ht="11.25" customHeight="1">
      <c r="AJ7980"/>
    </row>
    <row r="7981" spans="36:36" ht="11.25" customHeight="1">
      <c r="AJ7981"/>
    </row>
    <row r="7982" spans="36:36" ht="11.25" customHeight="1">
      <c r="AJ7982"/>
    </row>
    <row r="7983" spans="36:36" ht="11.25" customHeight="1">
      <c r="AJ7983"/>
    </row>
    <row r="7984" spans="36:36" ht="11.25" customHeight="1">
      <c r="AJ7984"/>
    </row>
    <row r="7985" spans="36:36" ht="11.25" customHeight="1">
      <c r="AJ7985"/>
    </row>
    <row r="7986" spans="36:36" ht="11.25" customHeight="1">
      <c r="AJ7986"/>
    </row>
    <row r="7987" spans="36:36" ht="11.25" customHeight="1">
      <c r="AJ7987"/>
    </row>
    <row r="7988" spans="36:36" ht="11.25" customHeight="1">
      <c r="AJ7988"/>
    </row>
    <row r="7989" spans="36:36" ht="11.25" customHeight="1">
      <c r="AJ7989"/>
    </row>
    <row r="7990" spans="36:36" ht="11.25" customHeight="1">
      <c r="AJ7990"/>
    </row>
    <row r="7991" spans="36:36" ht="11.25" customHeight="1">
      <c r="AJ7991"/>
    </row>
    <row r="7992" spans="36:36" ht="11.25" customHeight="1">
      <c r="AJ7992"/>
    </row>
    <row r="7993" spans="36:36" ht="11.25" customHeight="1">
      <c r="AJ7993"/>
    </row>
    <row r="7994" spans="36:36" ht="11.25" customHeight="1">
      <c r="AJ7994"/>
    </row>
    <row r="7995" spans="36:36" ht="11.25" customHeight="1">
      <c r="AJ7995"/>
    </row>
    <row r="7996" spans="36:36" ht="11.25" customHeight="1">
      <c r="AJ7996"/>
    </row>
    <row r="7997" spans="36:36" ht="11.25" customHeight="1">
      <c r="AJ7997"/>
    </row>
    <row r="7998" spans="36:36" ht="11.25" customHeight="1">
      <c r="AJ7998"/>
    </row>
    <row r="7999" spans="36:36" ht="11.25" customHeight="1">
      <c r="AJ7999"/>
    </row>
    <row r="8000" spans="36:36" ht="11.25" customHeight="1">
      <c r="AJ8000"/>
    </row>
    <row r="8001" spans="36:36" ht="11.25" customHeight="1">
      <c r="AJ8001"/>
    </row>
    <row r="8002" spans="36:36" ht="11.25" customHeight="1">
      <c r="AJ8002"/>
    </row>
    <row r="8003" spans="36:36" ht="11.25" customHeight="1">
      <c r="AJ8003"/>
    </row>
    <row r="8004" spans="36:36" ht="11.25" customHeight="1">
      <c r="AJ8004"/>
    </row>
    <row r="8005" spans="36:36" ht="11.25" customHeight="1">
      <c r="AJ8005"/>
    </row>
    <row r="8006" spans="36:36" ht="11.25" customHeight="1">
      <c r="AJ8006"/>
    </row>
    <row r="8007" spans="36:36" ht="11.25" customHeight="1">
      <c r="AJ8007"/>
    </row>
    <row r="8008" spans="36:36" ht="11.25" customHeight="1">
      <c r="AJ8008"/>
    </row>
    <row r="8009" spans="36:36" ht="11.25" customHeight="1">
      <c r="AJ8009"/>
    </row>
    <row r="8010" spans="36:36" ht="11.25" customHeight="1">
      <c r="AJ8010"/>
    </row>
    <row r="8011" spans="36:36" ht="11.25" customHeight="1">
      <c r="AJ8011"/>
    </row>
    <row r="8012" spans="36:36" ht="11.25" customHeight="1">
      <c r="AJ8012"/>
    </row>
    <row r="8013" spans="36:36" ht="11.25" customHeight="1">
      <c r="AJ8013"/>
    </row>
    <row r="8014" spans="36:36" ht="11.25" customHeight="1">
      <c r="AJ8014"/>
    </row>
    <row r="8015" spans="36:36" ht="11.25" customHeight="1">
      <c r="AJ8015"/>
    </row>
    <row r="8016" spans="36:36" ht="11.25" customHeight="1">
      <c r="AJ8016"/>
    </row>
    <row r="8017" spans="36:36" ht="11.25" customHeight="1">
      <c r="AJ8017"/>
    </row>
    <row r="8018" spans="36:36" ht="11.25" customHeight="1">
      <c r="AJ8018"/>
    </row>
    <row r="8019" spans="36:36" ht="11.25" customHeight="1">
      <c r="AJ8019"/>
    </row>
    <row r="8020" spans="36:36" ht="11.25" customHeight="1">
      <c r="AJ8020"/>
    </row>
    <row r="8021" spans="36:36" ht="11.25" customHeight="1">
      <c r="AJ8021"/>
    </row>
    <row r="8022" spans="36:36" ht="11.25" customHeight="1">
      <c r="AJ8022"/>
    </row>
    <row r="8023" spans="36:36" ht="11.25" customHeight="1">
      <c r="AJ8023"/>
    </row>
    <row r="8024" spans="36:36" ht="11.25" customHeight="1">
      <c r="AJ8024"/>
    </row>
    <row r="8025" spans="36:36" ht="11.25" customHeight="1">
      <c r="AJ8025"/>
    </row>
    <row r="8026" spans="36:36" ht="11.25" customHeight="1">
      <c r="AJ8026"/>
    </row>
    <row r="8027" spans="36:36" ht="11.25" customHeight="1">
      <c r="AJ8027"/>
    </row>
    <row r="8028" spans="36:36" ht="11.25" customHeight="1">
      <c r="AJ8028"/>
    </row>
    <row r="8029" spans="36:36" ht="11.25" customHeight="1">
      <c r="AJ8029"/>
    </row>
    <row r="8030" spans="36:36" ht="11.25" customHeight="1">
      <c r="AJ8030"/>
    </row>
    <row r="8031" spans="36:36" ht="11.25" customHeight="1">
      <c r="AJ8031"/>
    </row>
    <row r="8032" spans="36:36" ht="11.25" customHeight="1">
      <c r="AJ8032"/>
    </row>
    <row r="8033" spans="36:36" ht="11.25" customHeight="1">
      <c r="AJ8033"/>
    </row>
    <row r="8034" spans="36:36" ht="11.25" customHeight="1">
      <c r="AJ8034"/>
    </row>
    <row r="8035" spans="36:36" ht="11.25" customHeight="1">
      <c r="AJ8035"/>
    </row>
    <row r="8036" spans="36:36" ht="11.25" customHeight="1">
      <c r="AJ8036"/>
    </row>
    <row r="8037" spans="36:36" ht="11.25" customHeight="1">
      <c r="AJ8037"/>
    </row>
    <row r="8038" spans="36:36" ht="11.25" customHeight="1">
      <c r="AJ8038"/>
    </row>
    <row r="8039" spans="36:36" ht="11.25" customHeight="1">
      <c r="AJ8039"/>
    </row>
    <row r="8040" spans="36:36" ht="11.25" customHeight="1">
      <c r="AJ8040"/>
    </row>
    <row r="8041" spans="36:36" ht="11.25" customHeight="1">
      <c r="AJ8041"/>
    </row>
    <row r="8042" spans="36:36" ht="11.25" customHeight="1">
      <c r="AJ8042"/>
    </row>
    <row r="8043" spans="36:36" ht="11.25" customHeight="1">
      <c r="AJ8043"/>
    </row>
    <row r="8044" spans="36:36" ht="11.25" customHeight="1">
      <c r="AJ8044"/>
    </row>
    <row r="8045" spans="36:36" ht="11.25" customHeight="1">
      <c r="AJ8045"/>
    </row>
    <row r="8046" spans="36:36" ht="11.25" customHeight="1">
      <c r="AJ8046"/>
    </row>
    <row r="8047" spans="36:36" ht="11.25" customHeight="1">
      <c r="AJ8047"/>
    </row>
    <row r="8048" spans="36:36" ht="11.25" customHeight="1">
      <c r="AJ8048"/>
    </row>
    <row r="8049" spans="36:36" ht="11.25" customHeight="1">
      <c r="AJ8049"/>
    </row>
    <row r="8050" spans="36:36" ht="11.25" customHeight="1">
      <c r="AJ8050"/>
    </row>
    <row r="8051" spans="36:36" ht="11.25" customHeight="1">
      <c r="AJ8051"/>
    </row>
    <row r="8052" spans="36:36" ht="11.25" customHeight="1">
      <c r="AJ8052"/>
    </row>
    <row r="8053" spans="36:36" ht="11.25" customHeight="1">
      <c r="AJ8053"/>
    </row>
    <row r="8054" spans="36:36" ht="11.25" customHeight="1">
      <c r="AJ8054"/>
    </row>
    <row r="8055" spans="36:36" ht="11.25" customHeight="1">
      <c r="AJ8055"/>
    </row>
    <row r="8056" spans="36:36" ht="11.25" customHeight="1">
      <c r="AJ8056"/>
    </row>
    <row r="8057" spans="36:36" ht="11.25" customHeight="1">
      <c r="AJ8057"/>
    </row>
    <row r="8058" spans="36:36" ht="11.25" customHeight="1">
      <c r="AJ8058"/>
    </row>
    <row r="8059" spans="36:36" ht="11.25" customHeight="1">
      <c r="AJ8059"/>
    </row>
    <row r="8060" spans="36:36" ht="11.25" customHeight="1">
      <c r="AJ8060"/>
    </row>
    <row r="8061" spans="36:36" ht="11.25" customHeight="1">
      <c r="AJ8061"/>
    </row>
    <row r="8062" spans="36:36" ht="11.25" customHeight="1">
      <c r="AJ8062"/>
    </row>
    <row r="8063" spans="36:36" ht="11.25" customHeight="1">
      <c r="AJ8063"/>
    </row>
    <row r="8064" spans="36:36" ht="11.25" customHeight="1">
      <c r="AJ8064"/>
    </row>
    <row r="8065" spans="36:36" ht="11.25" customHeight="1">
      <c r="AJ8065"/>
    </row>
    <row r="8066" spans="36:36" ht="11.25" customHeight="1">
      <c r="AJ8066"/>
    </row>
    <row r="8067" spans="36:36" ht="11.25" customHeight="1">
      <c r="AJ8067"/>
    </row>
    <row r="8068" spans="36:36" ht="11.25" customHeight="1">
      <c r="AJ8068"/>
    </row>
    <row r="8069" spans="36:36" ht="11.25" customHeight="1">
      <c r="AJ8069"/>
    </row>
    <row r="8070" spans="36:36" ht="11.25" customHeight="1">
      <c r="AJ8070"/>
    </row>
    <row r="8071" spans="36:36" ht="11.25" customHeight="1">
      <c r="AJ8071"/>
    </row>
    <row r="8072" spans="36:36" ht="11.25" customHeight="1">
      <c r="AJ8072"/>
    </row>
    <row r="8073" spans="36:36" ht="11.25" customHeight="1">
      <c r="AJ8073"/>
    </row>
    <row r="8074" spans="36:36" ht="11.25" customHeight="1">
      <c r="AJ8074"/>
    </row>
    <row r="8075" spans="36:36" ht="11.25" customHeight="1">
      <c r="AJ8075"/>
    </row>
    <row r="8076" spans="36:36" ht="11.25" customHeight="1">
      <c r="AJ8076"/>
    </row>
    <row r="8077" spans="36:36" ht="11.25" customHeight="1">
      <c r="AJ8077"/>
    </row>
    <row r="8078" spans="36:36" ht="11.25" customHeight="1">
      <c r="AJ8078"/>
    </row>
    <row r="8079" spans="36:36" ht="11.25" customHeight="1">
      <c r="AJ8079"/>
    </row>
    <row r="8080" spans="36:36" ht="11.25" customHeight="1">
      <c r="AJ8080"/>
    </row>
    <row r="8081" spans="36:36" ht="11.25" customHeight="1">
      <c r="AJ8081"/>
    </row>
    <row r="8082" spans="36:36" ht="11.25" customHeight="1">
      <c r="AJ8082"/>
    </row>
    <row r="8083" spans="36:36" ht="11.25" customHeight="1">
      <c r="AJ8083"/>
    </row>
    <row r="8084" spans="36:36" ht="11.25" customHeight="1">
      <c r="AJ8084"/>
    </row>
    <row r="8085" spans="36:36" ht="11.25" customHeight="1">
      <c r="AJ8085"/>
    </row>
    <row r="8086" spans="36:36" ht="11.25" customHeight="1">
      <c r="AJ8086"/>
    </row>
    <row r="8087" spans="36:36" ht="11.25" customHeight="1">
      <c r="AJ8087"/>
    </row>
    <row r="8088" spans="36:36" ht="11.25" customHeight="1">
      <c r="AJ8088"/>
    </row>
    <row r="8089" spans="36:36" ht="11.25" customHeight="1">
      <c r="AJ8089"/>
    </row>
    <row r="8090" spans="36:36" ht="11.25" customHeight="1">
      <c r="AJ8090"/>
    </row>
    <row r="8091" spans="36:36" ht="11.25" customHeight="1">
      <c r="AJ8091"/>
    </row>
    <row r="8092" spans="36:36" ht="11.25" customHeight="1">
      <c r="AJ8092"/>
    </row>
    <row r="8093" spans="36:36" ht="11.25" customHeight="1">
      <c r="AJ8093"/>
    </row>
    <row r="8094" spans="36:36" ht="11.25" customHeight="1">
      <c r="AJ8094"/>
    </row>
    <row r="8095" spans="36:36" ht="11.25" customHeight="1">
      <c r="AJ8095"/>
    </row>
    <row r="8096" spans="36:36" ht="11.25" customHeight="1">
      <c r="AJ8096"/>
    </row>
    <row r="8097" spans="36:36" ht="11.25" customHeight="1">
      <c r="AJ8097"/>
    </row>
    <row r="8098" spans="36:36" ht="11.25" customHeight="1">
      <c r="AJ8098"/>
    </row>
    <row r="8099" spans="36:36" ht="11.25" customHeight="1">
      <c r="AJ8099"/>
    </row>
    <row r="8100" spans="36:36" ht="11.25" customHeight="1">
      <c r="AJ8100"/>
    </row>
    <row r="8101" spans="36:36" ht="11.25" customHeight="1">
      <c r="AJ8101"/>
    </row>
    <row r="8102" spans="36:36" ht="11.25" customHeight="1">
      <c r="AJ8102"/>
    </row>
    <row r="8103" spans="36:36" ht="11.25" customHeight="1">
      <c r="AJ8103"/>
    </row>
    <row r="8104" spans="36:36" ht="11.25" customHeight="1">
      <c r="AJ8104"/>
    </row>
    <row r="8105" spans="36:36" ht="11.25" customHeight="1">
      <c r="AJ8105"/>
    </row>
    <row r="8106" spans="36:36" ht="11.25" customHeight="1">
      <c r="AJ8106"/>
    </row>
    <row r="8107" spans="36:36" ht="11.25" customHeight="1">
      <c r="AJ8107"/>
    </row>
    <row r="8108" spans="36:36" ht="11.25" customHeight="1">
      <c r="AJ8108"/>
    </row>
    <row r="8109" spans="36:36" ht="11.25" customHeight="1">
      <c r="AJ8109"/>
    </row>
    <row r="8110" spans="36:36" ht="11.25" customHeight="1">
      <c r="AJ8110"/>
    </row>
    <row r="8111" spans="36:36" ht="11.25" customHeight="1">
      <c r="AJ8111"/>
    </row>
    <row r="8112" spans="36:36" ht="11.25" customHeight="1">
      <c r="AJ8112"/>
    </row>
    <row r="8113" spans="36:36" ht="11.25" customHeight="1">
      <c r="AJ8113"/>
    </row>
    <row r="8114" spans="36:36" ht="11.25" customHeight="1">
      <c r="AJ8114"/>
    </row>
    <row r="8115" spans="36:36" ht="11.25" customHeight="1">
      <c r="AJ8115"/>
    </row>
    <row r="8116" spans="36:36" ht="11.25" customHeight="1">
      <c r="AJ8116"/>
    </row>
    <row r="8117" spans="36:36" ht="11.25" customHeight="1">
      <c r="AJ8117"/>
    </row>
    <row r="8118" spans="36:36" ht="11.25" customHeight="1">
      <c r="AJ8118"/>
    </row>
    <row r="8119" spans="36:36" ht="11.25" customHeight="1">
      <c r="AJ8119"/>
    </row>
    <row r="8120" spans="36:36" ht="11.25" customHeight="1">
      <c r="AJ8120"/>
    </row>
    <row r="8121" spans="36:36" ht="11.25" customHeight="1">
      <c r="AJ8121"/>
    </row>
    <row r="8122" spans="36:36" ht="11.25" customHeight="1">
      <c r="AJ8122"/>
    </row>
    <row r="8123" spans="36:36" ht="11.25" customHeight="1">
      <c r="AJ8123"/>
    </row>
    <row r="8124" spans="36:36" ht="11.25" customHeight="1">
      <c r="AJ8124"/>
    </row>
    <row r="8125" spans="36:36" ht="11.25" customHeight="1">
      <c r="AJ8125"/>
    </row>
    <row r="8126" spans="36:36" ht="11.25" customHeight="1">
      <c r="AJ8126"/>
    </row>
    <row r="8127" spans="36:36" ht="11.25" customHeight="1">
      <c r="AJ8127"/>
    </row>
    <row r="8128" spans="36:36" ht="11.25" customHeight="1">
      <c r="AJ8128"/>
    </row>
    <row r="8129" spans="36:36" ht="11.25" customHeight="1">
      <c r="AJ8129"/>
    </row>
    <row r="8130" spans="36:36" ht="11.25" customHeight="1">
      <c r="AJ8130"/>
    </row>
    <row r="8131" spans="36:36" ht="11.25" customHeight="1">
      <c r="AJ8131"/>
    </row>
    <row r="8132" spans="36:36" ht="11.25" customHeight="1">
      <c r="AJ8132"/>
    </row>
    <row r="8133" spans="36:36" ht="11.25" customHeight="1">
      <c r="AJ8133"/>
    </row>
    <row r="8134" spans="36:36" ht="11.25" customHeight="1">
      <c r="AJ8134"/>
    </row>
    <row r="8135" spans="36:36" ht="11.25" customHeight="1">
      <c r="AJ8135"/>
    </row>
    <row r="8136" spans="36:36" ht="11.25" customHeight="1">
      <c r="AJ8136"/>
    </row>
    <row r="8137" spans="36:36" ht="11.25" customHeight="1">
      <c r="AJ8137"/>
    </row>
    <row r="8138" spans="36:36" ht="11.25" customHeight="1">
      <c r="AJ8138"/>
    </row>
    <row r="8139" spans="36:36" ht="11.25" customHeight="1">
      <c r="AJ8139"/>
    </row>
    <row r="8140" spans="36:36" ht="11.25" customHeight="1">
      <c r="AJ8140"/>
    </row>
    <row r="8141" spans="36:36" ht="11.25" customHeight="1">
      <c r="AJ8141"/>
    </row>
    <row r="8142" spans="36:36" ht="11.25" customHeight="1">
      <c r="AJ8142"/>
    </row>
    <row r="8143" spans="36:36" ht="11.25" customHeight="1">
      <c r="AJ8143"/>
    </row>
    <row r="8144" spans="36:36" ht="11.25" customHeight="1">
      <c r="AJ8144"/>
    </row>
    <row r="8145" spans="36:36" ht="11.25" customHeight="1">
      <c r="AJ8145"/>
    </row>
    <row r="8146" spans="36:36" ht="11.25" customHeight="1">
      <c r="AJ8146"/>
    </row>
    <row r="8147" spans="36:36" ht="11.25" customHeight="1">
      <c r="AJ8147"/>
    </row>
    <row r="8148" spans="36:36" ht="11.25" customHeight="1">
      <c r="AJ8148"/>
    </row>
    <row r="8149" spans="36:36" ht="11.25" customHeight="1">
      <c r="AJ8149"/>
    </row>
    <row r="8150" spans="36:36" ht="11.25" customHeight="1">
      <c r="AJ8150"/>
    </row>
    <row r="8151" spans="36:36" ht="11.25" customHeight="1">
      <c r="AJ8151"/>
    </row>
    <row r="8152" spans="36:36" ht="11.25" customHeight="1">
      <c r="AJ8152"/>
    </row>
    <row r="8153" spans="36:36" ht="11.25" customHeight="1">
      <c r="AJ8153"/>
    </row>
    <row r="8154" spans="36:36" ht="11.25" customHeight="1">
      <c r="AJ8154"/>
    </row>
    <row r="8155" spans="36:36" ht="11.25" customHeight="1">
      <c r="AJ8155"/>
    </row>
    <row r="8156" spans="36:36" ht="11.25" customHeight="1">
      <c r="AJ8156"/>
    </row>
    <row r="8157" spans="36:36" ht="11.25" customHeight="1">
      <c r="AJ8157"/>
    </row>
    <row r="8158" spans="36:36" ht="11.25" customHeight="1">
      <c r="AJ8158"/>
    </row>
    <row r="8159" spans="36:36" ht="11.25" customHeight="1">
      <c r="AJ8159"/>
    </row>
    <row r="8160" spans="36:36" ht="11.25" customHeight="1">
      <c r="AJ8160"/>
    </row>
    <row r="8161" spans="36:36" ht="11.25" customHeight="1">
      <c r="AJ8161"/>
    </row>
    <row r="8162" spans="36:36" ht="11.25" customHeight="1">
      <c r="AJ8162"/>
    </row>
    <row r="8163" spans="36:36" ht="11.25" customHeight="1">
      <c r="AJ8163"/>
    </row>
    <row r="8164" spans="36:36" ht="11.25" customHeight="1">
      <c r="AJ8164"/>
    </row>
    <row r="8165" spans="36:36" ht="11.25" customHeight="1">
      <c r="AJ8165"/>
    </row>
    <row r="8166" spans="36:36" ht="11.25" customHeight="1">
      <c r="AJ8166"/>
    </row>
    <row r="8167" spans="36:36" ht="11.25" customHeight="1">
      <c r="AJ8167"/>
    </row>
    <row r="8168" spans="36:36" ht="11.25" customHeight="1">
      <c r="AJ8168"/>
    </row>
    <row r="8169" spans="36:36" ht="11.25" customHeight="1">
      <c r="AJ8169"/>
    </row>
    <row r="8170" spans="36:36" ht="11.25" customHeight="1">
      <c r="AJ8170"/>
    </row>
    <row r="8171" spans="36:36" ht="11.25" customHeight="1">
      <c r="AJ8171"/>
    </row>
    <row r="8172" spans="36:36" ht="11.25" customHeight="1">
      <c r="AJ8172"/>
    </row>
    <row r="8173" spans="36:36" ht="11.25" customHeight="1">
      <c r="AJ8173"/>
    </row>
    <row r="8174" spans="36:36" ht="11.25" customHeight="1">
      <c r="AJ8174"/>
    </row>
    <row r="8175" spans="36:36" ht="11.25" customHeight="1">
      <c r="AJ8175"/>
    </row>
    <row r="8176" spans="36:36" ht="11.25" customHeight="1">
      <c r="AJ8176"/>
    </row>
    <row r="8177" spans="36:36" ht="11.25" customHeight="1">
      <c r="AJ8177"/>
    </row>
    <row r="8178" spans="36:36" ht="11.25" customHeight="1">
      <c r="AJ8178"/>
    </row>
    <row r="8179" spans="36:36" ht="11.25" customHeight="1">
      <c r="AJ8179"/>
    </row>
    <row r="8180" spans="36:36" ht="11.25" customHeight="1">
      <c r="AJ8180"/>
    </row>
    <row r="8181" spans="36:36" ht="11.25" customHeight="1">
      <c r="AJ8181"/>
    </row>
    <row r="8182" spans="36:36" ht="11.25" customHeight="1">
      <c r="AJ8182"/>
    </row>
    <row r="8183" spans="36:36" ht="11.25" customHeight="1">
      <c r="AJ8183"/>
    </row>
    <row r="8184" spans="36:36" ht="11.25" customHeight="1">
      <c r="AJ8184"/>
    </row>
    <row r="8185" spans="36:36" ht="11.25" customHeight="1">
      <c r="AJ8185"/>
    </row>
    <row r="8186" spans="36:36" ht="11.25" customHeight="1">
      <c r="AJ8186"/>
    </row>
    <row r="8187" spans="36:36" ht="11.25" customHeight="1">
      <c r="AJ8187"/>
    </row>
    <row r="8188" spans="36:36" ht="11.25" customHeight="1">
      <c r="AJ8188"/>
    </row>
    <row r="8189" spans="36:36" ht="11.25" customHeight="1">
      <c r="AJ8189"/>
    </row>
    <row r="8190" spans="36:36" ht="11.25" customHeight="1">
      <c r="AJ8190"/>
    </row>
    <row r="8191" spans="36:36" ht="11.25" customHeight="1">
      <c r="AJ8191"/>
    </row>
    <row r="8192" spans="36:36" ht="11.25" customHeight="1">
      <c r="AJ8192"/>
    </row>
    <row r="8193" spans="36:36" ht="11.25" customHeight="1">
      <c r="AJ8193"/>
    </row>
    <row r="8194" spans="36:36" ht="11.25" customHeight="1">
      <c r="AJ8194"/>
    </row>
    <row r="8195" spans="36:36" ht="11.25" customHeight="1">
      <c r="AJ8195"/>
    </row>
    <row r="8196" spans="36:36" ht="11.25" customHeight="1">
      <c r="AJ8196"/>
    </row>
    <row r="8197" spans="36:36" ht="11.25" customHeight="1">
      <c r="AJ8197"/>
    </row>
    <row r="8198" spans="36:36" ht="11.25" customHeight="1">
      <c r="AJ8198"/>
    </row>
    <row r="8199" spans="36:36" ht="11.25" customHeight="1">
      <c r="AJ8199"/>
    </row>
    <row r="8200" spans="36:36" ht="11.25" customHeight="1">
      <c r="AJ8200"/>
    </row>
    <row r="8201" spans="36:36" ht="11.25" customHeight="1">
      <c r="AJ8201"/>
    </row>
    <row r="8202" spans="36:36" ht="11.25" customHeight="1">
      <c r="AJ8202"/>
    </row>
    <row r="8203" spans="36:36" ht="11.25" customHeight="1">
      <c r="AJ8203"/>
    </row>
    <row r="8204" spans="36:36" ht="11.25" customHeight="1">
      <c r="AJ8204"/>
    </row>
    <row r="8205" spans="36:36" ht="11.25" customHeight="1">
      <c r="AJ8205"/>
    </row>
    <row r="8206" spans="36:36" ht="11.25" customHeight="1">
      <c r="AJ8206"/>
    </row>
    <row r="8207" spans="36:36" ht="11.25" customHeight="1">
      <c r="AJ8207"/>
    </row>
    <row r="8208" spans="36:36" ht="11.25" customHeight="1">
      <c r="AJ8208"/>
    </row>
    <row r="8209" spans="36:36" ht="11.25" customHeight="1">
      <c r="AJ8209"/>
    </row>
    <row r="8210" spans="36:36" ht="11.25" customHeight="1">
      <c r="AJ8210"/>
    </row>
    <row r="8211" spans="36:36" ht="11.25" customHeight="1">
      <c r="AJ8211"/>
    </row>
    <row r="8212" spans="36:36" ht="11.25" customHeight="1">
      <c r="AJ8212"/>
    </row>
    <row r="8213" spans="36:36" ht="11.25" customHeight="1">
      <c r="AJ8213"/>
    </row>
    <row r="8214" spans="36:36" ht="11.25" customHeight="1">
      <c r="AJ8214"/>
    </row>
    <row r="8215" spans="36:36" ht="11.25" customHeight="1">
      <c r="AJ8215"/>
    </row>
    <row r="8216" spans="36:36" ht="11.25" customHeight="1">
      <c r="AJ8216"/>
    </row>
    <row r="8217" spans="36:36" ht="11.25" customHeight="1">
      <c r="AJ8217"/>
    </row>
    <row r="8218" spans="36:36" ht="11.25" customHeight="1">
      <c r="AJ8218"/>
    </row>
    <row r="8219" spans="36:36" ht="11.25" customHeight="1">
      <c r="AJ8219"/>
    </row>
    <row r="8220" spans="36:36" ht="11.25" customHeight="1">
      <c r="AJ8220"/>
    </row>
    <row r="8221" spans="36:36" ht="11.25" customHeight="1">
      <c r="AJ8221"/>
    </row>
    <row r="8222" spans="36:36" ht="11.25" customHeight="1">
      <c r="AJ8222"/>
    </row>
    <row r="8223" spans="36:36" ht="11.25" customHeight="1">
      <c r="AJ8223"/>
    </row>
    <row r="8224" spans="36:36" ht="11.25" customHeight="1">
      <c r="AJ8224"/>
    </row>
    <row r="8225" spans="36:36" ht="11.25" customHeight="1">
      <c r="AJ8225"/>
    </row>
    <row r="8226" spans="36:36" ht="11.25" customHeight="1">
      <c r="AJ8226"/>
    </row>
    <row r="8227" spans="36:36" ht="11.25" customHeight="1">
      <c r="AJ8227"/>
    </row>
    <row r="8228" spans="36:36" ht="11.25" customHeight="1">
      <c r="AJ8228"/>
    </row>
    <row r="8229" spans="36:36" ht="11.25" customHeight="1">
      <c r="AJ8229"/>
    </row>
    <row r="8230" spans="36:36" ht="11.25" customHeight="1">
      <c r="AJ8230"/>
    </row>
    <row r="8231" spans="36:36" ht="11.25" customHeight="1">
      <c r="AJ8231"/>
    </row>
    <row r="8232" spans="36:36" ht="11.25" customHeight="1">
      <c r="AJ8232"/>
    </row>
    <row r="8233" spans="36:36" ht="11.25" customHeight="1">
      <c r="AJ8233"/>
    </row>
    <row r="8234" spans="36:36" ht="11.25" customHeight="1">
      <c r="AJ8234"/>
    </row>
    <row r="8235" spans="36:36" ht="11.25" customHeight="1">
      <c r="AJ8235"/>
    </row>
    <row r="8236" spans="36:36" ht="11.25" customHeight="1">
      <c r="AJ8236"/>
    </row>
    <row r="8237" spans="36:36" ht="11.25" customHeight="1">
      <c r="AJ8237"/>
    </row>
    <row r="8238" spans="36:36" ht="11.25" customHeight="1">
      <c r="AJ8238"/>
    </row>
    <row r="8239" spans="36:36" ht="11.25" customHeight="1">
      <c r="AJ8239"/>
    </row>
    <row r="8240" spans="36:36" ht="11.25" customHeight="1">
      <c r="AJ8240"/>
    </row>
    <row r="8241" spans="36:36" ht="11.25" customHeight="1">
      <c r="AJ8241"/>
    </row>
    <row r="8242" spans="36:36" ht="11.25" customHeight="1">
      <c r="AJ8242"/>
    </row>
    <row r="8243" spans="36:36" ht="11.25" customHeight="1">
      <c r="AJ8243"/>
    </row>
    <row r="8244" spans="36:36" ht="11.25" customHeight="1">
      <c r="AJ8244"/>
    </row>
    <row r="8245" spans="36:36" ht="11.25" customHeight="1">
      <c r="AJ8245"/>
    </row>
    <row r="8246" spans="36:36" ht="11.25" customHeight="1">
      <c r="AJ8246"/>
    </row>
    <row r="8247" spans="36:36" ht="11.25" customHeight="1">
      <c r="AJ8247"/>
    </row>
    <row r="8248" spans="36:36" ht="11.25" customHeight="1">
      <c r="AJ8248"/>
    </row>
    <row r="8249" spans="36:36" ht="11.25" customHeight="1">
      <c r="AJ8249"/>
    </row>
    <row r="8250" spans="36:36" ht="11.25" customHeight="1">
      <c r="AJ8250"/>
    </row>
    <row r="8251" spans="36:36" ht="11.25" customHeight="1">
      <c r="AJ8251"/>
    </row>
    <row r="8252" spans="36:36" ht="11.25" customHeight="1">
      <c r="AJ8252"/>
    </row>
    <row r="8253" spans="36:36" ht="11.25" customHeight="1">
      <c r="AJ8253"/>
    </row>
    <row r="8254" spans="36:36" ht="11.25" customHeight="1">
      <c r="AJ8254"/>
    </row>
    <row r="8255" spans="36:36" ht="11.25" customHeight="1">
      <c r="AJ8255"/>
    </row>
    <row r="8256" spans="36:36" ht="11.25" customHeight="1">
      <c r="AJ8256"/>
    </row>
    <row r="8257" spans="36:36" ht="11.25" customHeight="1">
      <c r="AJ8257"/>
    </row>
    <row r="8258" spans="36:36" ht="11.25" customHeight="1">
      <c r="AJ8258"/>
    </row>
    <row r="8259" spans="36:36" ht="11.25" customHeight="1">
      <c r="AJ8259"/>
    </row>
    <row r="8260" spans="36:36" ht="11.25" customHeight="1">
      <c r="AJ8260"/>
    </row>
    <row r="8261" spans="36:36" ht="11.25" customHeight="1">
      <c r="AJ8261"/>
    </row>
    <row r="8262" spans="36:36" ht="11.25" customHeight="1">
      <c r="AJ8262"/>
    </row>
    <row r="8263" spans="36:36" ht="11.25" customHeight="1">
      <c r="AJ8263"/>
    </row>
    <row r="8264" spans="36:36" ht="11.25" customHeight="1">
      <c r="AJ8264"/>
    </row>
    <row r="8265" spans="36:36" ht="11.25" customHeight="1">
      <c r="AJ8265"/>
    </row>
    <row r="8266" spans="36:36" ht="11.25" customHeight="1">
      <c r="AJ8266"/>
    </row>
    <row r="8267" spans="36:36" ht="11.25" customHeight="1">
      <c r="AJ8267"/>
    </row>
    <row r="8268" spans="36:36" ht="11.25" customHeight="1">
      <c r="AJ8268"/>
    </row>
    <row r="8269" spans="36:36" ht="11.25" customHeight="1">
      <c r="AJ8269"/>
    </row>
    <row r="8270" spans="36:36" ht="11.25" customHeight="1">
      <c r="AJ8270"/>
    </row>
    <row r="8271" spans="36:36" ht="11.25" customHeight="1">
      <c r="AJ8271"/>
    </row>
    <row r="8272" spans="36:36" ht="11.25" customHeight="1">
      <c r="AJ8272"/>
    </row>
    <row r="8273" spans="36:36" ht="11.25" customHeight="1">
      <c r="AJ8273"/>
    </row>
    <row r="8274" spans="36:36" ht="11.25" customHeight="1">
      <c r="AJ8274"/>
    </row>
    <row r="8275" spans="36:36" ht="11.25" customHeight="1">
      <c r="AJ8275"/>
    </row>
    <row r="8276" spans="36:36" ht="11.25" customHeight="1">
      <c r="AJ8276"/>
    </row>
    <row r="8277" spans="36:36" ht="11.25" customHeight="1">
      <c r="AJ8277"/>
    </row>
    <row r="8278" spans="36:36" ht="11.25" customHeight="1">
      <c r="AJ8278"/>
    </row>
    <row r="8279" spans="36:36" ht="11.25" customHeight="1">
      <c r="AJ8279"/>
    </row>
    <row r="8280" spans="36:36" ht="11.25" customHeight="1">
      <c r="AJ8280"/>
    </row>
    <row r="8281" spans="36:36" ht="11.25" customHeight="1">
      <c r="AJ8281"/>
    </row>
    <row r="8282" spans="36:36" ht="11.25" customHeight="1">
      <c r="AJ8282"/>
    </row>
    <row r="8283" spans="36:36" ht="11.25" customHeight="1">
      <c r="AJ8283"/>
    </row>
    <row r="8284" spans="36:36" ht="11.25" customHeight="1">
      <c r="AJ8284"/>
    </row>
    <row r="8285" spans="36:36" ht="11.25" customHeight="1">
      <c r="AJ8285"/>
    </row>
    <row r="8286" spans="36:36" ht="11.25" customHeight="1">
      <c r="AJ8286"/>
    </row>
    <row r="8287" spans="36:36" ht="11.25" customHeight="1">
      <c r="AJ8287"/>
    </row>
    <row r="8288" spans="36:36" ht="11.25" customHeight="1">
      <c r="AJ8288"/>
    </row>
    <row r="8289" spans="36:36" ht="11.25" customHeight="1">
      <c r="AJ8289"/>
    </row>
    <row r="8290" spans="36:36" ht="11.25" customHeight="1">
      <c r="AJ8290"/>
    </row>
    <row r="8291" spans="36:36" ht="11.25" customHeight="1">
      <c r="AJ8291"/>
    </row>
    <row r="8292" spans="36:36" ht="11.25" customHeight="1">
      <c r="AJ8292"/>
    </row>
    <row r="8293" spans="36:36" ht="11.25" customHeight="1">
      <c r="AJ8293"/>
    </row>
    <row r="8294" spans="36:36" ht="11.25" customHeight="1">
      <c r="AJ8294"/>
    </row>
    <row r="8295" spans="36:36" ht="11.25" customHeight="1">
      <c r="AJ8295"/>
    </row>
    <row r="8296" spans="36:36" ht="11.25" customHeight="1">
      <c r="AJ8296"/>
    </row>
    <row r="8297" spans="36:36" ht="11.25" customHeight="1">
      <c r="AJ8297"/>
    </row>
    <row r="8298" spans="36:36" ht="11.25" customHeight="1">
      <c r="AJ8298"/>
    </row>
    <row r="8299" spans="36:36" ht="11.25" customHeight="1">
      <c r="AJ8299"/>
    </row>
    <row r="8300" spans="36:36" ht="11.25" customHeight="1">
      <c r="AJ8300"/>
    </row>
    <row r="8301" spans="36:36" ht="11.25" customHeight="1">
      <c r="AJ8301"/>
    </row>
    <row r="8302" spans="36:36" ht="11.25" customHeight="1">
      <c r="AJ8302"/>
    </row>
    <row r="8303" spans="36:36" ht="11.25" customHeight="1">
      <c r="AJ8303"/>
    </row>
    <row r="8304" spans="36:36" ht="11.25" customHeight="1">
      <c r="AJ8304"/>
    </row>
    <row r="8305" spans="36:36" ht="11.25" customHeight="1">
      <c r="AJ8305"/>
    </row>
    <row r="8306" spans="36:36" ht="11.25" customHeight="1">
      <c r="AJ8306"/>
    </row>
    <row r="8307" spans="36:36" ht="11.25" customHeight="1">
      <c r="AJ8307"/>
    </row>
    <row r="8308" spans="36:36" ht="11.25" customHeight="1">
      <c r="AJ8308"/>
    </row>
    <row r="8309" spans="36:36" ht="11.25" customHeight="1">
      <c r="AJ8309"/>
    </row>
    <row r="8310" spans="36:36" ht="11.25" customHeight="1">
      <c r="AJ8310"/>
    </row>
    <row r="8311" spans="36:36" ht="11.25" customHeight="1">
      <c r="AJ8311"/>
    </row>
    <row r="8312" spans="36:36" ht="11.25" customHeight="1">
      <c r="AJ8312"/>
    </row>
    <row r="8313" spans="36:36" ht="11.25" customHeight="1">
      <c r="AJ8313"/>
    </row>
    <row r="8314" spans="36:36" ht="11.25" customHeight="1">
      <c r="AJ8314"/>
    </row>
    <row r="8315" spans="36:36" ht="11.25" customHeight="1">
      <c r="AJ8315"/>
    </row>
    <row r="8316" spans="36:36" ht="11.25" customHeight="1">
      <c r="AJ8316"/>
    </row>
    <row r="8317" spans="36:36" ht="11.25" customHeight="1">
      <c r="AJ8317"/>
    </row>
    <row r="8318" spans="36:36" ht="11.25" customHeight="1">
      <c r="AJ8318"/>
    </row>
    <row r="8319" spans="36:36" ht="11.25" customHeight="1">
      <c r="AJ8319"/>
    </row>
    <row r="8320" spans="36:36" ht="11.25" customHeight="1">
      <c r="AJ8320"/>
    </row>
    <row r="8321" spans="36:36" ht="11.25" customHeight="1">
      <c r="AJ8321"/>
    </row>
    <row r="8322" spans="36:36" ht="11.25" customHeight="1">
      <c r="AJ8322"/>
    </row>
    <row r="8323" spans="36:36" ht="11.25" customHeight="1">
      <c r="AJ8323"/>
    </row>
    <row r="8324" spans="36:36" ht="11.25" customHeight="1">
      <c r="AJ8324"/>
    </row>
    <row r="8325" spans="36:36" ht="11.25" customHeight="1">
      <c r="AJ8325"/>
    </row>
    <row r="8326" spans="36:36" ht="11.25" customHeight="1">
      <c r="AJ8326"/>
    </row>
    <row r="8327" spans="36:36" ht="11.25" customHeight="1">
      <c r="AJ8327"/>
    </row>
    <row r="8328" spans="36:36" ht="11.25" customHeight="1">
      <c r="AJ8328"/>
    </row>
    <row r="8329" spans="36:36" ht="11.25" customHeight="1">
      <c r="AJ8329"/>
    </row>
    <row r="8330" spans="36:36" ht="11.25" customHeight="1">
      <c r="AJ8330"/>
    </row>
    <row r="8331" spans="36:36" ht="11.25" customHeight="1">
      <c r="AJ8331"/>
    </row>
    <row r="8332" spans="36:36" ht="11.25" customHeight="1">
      <c r="AJ8332"/>
    </row>
    <row r="8333" spans="36:36" ht="11.25" customHeight="1">
      <c r="AJ8333"/>
    </row>
    <row r="8334" spans="36:36" ht="11.25" customHeight="1">
      <c r="AJ8334"/>
    </row>
    <row r="8335" spans="36:36" ht="11.25" customHeight="1">
      <c r="AJ8335"/>
    </row>
    <row r="8336" spans="36:36" ht="11.25" customHeight="1">
      <c r="AJ8336"/>
    </row>
    <row r="8337" spans="36:36" ht="11.25" customHeight="1">
      <c r="AJ8337"/>
    </row>
    <row r="8338" spans="36:36" ht="11.25" customHeight="1">
      <c r="AJ8338"/>
    </row>
    <row r="8339" spans="36:36" ht="11.25" customHeight="1">
      <c r="AJ8339"/>
    </row>
    <row r="8340" spans="36:36" ht="11.25" customHeight="1">
      <c r="AJ8340"/>
    </row>
    <row r="8341" spans="36:36" ht="11.25" customHeight="1">
      <c r="AJ8341"/>
    </row>
    <row r="8342" spans="36:36" ht="11.25" customHeight="1">
      <c r="AJ8342"/>
    </row>
    <row r="8343" spans="36:36" ht="11.25" customHeight="1">
      <c r="AJ8343"/>
    </row>
    <row r="8344" spans="36:36" ht="11.25" customHeight="1">
      <c r="AJ8344"/>
    </row>
    <row r="8345" spans="36:36" ht="11.25" customHeight="1">
      <c r="AJ8345"/>
    </row>
    <row r="8346" spans="36:36" ht="11.25" customHeight="1">
      <c r="AJ8346"/>
    </row>
    <row r="8347" spans="36:36" ht="11.25" customHeight="1">
      <c r="AJ8347"/>
    </row>
    <row r="8348" spans="36:36" ht="11.25" customHeight="1">
      <c r="AJ8348"/>
    </row>
    <row r="8349" spans="36:36" ht="11.25" customHeight="1">
      <c r="AJ8349"/>
    </row>
    <row r="8350" spans="36:36" ht="11.25" customHeight="1">
      <c r="AJ8350"/>
    </row>
    <row r="8351" spans="36:36" ht="11.25" customHeight="1">
      <c r="AJ8351"/>
    </row>
    <row r="8352" spans="36:36" ht="11.25" customHeight="1">
      <c r="AJ8352"/>
    </row>
    <row r="8353" spans="36:36" ht="11.25" customHeight="1">
      <c r="AJ8353"/>
    </row>
    <row r="8354" spans="36:36" ht="11.25" customHeight="1">
      <c r="AJ8354"/>
    </row>
    <row r="8355" spans="36:36" ht="11.25" customHeight="1">
      <c r="AJ8355"/>
    </row>
    <row r="8356" spans="36:36" ht="11.25" customHeight="1">
      <c r="AJ8356"/>
    </row>
    <row r="8357" spans="36:36" ht="11.25" customHeight="1">
      <c r="AJ8357"/>
    </row>
    <row r="8358" spans="36:36" ht="11.25" customHeight="1">
      <c r="AJ8358"/>
    </row>
    <row r="8359" spans="36:36" ht="11.25" customHeight="1">
      <c r="AJ8359"/>
    </row>
    <row r="8360" spans="36:36" ht="11.25" customHeight="1">
      <c r="AJ8360"/>
    </row>
    <row r="8361" spans="36:36" ht="11.25" customHeight="1">
      <c r="AJ8361"/>
    </row>
    <row r="8362" spans="36:36" ht="11.25" customHeight="1">
      <c r="AJ8362"/>
    </row>
    <row r="8363" spans="36:36" ht="11.25" customHeight="1">
      <c r="AJ8363"/>
    </row>
    <row r="8364" spans="36:36" ht="11.25" customHeight="1">
      <c r="AJ8364"/>
    </row>
    <row r="8365" spans="36:36" ht="11.25" customHeight="1">
      <c r="AJ8365"/>
    </row>
    <row r="8366" spans="36:36" ht="11.25" customHeight="1">
      <c r="AJ8366"/>
    </row>
    <row r="8367" spans="36:36" ht="11.25" customHeight="1">
      <c r="AJ8367"/>
    </row>
    <row r="8368" spans="36:36" ht="11.25" customHeight="1">
      <c r="AJ8368"/>
    </row>
    <row r="8369" spans="36:36" ht="11.25" customHeight="1">
      <c r="AJ8369"/>
    </row>
    <row r="8370" spans="36:36" ht="11.25" customHeight="1">
      <c r="AJ8370"/>
    </row>
    <row r="8371" spans="36:36" ht="11.25" customHeight="1">
      <c r="AJ8371"/>
    </row>
    <row r="8372" spans="36:36" ht="11.25" customHeight="1">
      <c r="AJ8372"/>
    </row>
    <row r="8373" spans="36:36" ht="11.25" customHeight="1">
      <c r="AJ8373"/>
    </row>
    <row r="8374" spans="36:36" ht="11.25" customHeight="1">
      <c r="AJ8374"/>
    </row>
    <row r="8375" spans="36:36" ht="11.25" customHeight="1">
      <c r="AJ8375"/>
    </row>
    <row r="8376" spans="36:36" ht="11.25" customHeight="1">
      <c r="AJ8376"/>
    </row>
    <row r="8377" spans="36:36" ht="11.25" customHeight="1">
      <c r="AJ8377"/>
    </row>
    <row r="8378" spans="36:36" ht="11.25" customHeight="1">
      <c r="AJ8378"/>
    </row>
    <row r="8379" spans="36:36" ht="11.25" customHeight="1">
      <c r="AJ8379"/>
    </row>
    <row r="8380" spans="36:36" ht="11.25" customHeight="1">
      <c r="AJ8380"/>
    </row>
    <row r="8381" spans="36:36" ht="11.25" customHeight="1">
      <c r="AJ8381"/>
    </row>
    <row r="8382" spans="36:36" ht="11.25" customHeight="1">
      <c r="AJ8382"/>
    </row>
    <row r="8383" spans="36:36" ht="11.25" customHeight="1">
      <c r="AJ8383"/>
    </row>
    <row r="8384" spans="36:36" ht="11.25" customHeight="1">
      <c r="AJ8384"/>
    </row>
    <row r="8385" spans="36:36" ht="11.25" customHeight="1">
      <c r="AJ8385"/>
    </row>
    <row r="8386" spans="36:36" ht="11.25" customHeight="1">
      <c r="AJ8386"/>
    </row>
    <row r="8387" spans="36:36" ht="11.25" customHeight="1">
      <c r="AJ8387"/>
    </row>
    <row r="8388" spans="36:36" ht="11.25" customHeight="1">
      <c r="AJ8388"/>
    </row>
    <row r="8389" spans="36:36" ht="11.25" customHeight="1">
      <c r="AJ8389"/>
    </row>
    <row r="8390" spans="36:36" ht="11.25" customHeight="1">
      <c r="AJ8390"/>
    </row>
    <row r="8391" spans="36:36" ht="11.25" customHeight="1">
      <c r="AJ8391"/>
    </row>
    <row r="8392" spans="36:36" ht="11.25" customHeight="1">
      <c r="AJ8392"/>
    </row>
    <row r="8393" spans="36:36" ht="11.25" customHeight="1">
      <c r="AJ8393"/>
    </row>
    <row r="8394" spans="36:36" ht="11.25" customHeight="1">
      <c r="AJ8394"/>
    </row>
    <row r="8395" spans="36:36" ht="11.25" customHeight="1">
      <c r="AJ8395"/>
    </row>
    <row r="8396" spans="36:36" ht="11.25" customHeight="1">
      <c r="AJ8396"/>
    </row>
    <row r="8397" spans="36:36" ht="11.25" customHeight="1">
      <c r="AJ8397"/>
    </row>
    <row r="8398" spans="36:36" ht="11.25" customHeight="1">
      <c r="AJ8398"/>
    </row>
    <row r="8399" spans="36:36" ht="11.25" customHeight="1">
      <c r="AJ8399"/>
    </row>
    <row r="8400" spans="36:36" ht="11.25" customHeight="1">
      <c r="AJ8400"/>
    </row>
    <row r="8401" spans="36:36" ht="11.25" customHeight="1">
      <c r="AJ8401"/>
    </row>
    <row r="8402" spans="36:36" ht="11.25" customHeight="1">
      <c r="AJ8402"/>
    </row>
    <row r="8403" spans="36:36" ht="11.25" customHeight="1">
      <c r="AJ8403"/>
    </row>
    <row r="8404" spans="36:36" ht="11.25" customHeight="1">
      <c r="AJ8404"/>
    </row>
    <row r="8405" spans="36:36" ht="11.25" customHeight="1">
      <c r="AJ8405"/>
    </row>
    <row r="8406" spans="36:36" ht="11.25" customHeight="1">
      <c r="AJ8406"/>
    </row>
    <row r="8407" spans="36:36" ht="11.25" customHeight="1">
      <c r="AJ8407"/>
    </row>
    <row r="8408" spans="36:36" ht="11.25" customHeight="1">
      <c r="AJ8408"/>
    </row>
    <row r="8409" spans="36:36" ht="11.25" customHeight="1">
      <c r="AJ8409"/>
    </row>
    <row r="8410" spans="36:36" ht="11.25" customHeight="1">
      <c r="AJ8410"/>
    </row>
    <row r="8411" spans="36:36" ht="11.25" customHeight="1">
      <c r="AJ8411"/>
    </row>
    <row r="8412" spans="36:36" ht="11.25" customHeight="1">
      <c r="AJ8412"/>
    </row>
    <row r="8413" spans="36:36" ht="11.25" customHeight="1">
      <c r="AJ8413"/>
    </row>
    <row r="8414" spans="36:36" ht="11.25" customHeight="1">
      <c r="AJ8414"/>
    </row>
    <row r="8415" spans="36:36" ht="11.25" customHeight="1">
      <c r="AJ8415"/>
    </row>
    <row r="8416" spans="36:36" ht="11.25" customHeight="1">
      <c r="AJ8416"/>
    </row>
    <row r="8417" spans="36:36" ht="11.25" customHeight="1">
      <c r="AJ8417"/>
    </row>
    <row r="8418" spans="36:36" ht="11.25" customHeight="1">
      <c r="AJ8418"/>
    </row>
    <row r="8419" spans="36:36" ht="11.25" customHeight="1">
      <c r="AJ8419"/>
    </row>
    <row r="8420" spans="36:36" ht="11.25" customHeight="1">
      <c r="AJ8420"/>
    </row>
    <row r="8421" spans="36:36" ht="11.25" customHeight="1">
      <c r="AJ8421"/>
    </row>
    <row r="8422" spans="36:36" ht="11.25" customHeight="1">
      <c r="AJ8422"/>
    </row>
    <row r="8423" spans="36:36" ht="11.25" customHeight="1">
      <c r="AJ8423"/>
    </row>
    <row r="8424" spans="36:36" ht="11.25" customHeight="1">
      <c r="AJ8424"/>
    </row>
    <row r="8425" spans="36:36" ht="11.25" customHeight="1">
      <c r="AJ8425"/>
    </row>
    <row r="8426" spans="36:36" ht="11.25" customHeight="1">
      <c r="AJ8426"/>
    </row>
    <row r="8427" spans="36:36" ht="11.25" customHeight="1">
      <c r="AJ8427"/>
    </row>
    <row r="8428" spans="36:36" ht="11.25" customHeight="1">
      <c r="AJ8428"/>
    </row>
    <row r="8429" spans="36:36" ht="11.25" customHeight="1">
      <c r="AJ8429"/>
    </row>
    <row r="8430" spans="36:36" ht="11.25" customHeight="1">
      <c r="AJ8430"/>
    </row>
    <row r="8431" spans="36:36" ht="11.25" customHeight="1">
      <c r="AJ8431"/>
    </row>
    <row r="8432" spans="36:36" ht="11.25" customHeight="1">
      <c r="AJ8432"/>
    </row>
    <row r="8433" spans="36:36" ht="11.25" customHeight="1">
      <c r="AJ8433"/>
    </row>
    <row r="8434" spans="36:36" ht="11.25" customHeight="1">
      <c r="AJ8434"/>
    </row>
    <row r="8435" spans="36:36" ht="11.25" customHeight="1">
      <c r="AJ8435"/>
    </row>
    <row r="8436" spans="36:36" ht="11.25" customHeight="1">
      <c r="AJ8436"/>
    </row>
    <row r="8437" spans="36:36" ht="11.25" customHeight="1">
      <c r="AJ8437"/>
    </row>
    <row r="8438" spans="36:36" ht="11.25" customHeight="1">
      <c r="AJ8438"/>
    </row>
    <row r="8439" spans="36:36" ht="11.25" customHeight="1">
      <c r="AJ8439"/>
    </row>
    <row r="8440" spans="36:36" ht="11.25" customHeight="1">
      <c r="AJ8440"/>
    </row>
    <row r="8441" spans="36:36" ht="11.25" customHeight="1">
      <c r="AJ8441"/>
    </row>
    <row r="8442" spans="36:36" ht="11.25" customHeight="1">
      <c r="AJ8442"/>
    </row>
    <row r="8443" spans="36:36" ht="11.25" customHeight="1">
      <c r="AJ8443"/>
    </row>
    <row r="8444" spans="36:36" ht="11.25" customHeight="1">
      <c r="AJ8444"/>
    </row>
    <row r="8445" spans="36:36" ht="11.25" customHeight="1">
      <c r="AJ8445"/>
    </row>
    <row r="8446" spans="36:36" ht="11.25" customHeight="1">
      <c r="AJ8446"/>
    </row>
    <row r="8447" spans="36:36" ht="11.25" customHeight="1">
      <c r="AJ8447"/>
    </row>
    <row r="8448" spans="36:36" ht="11.25" customHeight="1">
      <c r="AJ8448"/>
    </row>
    <row r="8449" spans="36:36" ht="11.25" customHeight="1">
      <c r="AJ8449"/>
    </row>
    <row r="8450" spans="36:36" ht="11.25" customHeight="1">
      <c r="AJ8450"/>
    </row>
    <row r="8451" spans="36:36" ht="11.25" customHeight="1">
      <c r="AJ8451"/>
    </row>
    <row r="8452" spans="36:36" ht="11.25" customHeight="1">
      <c r="AJ8452"/>
    </row>
    <row r="8453" spans="36:36" ht="11.25" customHeight="1">
      <c r="AJ8453"/>
    </row>
    <row r="8454" spans="36:36" ht="11.25" customHeight="1">
      <c r="AJ8454"/>
    </row>
    <row r="8455" spans="36:36" ht="11.25" customHeight="1">
      <c r="AJ8455"/>
    </row>
    <row r="8456" spans="36:36" ht="11.25" customHeight="1">
      <c r="AJ8456"/>
    </row>
    <row r="8457" spans="36:36" ht="11.25" customHeight="1">
      <c r="AJ8457"/>
    </row>
    <row r="8458" spans="36:36" ht="11.25" customHeight="1">
      <c r="AJ8458"/>
    </row>
    <row r="8459" spans="36:36" ht="11.25" customHeight="1">
      <c r="AJ8459"/>
    </row>
    <row r="8460" spans="36:36" ht="11.25" customHeight="1">
      <c r="AJ8460"/>
    </row>
    <row r="8461" spans="36:36" ht="11.25" customHeight="1">
      <c r="AJ8461"/>
    </row>
    <row r="8462" spans="36:36" ht="11.25" customHeight="1">
      <c r="AJ8462"/>
    </row>
    <row r="8463" spans="36:36" ht="11.25" customHeight="1">
      <c r="AJ8463"/>
    </row>
    <row r="8464" spans="36:36" ht="11.25" customHeight="1">
      <c r="AJ8464"/>
    </row>
    <row r="8465" spans="36:36" ht="11.25" customHeight="1">
      <c r="AJ8465"/>
    </row>
    <row r="8466" spans="36:36" ht="11.25" customHeight="1">
      <c r="AJ8466"/>
    </row>
    <row r="8467" spans="36:36" ht="11.25" customHeight="1">
      <c r="AJ8467"/>
    </row>
    <row r="8468" spans="36:36" ht="11.25" customHeight="1">
      <c r="AJ8468"/>
    </row>
    <row r="8469" spans="36:36" ht="11.25" customHeight="1">
      <c r="AJ8469"/>
    </row>
    <row r="8470" spans="36:36" ht="11.25" customHeight="1">
      <c r="AJ8470"/>
    </row>
    <row r="8471" spans="36:36" ht="11.25" customHeight="1">
      <c r="AJ8471"/>
    </row>
    <row r="8472" spans="36:36" ht="11.25" customHeight="1">
      <c r="AJ8472"/>
    </row>
    <row r="8473" spans="36:36" ht="11.25" customHeight="1">
      <c r="AJ8473"/>
    </row>
    <row r="8474" spans="36:36" ht="11.25" customHeight="1">
      <c r="AJ8474"/>
    </row>
    <row r="8475" spans="36:36" ht="11.25" customHeight="1">
      <c r="AJ8475"/>
    </row>
    <row r="8476" spans="36:36" ht="11.25" customHeight="1">
      <c r="AJ8476"/>
    </row>
    <row r="8477" spans="36:36" ht="11.25" customHeight="1">
      <c r="AJ8477"/>
    </row>
    <row r="8478" spans="36:36" ht="11.25" customHeight="1">
      <c r="AJ8478"/>
    </row>
    <row r="8479" spans="36:36" ht="11.25" customHeight="1">
      <c r="AJ8479"/>
    </row>
    <row r="8480" spans="36:36" ht="11.25" customHeight="1">
      <c r="AJ8480"/>
    </row>
    <row r="8481" spans="36:36" ht="11.25" customHeight="1">
      <c r="AJ8481"/>
    </row>
    <row r="8482" spans="36:36" ht="11.25" customHeight="1">
      <c r="AJ8482"/>
    </row>
    <row r="8483" spans="36:36" ht="11.25" customHeight="1">
      <c r="AJ8483"/>
    </row>
    <row r="8484" spans="36:36" ht="11.25" customHeight="1">
      <c r="AJ8484"/>
    </row>
    <row r="8485" spans="36:36" ht="11.25" customHeight="1">
      <c r="AJ8485"/>
    </row>
    <row r="8486" spans="36:36" ht="11.25" customHeight="1">
      <c r="AJ8486"/>
    </row>
    <row r="8487" spans="36:36" ht="11.25" customHeight="1">
      <c r="AJ8487"/>
    </row>
    <row r="8488" spans="36:36" ht="11.25" customHeight="1">
      <c r="AJ8488"/>
    </row>
    <row r="8489" spans="36:36" ht="11.25" customHeight="1">
      <c r="AJ8489"/>
    </row>
    <row r="8490" spans="36:36" ht="11.25" customHeight="1">
      <c r="AJ8490"/>
    </row>
    <row r="8491" spans="36:36" ht="11.25" customHeight="1">
      <c r="AJ8491"/>
    </row>
    <row r="8492" spans="36:36" ht="11.25" customHeight="1">
      <c r="AJ8492"/>
    </row>
    <row r="8493" spans="36:36" ht="11.25" customHeight="1">
      <c r="AJ8493"/>
    </row>
    <row r="8494" spans="36:36" ht="11.25" customHeight="1">
      <c r="AJ8494"/>
    </row>
    <row r="8495" spans="36:36" ht="11.25" customHeight="1">
      <c r="AJ8495"/>
    </row>
    <row r="8496" spans="36:36" ht="11.25" customHeight="1">
      <c r="AJ8496"/>
    </row>
    <row r="8497" spans="36:36" ht="11.25" customHeight="1">
      <c r="AJ8497"/>
    </row>
    <row r="8498" spans="36:36" ht="11.25" customHeight="1">
      <c r="AJ8498"/>
    </row>
    <row r="8499" spans="36:36" ht="11.25" customHeight="1">
      <c r="AJ8499"/>
    </row>
    <row r="8500" spans="36:36" ht="11.25" customHeight="1">
      <c r="AJ8500"/>
    </row>
    <row r="8501" spans="36:36" ht="11.25" customHeight="1">
      <c r="AJ8501"/>
    </row>
    <row r="8502" spans="36:36" ht="11.25" customHeight="1">
      <c r="AJ8502"/>
    </row>
    <row r="8503" spans="36:36" ht="11.25" customHeight="1">
      <c r="AJ8503"/>
    </row>
    <row r="8504" spans="36:36" ht="11.25" customHeight="1">
      <c r="AJ8504"/>
    </row>
    <row r="8505" spans="36:36" ht="11.25" customHeight="1">
      <c r="AJ8505"/>
    </row>
    <row r="8506" spans="36:36" ht="11.25" customHeight="1">
      <c r="AJ8506"/>
    </row>
    <row r="8507" spans="36:36" ht="11.25" customHeight="1">
      <c r="AJ8507"/>
    </row>
    <row r="8508" spans="36:36" ht="11.25" customHeight="1">
      <c r="AJ8508"/>
    </row>
    <row r="8509" spans="36:36" ht="11.25" customHeight="1">
      <c r="AJ8509"/>
    </row>
    <row r="8510" spans="36:36" ht="11.25" customHeight="1">
      <c r="AJ8510"/>
    </row>
    <row r="8511" spans="36:36" ht="11.25" customHeight="1">
      <c r="AJ8511"/>
    </row>
    <row r="8512" spans="36:36" ht="11.25" customHeight="1">
      <c r="AJ8512"/>
    </row>
    <row r="8513" spans="36:36" ht="11.25" customHeight="1">
      <c r="AJ8513"/>
    </row>
    <row r="8514" spans="36:36" ht="11.25" customHeight="1">
      <c r="AJ8514"/>
    </row>
    <row r="8515" spans="36:36" ht="11.25" customHeight="1">
      <c r="AJ8515"/>
    </row>
    <row r="8516" spans="36:36" ht="11.25" customHeight="1">
      <c r="AJ8516"/>
    </row>
    <row r="8517" spans="36:36" ht="11.25" customHeight="1">
      <c r="AJ8517"/>
    </row>
    <row r="8518" spans="36:36" ht="11.25" customHeight="1">
      <c r="AJ8518"/>
    </row>
    <row r="8519" spans="36:36" ht="11.25" customHeight="1">
      <c r="AJ8519"/>
    </row>
    <row r="8520" spans="36:36" ht="11.25" customHeight="1">
      <c r="AJ8520"/>
    </row>
    <row r="8521" spans="36:36" ht="11.25" customHeight="1">
      <c r="AJ8521"/>
    </row>
    <row r="8522" spans="36:36" ht="11.25" customHeight="1">
      <c r="AJ8522"/>
    </row>
    <row r="8523" spans="36:36" ht="11.25" customHeight="1">
      <c r="AJ8523"/>
    </row>
    <row r="8524" spans="36:36" ht="11.25" customHeight="1">
      <c r="AJ8524"/>
    </row>
    <row r="8525" spans="36:36" ht="11.25" customHeight="1">
      <c r="AJ8525"/>
    </row>
    <row r="8526" spans="36:36" ht="11.25" customHeight="1">
      <c r="AJ8526"/>
    </row>
    <row r="8527" spans="36:36" ht="11.25" customHeight="1">
      <c r="AJ8527"/>
    </row>
    <row r="8528" spans="36:36" ht="11.25" customHeight="1">
      <c r="AJ8528"/>
    </row>
    <row r="8529" spans="36:36" ht="11.25" customHeight="1">
      <c r="AJ8529"/>
    </row>
    <row r="8530" spans="36:36" ht="11.25" customHeight="1">
      <c r="AJ8530"/>
    </row>
    <row r="8531" spans="36:36" ht="11.25" customHeight="1">
      <c r="AJ8531"/>
    </row>
    <row r="8532" spans="36:36" ht="11.25" customHeight="1">
      <c r="AJ8532"/>
    </row>
    <row r="8533" spans="36:36" ht="11.25" customHeight="1">
      <c r="AJ8533"/>
    </row>
    <row r="8534" spans="36:36" ht="11.25" customHeight="1">
      <c r="AJ8534"/>
    </row>
    <row r="8535" spans="36:36" ht="11.25" customHeight="1">
      <c r="AJ8535"/>
    </row>
    <row r="8536" spans="36:36" ht="11.25" customHeight="1">
      <c r="AJ8536"/>
    </row>
    <row r="8537" spans="36:36" ht="11.25" customHeight="1">
      <c r="AJ8537"/>
    </row>
    <row r="8538" spans="36:36" ht="11.25" customHeight="1">
      <c r="AJ8538"/>
    </row>
    <row r="8539" spans="36:36" ht="11.25" customHeight="1">
      <c r="AJ8539"/>
    </row>
    <row r="8540" spans="36:36" ht="11.25" customHeight="1">
      <c r="AJ8540"/>
    </row>
    <row r="8541" spans="36:36" ht="11.25" customHeight="1">
      <c r="AJ8541"/>
    </row>
    <row r="8542" spans="36:36" ht="11.25" customHeight="1">
      <c r="AJ8542"/>
    </row>
    <row r="8543" spans="36:36" ht="11.25" customHeight="1">
      <c r="AJ8543"/>
    </row>
    <row r="8544" spans="36:36" ht="11.25" customHeight="1">
      <c r="AJ8544"/>
    </row>
    <row r="8545" spans="36:36" ht="11.25" customHeight="1">
      <c r="AJ8545"/>
    </row>
    <row r="8546" spans="36:36" ht="11.25" customHeight="1">
      <c r="AJ8546"/>
    </row>
    <row r="8547" spans="36:36" ht="11.25" customHeight="1">
      <c r="AJ8547"/>
    </row>
    <row r="8548" spans="36:36" ht="11.25" customHeight="1">
      <c r="AJ8548"/>
    </row>
    <row r="8549" spans="36:36" ht="11.25" customHeight="1">
      <c r="AJ8549"/>
    </row>
    <row r="8550" spans="36:36" ht="11.25" customHeight="1">
      <c r="AJ8550"/>
    </row>
    <row r="8551" spans="36:36" ht="11.25" customHeight="1">
      <c r="AJ8551"/>
    </row>
    <row r="8552" spans="36:36" ht="11.25" customHeight="1">
      <c r="AJ8552"/>
    </row>
    <row r="8553" spans="36:36" ht="11.25" customHeight="1">
      <c r="AJ8553"/>
    </row>
    <row r="8554" spans="36:36" ht="11.25" customHeight="1">
      <c r="AJ8554"/>
    </row>
    <row r="8555" spans="36:36" ht="11.25" customHeight="1">
      <c r="AJ8555"/>
    </row>
    <row r="8556" spans="36:36" ht="11.25" customHeight="1">
      <c r="AJ8556"/>
    </row>
    <row r="8557" spans="36:36" ht="11.25" customHeight="1">
      <c r="AJ8557"/>
    </row>
    <row r="8558" spans="36:36" ht="11.25" customHeight="1">
      <c r="AJ8558"/>
    </row>
    <row r="8559" spans="36:36" ht="11.25" customHeight="1">
      <c r="AJ8559"/>
    </row>
    <row r="8560" spans="36:36" ht="11.25" customHeight="1">
      <c r="AJ8560"/>
    </row>
    <row r="8561" spans="36:36" ht="11.25" customHeight="1">
      <c r="AJ8561"/>
    </row>
    <row r="8562" spans="36:36" ht="11.25" customHeight="1">
      <c r="AJ8562"/>
    </row>
    <row r="8563" spans="36:36" ht="11.25" customHeight="1">
      <c r="AJ8563"/>
    </row>
    <row r="8564" spans="36:36" ht="11.25" customHeight="1">
      <c r="AJ8564"/>
    </row>
    <row r="8565" spans="36:36" ht="11.25" customHeight="1">
      <c r="AJ8565"/>
    </row>
    <row r="8566" spans="36:36" ht="11.25" customHeight="1">
      <c r="AJ8566"/>
    </row>
    <row r="8567" spans="36:36" ht="11.25" customHeight="1">
      <c r="AJ8567"/>
    </row>
    <row r="8568" spans="36:36" ht="11.25" customHeight="1">
      <c r="AJ8568"/>
    </row>
    <row r="8569" spans="36:36" ht="11.25" customHeight="1">
      <c r="AJ8569"/>
    </row>
    <row r="8570" spans="36:36" ht="11.25" customHeight="1">
      <c r="AJ8570"/>
    </row>
    <row r="8571" spans="36:36" ht="11.25" customHeight="1">
      <c r="AJ8571"/>
    </row>
    <row r="8572" spans="36:36" ht="11.25" customHeight="1">
      <c r="AJ8572"/>
    </row>
    <row r="8573" spans="36:36" ht="11.25" customHeight="1">
      <c r="AJ8573"/>
    </row>
    <row r="8574" spans="36:36" ht="11.25" customHeight="1">
      <c r="AJ8574"/>
    </row>
    <row r="8575" spans="36:36" ht="11.25" customHeight="1">
      <c r="AJ8575"/>
    </row>
    <row r="8576" spans="36:36" ht="11.25" customHeight="1">
      <c r="AJ8576"/>
    </row>
    <row r="8577" spans="36:36" ht="11.25" customHeight="1">
      <c r="AJ8577"/>
    </row>
    <row r="8578" spans="36:36" ht="11.25" customHeight="1">
      <c r="AJ8578"/>
    </row>
    <row r="8579" spans="36:36" ht="11.25" customHeight="1">
      <c r="AJ8579"/>
    </row>
    <row r="8580" spans="36:36" ht="11.25" customHeight="1">
      <c r="AJ8580"/>
    </row>
    <row r="8581" spans="36:36" ht="11.25" customHeight="1">
      <c r="AJ8581"/>
    </row>
    <row r="8582" spans="36:36" ht="11.25" customHeight="1">
      <c r="AJ8582"/>
    </row>
    <row r="8583" spans="36:36" ht="11.25" customHeight="1">
      <c r="AJ8583"/>
    </row>
    <row r="8584" spans="36:36" ht="11.25" customHeight="1">
      <c r="AJ8584"/>
    </row>
    <row r="8585" spans="36:36" ht="11.25" customHeight="1">
      <c r="AJ8585"/>
    </row>
    <row r="8586" spans="36:36" ht="11.25" customHeight="1">
      <c r="AJ8586"/>
    </row>
    <row r="8587" spans="36:36" ht="11.25" customHeight="1">
      <c r="AJ8587"/>
    </row>
    <row r="8588" spans="36:36" ht="11.25" customHeight="1">
      <c r="AJ8588"/>
    </row>
    <row r="8589" spans="36:36" ht="11.25" customHeight="1">
      <c r="AJ8589"/>
    </row>
    <row r="8590" spans="36:36" ht="11.25" customHeight="1">
      <c r="AJ8590"/>
    </row>
    <row r="8591" spans="36:36" ht="11.25" customHeight="1">
      <c r="AJ8591"/>
    </row>
    <row r="8592" spans="36:36" ht="11.25" customHeight="1">
      <c r="AJ8592"/>
    </row>
    <row r="8593" spans="36:36" ht="11.25" customHeight="1">
      <c r="AJ8593"/>
    </row>
    <row r="8594" spans="36:36" ht="11.25" customHeight="1">
      <c r="AJ8594"/>
    </row>
    <row r="8595" spans="36:36" ht="11.25" customHeight="1">
      <c r="AJ8595"/>
    </row>
    <row r="8596" spans="36:36" ht="11.25" customHeight="1">
      <c r="AJ8596"/>
    </row>
    <row r="8597" spans="36:36" ht="11.25" customHeight="1">
      <c r="AJ8597"/>
    </row>
    <row r="8598" spans="36:36" ht="11.25" customHeight="1">
      <c r="AJ8598"/>
    </row>
    <row r="8599" spans="36:36" ht="11.25" customHeight="1">
      <c r="AJ8599"/>
    </row>
    <row r="8600" spans="36:36" ht="11.25" customHeight="1">
      <c r="AJ8600"/>
    </row>
    <row r="8601" spans="36:36" ht="11.25" customHeight="1">
      <c r="AJ8601"/>
    </row>
    <row r="8602" spans="36:36" ht="11.25" customHeight="1">
      <c r="AJ8602"/>
    </row>
    <row r="8603" spans="36:36" ht="11.25" customHeight="1">
      <c r="AJ8603"/>
    </row>
    <row r="8604" spans="36:36" ht="11.25" customHeight="1">
      <c r="AJ8604"/>
    </row>
    <row r="8605" spans="36:36" ht="11.25" customHeight="1">
      <c r="AJ8605"/>
    </row>
    <row r="8606" spans="36:36" ht="11.25" customHeight="1">
      <c r="AJ8606"/>
    </row>
    <row r="8607" spans="36:36" ht="11.25" customHeight="1">
      <c r="AJ8607"/>
    </row>
    <row r="8608" spans="36:36" ht="11.25" customHeight="1">
      <c r="AJ8608"/>
    </row>
    <row r="8609" spans="36:36" ht="11.25" customHeight="1">
      <c r="AJ8609"/>
    </row>
    <row r="8610" spans="36:36" ht="11.25" customHeight="1">
      <c r="AJ8610"/>
    </row>
    <row r="8611" spans="36:36" ht="11.25" customHeight="1">
      <c r="AJ8611"/>
    </row>
    <row r="8612" spans="36:36" ht="11.25" customHeight="1">
      <c r="AJ8612"/>
    </row>
    <row r="8613" spans="36:36" ht="11.25" customHeight="1">
      <c r="AJ8613"/>
    </row>
    <row r="8614" spans="36:36" ht="11.25" customHeight="1">
      <c r="AJ8614"/>
    </row>
    <row r="8615" spans="36:36" ht="11.25" customHeight="1">
      <c r="AJ8615"/>
    </row>
    <row r="8616" spans="36:36" ht="11.25" customHeight="1">
      <c r="AJ8616"/>
    </row>
    <row r="8617" spans="36:36" ht="11.25" customHeight="1">
      <c r="AJ8617"/>
    </row>
    <row r="8618" spans="36:36" ht="11.25" customHeight="1">
      <c r="AJ8618"/>
    </row>
    <row r="8619" spans="36:36" ht="11.25" customHeight="1">
      <c r="AJ8619"/>
    </row>
    <row r="8620" spans="36:36" ht="11.25" customHeight="1">
      <c r="AJ8620"/>
    </row>
    <row r="8621" spans="36:36" ht="11.25" customHeight="1">
      <c r="AJ8621"/>
    </row>
    <row r="8622" spans="36:36" ht="11.25" customHeight="1">
      <c r="AJ8622"/>
    </row>
    <row r="8623" spans="36:36" ht="11.25" customHeight="1">
      <c r="AJ8623"/>
    </row>
    <row r="8624" spans="36:36" ht="11.25" customHeight="1">
      <c r="AJ8624"/>
    </row>
    <row r="8625" spans="36:36" ht="11.25" customHeight="1">
      <c r="AJ8625"/>
    </row>
    <row r="8626" spans="36:36" ht="11.25" customHeight="1">
      <c r="AJ8626"/>
    </row>
    <row r="8627" spans="36:36" ht="11.25" customHeight="1">
      <c r="AJ8627"/>
    </row>
    <row r="8628" spans="36:36" ht="11.25" customHeight="1">
      <c r="AJ8628"/>
    </row>
    <row r="8629" spans="36:36" ht="11.25" customHeight="1">
      <c r="AJ8629"/>
    </row>
    <row r="8630" spans="36:36" ht="11.25" customHeight="1">
      <c r="AJ8630"/>
    </row>
    <row r="8631" spans="36:36" ht="11.25" customHeight="1">
      <c r="AJ8631"/>
    </row>
    <row r="8632" spans="36:36" ht="11.25" customHeight="1">
      <c r="AJ8632"/>
    </row>
    <row r="8633" spans="36:36" ht="11.25" customHeight="1">
      <c r="AJ8633"/>
    </row>
    <row r="8634" spans="36:36" ht="11.25" customHeight="1">
      <c r="AJ8634"/>
    </row>
    <row r="8635" spans="36:36" ht="11.25" customHeight="1">
      <c r="AJ8635"/>
    </row>
    <row r="8636" spans="36:36" ht="11.25" customHeight="1">
      <c r="AJ8636"/>
    </row>
    <row r="8637" spans="36:36" ht="11.25" customHeight="1">
      <c r="AJ8637"/>
    </row>
    <row r="8638" spans="36:36" ht="11.25" customHeight="1">
      <c r="AJ8638"/>
    </row>
    <row r="8639" spans="36:36" ht="11.25" customHeight="1">
      <c r="AJ8639"/>
    </row>
    <row r="8640" spans="36:36" ht="11.25" customHeight="1">
      <c r="AJ8640"/>
    </row>
    <row r="8641" spans="36:36" ht="11.25" customHeight="1">
      <c r="AJ8641"/>
    </row>
    <row r="8642" spans="36:36" ht="11.25" customHeight="1">
      <c r="AJ8642"/>
    </row>
    <row r="8643" spans="36:36" ht="11.25" customHeight="1">
      <c r="AJ8643"/>
    </row>
    <row r="8644" spans="36:36" ht="11.25" customHeight="1">
      <c r="AJ8644"/>
    </row>
    <row r="8645" spans="36:36" ht="11.25" customHeight="1">
      <c r="AJ8645"/>
    </row>
    <row r="8646" spans="36:36" ht="11.25" customHeight="1">
      <c r="AJ8646"/>
    </row>
    <row r="8647" spans="36:36" ht="11.25" customHeight="1">
      <c r="AJ8647"/>
    </row>
    <row r="8648" spans="36:36" ht="11.25" customHeight="1">
      <c r="AJ8648"/>
    </row>
    <row r="8649" spans="36:36" ht="11.25" customHeight="1">
      <c r="AJ8649"/>
    </row>
    <row r="8650" spans="36:36" ht="11.25" customHeight="1">
      <c r="AJ8650"/>
    </row>
    <row r="8651" spans="36:36" ht="11.25" customHeight="1">
      <c r="AJ8651"/>
    </row>
    <row r="8652" spans="36:36" ht="11.25" customHeight="1">
      <c r="AJ8652"/>
    </row>
    <row r="8653" spans="36:36" ht="11.25" customHeight="1">
      <c r="AJ8653"/>
    </row>
    <row r="8654" spans="36:36" ht="11.25" customHeight="1">
      <c r="AJ8654"/>
    </row>
    <row r="8655" spans="36:36" ht="11.25" customHeight="1">
      <c r="AJ8655"/>
    </row>
    <row r="8656" spans="36:36" ht="11.25" customHeight="1">
      <c r="AJ8656"/>
    </row>
    <row r="8657" spans="36:36" ht="11.25" customHeight="1">
      <c r="AJ8657"/>
    </row>
    <row r="8658" spans="36:36" ht="11.25" customHeight="1">
      <c r="AJ8658"/>
    </row>
    <row r="8659" spans="36:36" ht="11.25" customHeight="1">
      <c r="AJ8659"/>
    </row>
    <row r="8660" spans="36:36" ht="11.25" customHeight="1">
      <c r="AJ8660"/>
    </row>
    <row r="8661" spans="36:36" ht="11.25" customHeight="1">
      <c r="AJ8661"/>
    </row>
    <row r="8662" spans="36:36" ht="11.25" customHeight="1">
      <c r="AJ8662"/>
    </row>
    <row r="8663" spans="36:36" ht="11.25" customHeight="1">
      <c r="AJ8663"/>
    </row>
    <row r="8664" spans="36:36" ht="11.25" customHeight="1">
      <c r="AJ8664"/>
    </row>
    <row r="8665" spans="36:36" ht="11.25" customHeight="1">
      <c r="AJ8665"/>
    </row>
    <row r="8666" spans="36:36" ht="11.25" customHeight="1">
      <c r="AJ8666"/>
    </row>
    <row r="8667" spans="36:36" ht="11.25" customHeight="1">
      <c r="AJ8667"/>
    </row>
    <row r="8668" spans="36:36" ht="11.25" customHeight="1">
      <c r="AJ8668"/>
    </row>
    <row r="8669" spans="36:36" ht="11.25" customHeight="1">
      <c r="AJ8669"/>
    </row>
    <row r="8670" spans="36:36" ht="11.25" customHeight="1">
      <c r="AJ8670"/>
    </row>
    <row r="8671" spans="36:36" ht="11.25" customHeight="1">
      <c r="AJ8671"/>
    </row>
    <row r="8672" spans="36:36" ht="11.25" customHeight="1">
      <c r="AJ8672"/>
    </row>
    <row r="8673" spans="36:36" ht="11.25" customHeight="1">
      <c r="AJ8673"/>
    </row>
    <row r="8674" spans="36:36" ht="11.25" customHeight="1">
      <c r="AJ8674"/>
    </row>
    <row r="8675" spans="36:36" ht="11.25" customHeight="1">
      <c r="AJ8675"/>
    </row>
    <row r="8676" spans="36:36" ht="11.25" customHeight="1">
      <c r="AJ8676"/>
    </row>
    <row r="8677" spans="36:36" ht="11.25" customHeight="1">
      <c r="AJ8677"/>
    </row>
    <row r="8678" spans="36:36" ht="11.25" customHeight="1">
      <c r="AJ8678"/>
    </row>
    <row r="8679" spans="36:36" ht="11.25" customHeight="1">
      <c r="AJ8679"/>
    </row>
    <row r="8680" spans="36:36" ht="11.25" customHeight="1">
      <c r="AJ8680"/>
    </row>
    <row r="8681" spans="36:36" ht="11.25" customHeight="1">
      <c r="AJ8681"/>
    </row>
    <row r="8682" spans="36:36" ht="11.25" customHeight="1">
      <c r="AJ8682"/>
    </row>
    <row r="8683" spans="36:36" ht="11.25" customHeight="1">
      <c r="AJ8683"/>
    </row>
    <row r="8684" spans="36:36" ht="11.25" customHeight="1">
      <c r="AJ8684"/>
    </row>
    <row r="8685" spans="36:36" ht="11.25" customHeight="1">
      <c r="AJ8685"/>
    </row>
    <row r="8686" spans="36:36" ht="11.25" customHeight="1">
      <c r="AJ8686"/>
    </row>
    <row r="8687" spans="36:36" ht="11.25" customHeight="1">
      <c r="AJ8687"/>
    </row>
    <row r="8688" spans="36:36" ht="11.25" customHeight="1">
      <c r="AJ8688"/>
    </row>
    <row r="8689" spans="36:36" ht="11.25" customHeight="1">
      <c r="AJ8689"/>
    </row>
    <row r="8690" spans="36:36" ht="11.25" customHeight="1">
      <c r="AJ8690"/>
    </row>
    <row r="8691" spans="36:36" ht="11.25" customHeight="1">
      <c r="AJ8691"/>
    </row>
    <row r="8692" spans="36:36" ht="11.25" customHeight="1">
      <c r="AJ8692"/>
    </row>
    <row r="8693" spans="36:36" ht="11.25" customHeight="1">
      <c r="AJ8693"/>
    </row>
    <row r="8694" spans="36:36" ht="11.25" customHeight="1">
      <c r="AJ8694"/>
    </row>
    <row r="8695" spans="36:36" ht="11.25" customHeight="1">
      <c r="AJ8695"/>
    </row>
    <row r="8696" spans="36:36" ht="11.25" customHeight="1">
      <c r="AJ8696"/>
    </row>
    <row r="8697" spans="36:36" ht="11.25" customHeight="1">
      <c r="AJ8697"/>
    </row>
    <row r="8698" spans="36:36" ht="11.25" customHeight="1">
      <c r="AJ8698"/>
    </row>
    <row r="8699" spans="36:36" ht="11.25" customHeight="1">
      <c r="AJ8699"/>
    </row>
    <row r="8700" spans="36:36" ht="11.25" customHeight="1">
      <c r="AJ8700"/>
    </row>
    <row r="8701" spans="36:36" ht="11.25" customHeight="1">
      <c r="AJ8701"/>
    </row>
    <row r="8702" spans="36:36" ht="11.25" customHeight="1">
      <c r="AJ8702"/>
    </row>
    <row r="8703" spans="36:36" ht="11.25" customHeight="1">
      <c r="AJ8703"/>
    </row>
    <row r="8704" spans="36:36" ht="11.25" customHeight="1">
      <c r="AJ8704"/>
    </row>
    <row r="8705" spans="36:36" ht="11.25" customHeight="1">
      <c r="AJ8705"/>
    </row>
    <row r="8706" spans="36:36" ht="11.25" customHeight="1">
      <c r="AJ8706"/>
    </row>
    <row r="8707" spans="36:36" ht="11.25" customHeight="1">
      <c r="AJ8707"/>
    </row>
    <row r="8708" spans="36:36" ht="11.25" customHeight="1">
      <c r="AJ8708"/>
    </row>
    <row r="8709" spans="36:36" ht="11.25" customHeight="1">
      <c r="AJ8709"/>
    </row>
    <row r="8710" spans="36:36" ht="11.25" customHeight="1">
      <c r="AJ8710"/>
    </row>
    <row r="8711" spans="36:36" ht="11.25" customHeight="1">
      <c r="AJ8711"/>
    </row>
    <row r="8712" spans="36:36" ht="11.25" customHeight="1">
      <c r="AJ8712"/>
    </row>
    <row r="8713" spans="36:36" ht="11.25" customHeight="1">
      <c r="AJ8713"/>
    </row>
    <row r="8714" spans="36:36" ht="11.25" customHeight="1">
      <c r="AJ8714"/>
    </row>
    <row r="8715" spans="36:36" ht="11.25" customHeight="1">
      <c r="AJ8715"/>
    </row>
    <row r="8716" spans="36:36" ht="11.25" customHeight="1">
      <c r="AJ8716"/>
    </row>
    <row r="8717" spans="36:36" ht="11.25" customHeight="1">
      <c r="AJ8717"/>
    </row>
    <row r="8718" spans="36:36" ht="11.25" customHeight="1">
      <c r="AJ8718"/>
    </row>
    <row r="8719" spans="36:36" ht="11.25" customHeight="1">
      <c r="AJ8719"/>
    </row>
    <row r="8720" spans="36:36" ht="11.25" customHeight="1">
      <c r="AJ8720"/>
    </row>
    <row r="8721" spans="36:36" ht="11.25" customHeight="1">
      <c r="AJ8721"/>
    </row>
    <row r="8722" spans="36:36" ht="11.25" customHeight="1">
      <c r="AJ8722"/>
    </row>
    <row r="8723" spans="36:36" ht="11.25" customHeight="1">
      <c r="AJ8723"/>
    </row>
    <row r="8724" spans="36:36" ht="11.25" customHeight="1">
      <c r="AJ8724"/>
    </row>
    <row r="8725" spans="36:36" ht="11.25" customHeight="1">
      <c r="AJ8725"/>
    </row>
    <row r="8726" spans="36:36" ht="11.25" customHeight="1">
      <c r="AJ8726"/>
    </row>
    <row r="8727" spans="36:36" ht="11.25" customHeight="1">
      <c r="AJ8727"/>
    </row>
    <row r="8728" spans="36:36" ht="11.25" customHeight="1">
      <c r="AJ8728"/>
    </row>
    <row r="8729" spans="36:36" ht="11.25" customHeight="1">
      <c r="AJ8729"/>
    </row>
    <row r="8730" spans="36:36" ht="11.25" customHeight="1">
      <c r="AJ8730"/>
    </row>
    <row r="8731" spans="36:36" ht="11.25" customHeight="1">
      <c r="AJ8731"/>
    </row>
    <row r="8732" spans="36:36" ht="11.25" customHeight="1">
      <c r="AJ8732"/>
    </row>
    <row r="8733" spans="36:36" ht="11.25" customHeight="1">
      <c r="AJ8733"/>
    </row>
    <row r="8734" spans="36:36" ht="11.25" customHeight="1">
      <c r="AJ8734"/>
    </row>
    <row r="8735" spans="36:36" ht="11.25" customHeight="1">
      <c r="AJ8735"/>
    </row>
    <row r="8736" spans="36:36" ht="11.25" customHeight="1">
      <c r="AJ8736"/>
    </row>
    <row r="8737" spans="36:36" ht="11.25" customHeight="1">
      <c r="AJ8737"/>
    </row>
    <row r="8738" spans="36:36" ht="11.25" customHeight="1">
      <c r="AJ8738"/>
    </row>
    <row r="8739" spans="36:36" ht="11.25" customHeight="1">
      <c r="AJ8739"/>
    </row>
    <row r="8740" spans="36:36" ht="11.25" customHeight="1">
      <c r="AJ8740"/>
    </row>
    <row r="8741" spans="36:36" ht="11.25" customHeight="1">
      <c r="AJ8741"/>
    </row>
    <row r="8742" spans="36:36" ht="11.25" customHeight="1">
      <c r="AJ8742"/>
    </row>
    <row r="8743" spans="36:36" ht="11.25" customHeight="1">
      <c r="AJ8743"/>
    </row>
    <row r="8744" spans="36:36" ht="11.25" customHeight="1">
      <c r="AJ8744"/>
    </row>
    <row r="8745" spans="36:36" ht="11.25" customHeight="1">
      <c r="AJ8745"/>
    </row>
    <row r="8746" spans="36:36" ht="11.25" customHeight="1">
      <c r="AJ8746"/>
    </row>
    <row r="8747" spans="36:36" ht="11.25" customHeight="1">
      <c r="AJ8747"/>
    </row>
    <row r="8748" spans="36:36" ht="11.25" customHeight="1">
      <c r="AJ8748"/>
    </row>
    <row r="8749" spans="36:36" ht="11.25" customHeight="1">
      <c r="AJ8749"/>
    </row>
    <row r="8750" spans="36:36" ht="11.25" customHeight="1">
      <c r="AJ8750"/>
    </row>
    <row r="8751" spans="36:36" ht="11.25" customHeight="1">
      <c r="AJ8751"/>
    </row>
    <row r="8752" spans="36:36" ht="11.25" customHeight="1">
      <c r="AJ8752"/>
    </row>
    <row r="8753" spans="36:36" ht="11.25" customHeight="1">
      <c r="AJ8753"/>
    </row>
    <row r="8754" spans="36:36" ht="11.25" customHeight="1">
      <c r="AJ8754"/>
    </row>
    <row r="8755" spans="36:36" ht="11.25" customHeight="1">
      <c r="AJ8755"/>
    </row>
    <row r="8756" spans="36:36" ht="11.25" customHeight="1">
      <c r="AJ8756"/>
    </row>
    <row r="8757" spans="36:36" ht="11.25" customHeight="1">
      <c r="AJ8757"/>
    </row>
    <row r="8758" spans="36:36" ht="11.25" customHeight="1">
      <c r="AJ8758"/>
    </row>
    <row r="8759" spans="36:36" ht="11.25" customHeight="1">
      <c r="AJ8759"/>
    </row>
    <row r="8760" spans="36:36" ht="11.25" customHeight="1">
      <c r="AJ8760"/>
    </row>
    <row r="8761" spans="36:36" ht="11.25" customHeight="1">
      <c r="AJ8761"/>
    </row>
    <row r="8762" spans="36:36" ht="11.25" customHeight="1">
      <c r="AJ8762"/>
    </row>
    <row r="8763" spans="36:36" ht="11.25" customHeight="1">
      <c r="AJ8763"/>
    </row>
    <row r="8764" spans="36:36" ht="11.25" customHeight="1">
      <c r="AJ8764"/>
    </row>
    <row r="8765" spans="36:36" ht="11.25" customHeight="1">
      <c r="AJ8765"/>
    </row>
    <row r="8766" spans="36:36" ht="11.25" customHeight="1">
      <c r="AJ8766"/>
    </row>
    <row r="8767" spans="36:36" ht="11.25" customHeight="1">
      <c r="AJ8767"/>
    </row>
    <row r="8768" spans="36:36" ht="11.25" customHeight="1">
      <c r="AJ8768"/>
    </row>
    <row r="8769" spans="36:36" ht="11.25" customHeight="1">
      <c r="AJ8769"/>
    </row>
    <row r="8770" spans="36:36" ht="11.25" customHeight="1">
      <c r="AJ8770"/>
    </row>
    <row r="8771" spans="36:36" ht="11.25" customHeight="1">
      <c r="AJ8771"/>
    </row>
    <row r="8772" spans="36:36" ht="11.25" customHeight="1">
      <c r="AJ8772"/>
    </row>
    <row r="8773" spans="36:36" ht="11.25" customHeight="1">
      <c r="AJ8773"/>
    </row>
    <row r="8774" spans="36:36" ht="11.25" customHeight="1">
      <c r="AJ8774"/>
    </row>
    <row r="8775" spans="36:36" ht="11.25" customHeight="1">
      <c r="AJ8775"/>
    </row>
    <row r="8776" spans="36:36" ht="11.25" customHeight="1">
      <c r="AJ8776"/>
    </row>
    <row r="8777" spans="36:36" ht="11.25" customHeight="1">
      <c r="AJ8777"/>
    </row>
    <row r="8778" spans="36:36" ht="11.25" customHeight="1">
      <c r="AJ8778"/>
    </row>
    <row r="8779" spans="36:36" ht="11.25" customHeight="1">
      <c r="AJ8779"/>
    </row>
    <row r="8780" spans="36:36" ht="11.25" customHeight="1">
      <c r="AJ8780"/>
    </row>
    <row r="8781" spans="36:36" ht="11.25" customHeight="1">
      <c r="AJ8781"/>
    </row>
    <row r="8782" spans="36:36" ht="11.25" customHeight="1">
      <c r="AJ8782"/>
    </row>
    <row r="8783" spans="36:36" ht="11.25" customHeight="1">
      <c r="AJ8783"/>
    </row>
    <row r="8784" spans="36:36" ht="11.25" customHeight="1">
      <c r="AJ8784"/>
    </row>
    <row r="8785" spans="36:36" ht="11.25" customHeight="1">
      <c r="AJ8785"/>
    </row>
    <row r="8786" spans="36:36" ht="11.25" customHeight="1">
      <c r="AJ8786"/>
    </row>
    <row r="8787" spans="36:36" ht="11.25" customHeight="1">
      <c r="AJ8787"/>
    </row>
    <row r="8788" spans="36:36" ht="11.25" customHeight="1">
      <c r="AJ8788"/>
    </row>
    <row r="8789" spans="36:36" ht="11.25" customHeight="1">
      <c r="AJ8789"/>
    </row>
    <row r="8790" spans="36:36" ht="11.25" customHeight="1">
      <c r="AJ8790"/>
    </row>
    <row r="8791" spans="36:36" ht="11.25" customHeight="1">
      <c r="AJ8791"/>
    </row>
    <row r="8792" spans="36:36" ht="11.25" customHeight="1">
      <c r="AJ8792"/>
    </row>
    <row r="8793" spans="36:36" ht="11.25" customHeight="1">
      <c r="AJ8793"/>
    </row>
    <row r="8794" spans="36:36" ht="11.25" customHeight="1">
      <c r="AJ8794"/>
    </row>
    <row r="8795" spans="36:36" ht="11.25" customHeight="1">
      <c r="AJ8795"/>
    </row>
    <row r="8796" spans="36:36" ht="11.25" customHeight="1">
      <c r="AJ8796"/>
    </row>
    <row r="8797" spans="36:36" ht="11.25" customHeight="1">
      <c r="AJ8797"/>
    </row>
    <row r="8798" spans="36:36" ht="11.25" customHeight="1">
      <c r="AJ8798"/>
    </row>
    <row r="8799" spans="36:36" ht="11.25" customHeight="1">
      <c r="AJ8799"/>
    </row>
    <row r="8800" spans="36:36" ht="11.25" customHeight="1">
      <c r="AJ8800"/>
    </row>
    <row r="8801" spans="36:36" ht="11.25" customHeight="1">
      <c r="AJ8801"/>
    </row>
    <row r="8802" spans="36:36" ht="11.25" customHeight="1">
      <c r="AJ8802"/>
    </row>
    <row r="8803" spans="36:36" ht="11.25" customHeight="1">
      <c r="AJ8803"/>
    </row>
    <row r="8804" spans="36:36" ht="11.25" customHeight="1">
      <c r="AJ8804"/>
    </row>
    <row r="8805" spans="36:36" ht="11.25" customHeight="1">
      <c r="AJ8805"/>
    </row>
    <row r="8806" spans="36:36" ht="11.25" customHeight="1">
      <c r="AJ8806"/>
    </row>
    <row r="8807" spans="36:36" ht="11.25" customHeight="1">
      <c r="AJ8807"/>
    </row>
    <row r="8808" spans="36:36" ht="11.25" customHeight="1">
      <c r="AJ8808"/>
    </row>
    <row r="8809" spans="36:36" ht="11.25" customHeight="1">
      <c r="AJ8809"/>
    </row>
    <row r="8810" spans="36:36" ht="11.25" customHeight="1">
      <c r="AJ8810"/>
    </row>
    <row r="8811" spans="36:36" ht="11.25" customHeight="1">
      <c r="AJ8811"/>
    </row>
    <row r="8812" spans="36:36" ht="11.25" customHeight="1">
      <c r="AJ8812"/>
    </row>
    <row r="8813" spans="36:36" ht="11.25" customHeight="1">
      <c r="AJ8813"/>
    </row>
    <row r="8814" spans="36:36" ht="11.25" customHeight="1">
      <c r="AJ8814"/>
    </row>
    <row r="8815" spans="36:36" ht="11.25" customHeight="1">
      <c r="AJ8815"/>
    </row>
    <row r="8816" spans="36:36" ht="11.25" customHeight="1">
      <c r="AJ8816"/>
    </row>
    <row r="8817" spans="36:36" ht="11.25" customHeight="1">
      <c r="AJ8817"/>
    </row>
    <row r="8818" spans="36:36" ht="11.25" customHeight="1">
      <c r="AJ8818"/>
    </row>
    <row r="8819" spans="36:36" ht="11.25" customHeight="1">
      <c r="AJ8819"/>
    </row>
    <row r="8820" spans="36:36" ht="11.25" customHeight="1">
      <c r="AJ8820"/>
    </row>
    <row r="8821" spans="36:36" ht="11.25" customHeight="1">
      <c r="AJ8821"/>
    </row>
    <row r="8822" spans="36:36" ht="11.25" customHeight="1">
      <c r="AJ8822"/>
    </row>
    <row r="8823" spans="36:36" ht="11.25" customHeight="1">
      <c r="AJ8823"/>
    </row>
    <row r="8824" spans="36:36" ht="11.25" customHeight="1">
      <c r="AJ8824"/>
    </row>
    <row r="8825" spans="36:36" ht="11.25" customHeight="1">
      <c r="AJ8825"/>
    </row>
    <row r="8826" spans="36:36" ht="11.25" customHeight="1">
      <c r="AJ8826"/>
    </row>
    <row r="8827" spans="36:36" ht="11.25" customHeight="1">
      <c r="AJ8827"/>
    </row>
    <row r="8828" spans="36:36" ht="11.25" customHeight="1">
      <c r="AJ8828"/>
    </row>
    <row r="8829" spans="36:36" ht="11.25" customHeight="1">
      <c r="AJ8829"/>
    </row>
    <row r="8830" spans="36:36" ht="11.25" customHeight="1">
      <c r="AJ8830"/>
    </row>
    <row r="8831" spans="36:36" ht="11.25" customHeight="1">
      <c r="AJ8831"/>
    </row>
    <row r="8832" spans="36:36" ht="11.25" customHeight="1">
      <c r="AJ8832"/>
    </row>
    <row r="8833" spans="36:36" ht="11.25" customHeight="1">
      <c r="AJ8833"/>
    </row>
    <row r="8834" spans="36:36" ht="11.25" customHeight="1">
      <c r="AJ8834"/>
    </row>
    <row r="8835" spans="36:36" ht="11.25" customHeight="1">
      <c r="AJ8835"/>
    </row>
    <row r="8836" spans="36:36" ht="11.25" customHeight="1">
      <c r="AJ8836"/>
    </row>
    <row r="8837" spans="36:36" ht="11.25" customHeight="1">
      <c r="AJ8837"/>
    </row>
    <row r="8838" spans="36:36" ht="11.25" customHeight="1">
      <c r="AJ8838"/>
    </row>
    <row r="8839" spans="36:36" ht="11.25" customHeight="1">
      <c r="AJ8839"/>
    </row>
    <row r="8840" spans="36:36" ht="11.25" customHeight="1">
      <c r="AJ8840"/>
    </row>
    <row r="8841" spans="36:36" ht="11.25" customHeight="1">
      <c r="AJ8841"/>
    </row>
    <row r="8842" spans="36:36" ht="11.25" customHeight="1">
      <c r="AJ8842"/>
    </row>
    <row r="8843" spans="36:36" ht="11.25" customHeight="1">
      <c r="AJ8843"/>
    </row>
    <row r="8844" spans="36:36" ht="11.25" customHeight="1">
      <c r="AJ8844"/>
    </row>
    <row r="8845" spans="36:36" ht="11.25" customHeight="1">
      <c r="AJ8845"/>
    </row>
    <row r="8846" spans="36:36" ht="11.25" customHeight="1">
      <c r="AJ8846"/>
    </row>
    <row r="8847" spans="36:36" ht="11.25" customHeight="1">
      <c r="AJ8847"/>
    </row>
    <row r="8848" spans="36:36" ht="11.25" customHeight="1">
      <c r="AJ8848"/>
    </row>
    <row r="8849" spans="36:36" ht="11.25" customHeight="1">
      <c r="AJ8849"/>
    </row>
    <row r="8850" spans="36:36" ht="11.25" customHeight="1">
      <c r="AJ8850"/>
    </row>
    <row r="8851" spans="36:36" ht="11.25" customHeight="1">
      <c r="AJ8851"/>
    </row>
    <row r="8852" spans="36:36" ht="11.25" customHeight="1">
      <c r="AJ8852"/>
    </row>
    <row r="8853" spans="36:36" ht="11.25" customHeight="1">
      <c r="AJ8853"/>
    </row>
    <row r="8854" spans="36:36" ht="11.25" customHeight="1">
      <c r="AJ8854"/>
    </row>
    <row r="8855" spans="36:36" ht="11.25" customHeight="1">
      <c r="AJ8855"/>
    </row>
    <row r="8856" spans="36:36" ht="11.25" customHeight="1">
      <c r="AJ8856"/>
    </row>
    <row r="8857" spans="36:36" ht="11.25" customHeight="1">
      <c r="AJ8857"/>
    </row>
    <row r="8858" spans="36:36" ht="11.25" customHeight="1">
      <c r="AJ8858"/>
    </row>
    <row r="8859" spans="36:36" ht="11.25" customHeight="1">
      <c r="AJ8859"/>
    </row>
    <row r="8860" spans="36:36" ht="11.25" customHeight="1">
      <c r="AJ8860"/>
    </row>
    <row r="8861" spans="36:36" ht="11.25" customHeight="1">
      <c r="AJ8861"/>
    </row>
    <row r="8862" spans="36:36" ht="11.25" customHeight="1">
      <c r="AJ8862"/>
    </row>
    <row r="8863" spans="36:36" ht="11.25" customHeight="1">
      <c r="AJ8863"/>
    </row>
    <row r="8864" spans="36:36" ht="11.25" customHeight="1">
      <c r="AJ8864"/>
    </row>
    <row r="8865" spans="36:36" ht="11.25" customHeight="1">
      <c r="AJ8865"/>
    </row>
    <row r="8866" spans="36:36" ht="11.25" customHeight="1">
      <c r="AJ8866"/>
    </row>
    <row r="8867" spans="36:36" ht="11.25" customHeight="1">
      <c r="AJ8867"/>
    </row>
    <row r="8868" spans="36:36" ht="11.25" customHeight="1">
      <c r="AJ8868"/>
    </row>
    <row r="8869" spans="36:36" ht="11.25" customHeight="1">
      <c r="AJ8869"/>
    </row>
    <row r="8870" spans="36:36" ht="11.25" customHeight="1">
      <c r="AJ8870"/>
    </row>
    <row r="8871" spans="36:36" ht="11.25" customHeight="1">
      <c r="AJ8871"/>
    </row>
    <row r="8872" spans="36:36" ht="11.25" customHeight="1">
      <c r="AJ8872"/>
    </row>
    <row r="8873" spans="36:36" ht="11.25" customHeight="1">
      <c r="AJ8873"/>
    </row>
    <row r="8874" spans="36:36" ht="11.25" customHeight="1">
      <c r="AJ8874"/>
    </row>
    <row r="8875" spans="36:36" ht="11.25" customHeight="1">
      <c r="AJ8875"/>
    </row>
    <row r="8876" spans="36:36" ht="11.25" customHeight="1">
      <c r="AJ8876"/>
    </row>
    <row r="8877" spans="36:36" ht="11.25" customHeight="1">
      <c r="AJ8877"/>
    </row>
    <row r="8878" spans="36:36" ht="11.25" customHeight="1">
      <c r="AJ8878"/>
    </row>
    <row r="8879" spans="36:36" ht="11.25" customHeight="1">
      <c r="AJ8879"/>
    </row>
    <row r="8880" spans="36:36" ht="11.25" customHeight="1">
      <c r="AJ8880"/>
    </row>
    <row r="8881" spans="36:36" ht="11.25" customHeight="1">
      <c r="AJ8881"/>
    </row>
    <row r="8882" spans="36:36" ht="11.25" customHeight="1">
      <c r="AJ8882"/>
    </row>
    <row r="8883" spans="36:36" ht="11.25" customHeight="1">
      <c r="AJ8883"/>
    </row>
    <row r="8884" spans="36:36" ht="11.25" customHeight="1">
      <c r="AJ8884"/>
    </row>
    <row r="8885" spans="36:36" ht="11.25" customHeight="1">
      <c r="AJ8885"/>
    </row>
    <row r="8886" spans="36:36" ht="11.25" customHeight="1">
      <c r="AJ8886"/>
    </row>
    <row r="8887" spans="36:36" ht="11.25" customHeight="1">
      <c r="AJ8887"/>
    </row>
    <row r="8888" spans="36:36" ht="11.25" customHeight="1">
      <c r="AJ8888"/>
    </row>
    <row r="8889" spans="36:36" ht="11.25" customHeight="1">
      <c r="AJ8889"/>
    </row>
    <row r="8890" spans="36:36" ht="11.25" customHeight="1">
      <c r="AJ8890"/>
    </row>
    <row r="8891" spans="36:36" ht="11.25" customHeight="1">
      <c r="AJ8891"/>
    </row>
    <row r="8892" spans="36:36" ht="11.25" customHeight="1">
      <c r="AJ8892"/>
    </row>
    <row r="8893" spans="36:36" ht="11.25" customHeight="1">
      <c r="AJ8893"/>
    </row>
    <row r="8894" spans="36:36" ht="11.25" customHeight="1">
      <c r="AJ8894"/>
    </row>
    <row r="8895" spans="36:36" ht="11.25" customHeight="1">
      <c r="AJ8895"/>
    </row>
    <row r="8896" spans="36:36" ht="11.25" customHeight="1">
      <c r="AJ8896"/>
    </row>
    <row r="8897" spans="36:36" ht="11.25" customHeight="1">
      <c r="AJ8897"/>
    </row>
    <row r="8898" spans="36:36" ht="11.25" customHeight="1">
      <c r="AJ8898"/>
    </row>
    <row r="8899" spans="36:36" ht="11.25" customHeight="1">
      <c r="AJ8899"/>
    </row>
    <row r="8900" spans="36:36" ht="11.25" customHeight="1">
      <c r="AJ8900"/>
    </row>
    <row r="8901" spans="36:36" ht="11.25" customHeight="1">
      <c r="AJ8901"/>
    </row>
    <row r="8902" spans="36:36" ht="11.25" customHeight="1">
      <c r="AJ8902"/>
    </row>
    <row r="8903" spans="36:36" ht="11.25" customHeight="1">
      <c r="AJ8903"/>
    </row>
    <row r="8904" spans="36:36" ht="11.25" customHeight="1">
      <c r="AJ8904"/>
    </row>
    <row r="8905" spans="36:36" ht="11.25" customHeight="1">
      <c r="AJ8905"/>
    </row>
    <row r="8906" spans="36:36" ht="11.25" customHeight="1">
      <c r="AJ8906"/>
    </row>
    <row r="8907" spans="36:36" ht="11.25" customHeight="1">
      <c r="AJ8907"/>
    </row>
    <row r="8908" spans="36:36" ht="11.25" customHeight="1">
      <c r="AJ8908"/>
    </row>
    <row r="8909" spans="36:36" ht="11.25" customHeight="1">
      <c r="AJ8909"/>
    </row>
    <row r="8910" spans="36:36" ht="11.25" customHeight="1">
      <c r="AJ8910"/>
    </row>
    <row r="8911" spans="36:36" ht="11.25" customHeight="1">
      <c r="AJ8911"/>
    </row>
    <row r="8912" spans="36:36" ht="11.25" customHeight="1">
      <c r="AJ8912"/>
    </row>
    <row r="8913" spans="36:36" ht="11.25" customHeight="1">
      <c r="AJ8913"/>
    </row>
    <row r="8914" spans="36:36" ht="11.25" customHeight="1">
      <c r="AJ8914"/>
    </row>
    <row r="8915" spans="36:36" ht="11.25" customHeight="1">
      <c r="AJ8915"/>
    </row>
    <row r="8916" spans="36:36" ht="11.25" customHeight="1">
      <c r="AJ8916"/>
    </row>
    <row r="8917" spans="36:36" ht="11.25" customHeight="1">
      <c r="AJ8917"/>
    </row>
    <row r="8918" spans="36:36" ht="11.25" customHeight="1">
      <c r="AJ8918"/>
    </row>
    <row r="8919" spans="36:36" ht="11.25" customHeight="1">
      <c r="AJ8919"/>
    </row>
    <row r="8920" spans="36:36" ht="11.25" customHeight="1">
      <c r="AJ8920"/>
    </row>
    <row r="8921" spans="36:36" ht="11.25" customHeight="1">
      <c r="AJ8921"/>
    </row>
    <row r="8922" spans="36:36" ht="11.25" customHeight="1">
      <c r="AJ8922"/>
    </row>
    <row r="8923" spans="36:36" ht="11.25" customHeight="1">
      <c r="AJ8923"/>
    </row>
    <row r="8924" spans="36:36" ht="11.25" customHeight="1">
      <c r="AJ8924"/>
    </row>
    <row r="8925" spans="36:36" ht="11.25" customHeight="1">
      <c r="AJ8925"/>
    </row>
    <row r="8926" spans="36:36" ht="11.25" customHeight="1">
      <c r="AJ8926"/>
    </row>
    <row r="8927" spans="36:36" ht="11.25" customHeight="1">
      <c r="AJ8927"/>
    </row>
    <row r="8928" spans="36:36" ht="11.25" customHeight="1">
      <c r="AJ8928"/>
    </row>
    <row r="8929" spans="36:36" ht="11.25" customHeight="1">
      <c r="AJ8929"/>
    </row>
    <row r="8930" spans="36:36" ht="11.25" customHeight="1">
      <c r="AJ8930"/>
    </row>
    <row r="8931" spans="36:36" ht="11.25" customHeight="1">
      <c r="AJ8931"/>
    </row>
    <row r="8932" spans="36:36" ht="11.25" customHeight="1">
      <c r="AJ8932"/>
    </row>
    <row r="8933" spans="36:36" ht="11.25" customHeight="1">
      <c r="AJ8933"/>
    </row>
    <row r="8934" spans="36:36" ht="11.25" customHeight="1">
      <c r="AJ8934"/>
    </row>
    <row r="8935" spans="36:36" ht="11.25" customHeight="1">
      <c r="AJ8935"/>
    </row>
    <row r="8936" spans="36:36" ht="11.25" customHeight="1">
      <c r="AJ8936"/>
    </row>
    <row r="8937" spans="36:36" ht="11.25" customHeight="1">
      <c r="AJ8937"/>
    </row>
    <row r="8938" spans="36:36" ht="11.25" customHeight="1">
      <c r="AJ8938"/>
    </row>
    <row r="8939" spans="36:36" ht="11.25" customHeight="1">
      <c r="AJ8939"/>
    </row>
    <row r="8940" spans="36:36" ht="11.25" customHeight="1">
      <c r="AJ8940"/>
    </row>
    <row r="8941" spans="36:36" ht="11.25" customHeight="1">
      <c r="AJ8941"/>
    </row>
    <row r="8942" spans="36:36" ht="11.25" customHeight="1">
      <c r="AJ8942"/>
    </row>
    <row r="8943" spans="36:36" ht="11.25" customHeight="1">
      <c r="AJ8943"/>
    </row>
    <row r="8944" spans="36:36" ht="11.25" customHeight="1">
      <c r="AJ8944"/>
    </row>
    <row r="8945" spans="36:36" ht="11.25" customHeight="1">
      <c r="AJ8945"/>
    </row>
    <row r="8946" spans="36:36" ht="11.25" customHeight="1">
      <c r="AJ8946"/>
    </row>
    <row r="8947" spans="36:36" ht="11.25" customHeight="1">
      <c r="AJ8947"/>
    </row>
    <row r="8948" spans="36:36" ht="11.25" customHeight="1">
      <c r="AJ8948"/>
    </row>
    <row r="8949" spans="36:36" ht="11.25" customHeight="1">
      <c r="AJ8949"/>
    </row>
    <row r="8950" spans="36:36" ht="11.25" customHeight="1">
      <c r="AJ8950"/>
    </row>
    <row r="8951" spans="36:36" ht="11.25" customHeight="1">
      <c r="AJ8951"/>
    </row>
    <row r="8952" spans="36:36" ht="11.25" customHeight="1">
      <c r="AJ8952"/>
    </row>
    <row r="8953" spans="36:36" ht="11.25" customHeight="1">
      <c r="AJ8953"/>
    </row>
    <row r="8954" spans="36:36" ht="11.25" customHeight="1">
      <c r="AJ8954"/>
    </row>
    <row r="8955" spans="36:36" ht="11.25" customHeight="1">
      <c r="AJ8955"/>
    </row>
    <row r="8956" spans="36:36" ht="11.25" customHeight="1">
      <c r="AJ8956"/>
    </row>
    <row r="8957" spans="36:36" ht="11.25" customHeight="1">
      <c r="AJ8957"/>
    </row>
    <row r="8958" spans="36:36" ht="11.25" customHeight="1">
      <c r="AJ8958"/>
    </row>
    <row r="8959" spans="36:36" ht="11.25" customHeight="1">
      <c r="AJ8959"/>
    </row>
    <row r="8960" spans="36:36" ht="11.25" customHeight="1">
      <c r="AJ8960"/>
    </row>
    <row r="8961" spans="36:36" ht="11.25" customHeight="1">
      <c r="AJ8961"/>
    </row>
    <row r="8962" spans="36:36" ht="11.25" customHeight="1">
      <c r="AJ8962"/>
    </row>
    <row r="8963" spans="36:36" ht="11.25" customHeight="1">
      <c r="AJ8963"/>
    </row>
    <row r="8964" spans="36:36" ht="11.25" customHeight="1">
      <c r="AJ8964"/>
    </row>
    <row r="8965" spans="36:36" ht="11.25" customHeight="1">
      <c r="AJ8965"/>
    </row>
    <row r="8966" spans="36:36" ht="11.25" customHeight="1">
      <c r="AJ8966"/>
    </row>
    <row r="8967" spans="36:36" ht="11.25" customHeight="1">
      <c r="AJ8967"/>
    </row>
    <row r="8968" spans="36:36" ht="11.25" customHeight="1">
      <c r="AJ8968"/>
    </row>
    <row r="8969" spans="36:36" ht="11.25" customHeight="1">
      <c r="AJ8969"/>
    </row>
    <row r="8970" spans="36:36" ht="11.25" customHeight="1">
      <c r="AJ8970"/>
    </row>
    <row r="8971" spans="36:36" ht="11.25" customHeight="1">
      <c r="AJ8971"/>
    </row>
    <row r="8972" spans="36:36" ht="11.25" customHeight="1">
      <c r="AJ8972"/>
    </row>
    <row r="8973" spans="36:36" ht="11.25" customHeight="1">
      <c r="AJ8973"/>
    </row>
    <row r="8974" spans="36:36" ht="11.25" customHeight="1">
      <c r="AJ8974"/>
    </row>
    <row r="8975" spans="36:36" ht="11.25" customHeight="1">
      <c r="AJ8975"/>
    </row>
    <row r="8976" spans="36:36" ht="11.25" customHeight="1">
      <c r="AJ8976"/>
    </row>
    <row r="8977" spans="36:36" ht="11.25" customHeight="1">
      <c r="AJ8977"/>
    </row>
    <row r="8978" spans="36:36" ht="11.25" customHeight="1">
      <c r="AJ8978"/>
    </row>
    <row r="8979" spans="36:36" ht="11.25" customHeight="1">
      <c r="AJ8979"/>
    </row>
    <row r="8980" spans="36:36" ht="11.25" customHeight="1">
      <c r="AJ8980"/>
    </row>
    <row r="8981" spans="36:36" ht="11.25" customHeight="1">
      <c r="AJ8981"/>
    </row>
    <row r="8982" spans="36:36" ht="11.25" customHeight="1">
      <c r="AJ8982"/>
    </row>
    <row r="8983" spans="36:36" ht="11.25" customHeight="1">
      <c r="AJ8983"/>
    </row>
    <row r="8984" spans="36:36" ht="11.25" customHeight="1">
      <c r="AJ8984"/>
    </row>
    <row r="8985" spans="36:36" ht="11.25" customHeight="1">
      <c r="AJ8985"/>
    </row>
    <row r="8986" spans="36:36" ht="11.25" customHeight="1">
      <c r="AJ8986"/>
    </row>
    <row r="8987" spans="36:36" ht="11.25" customHeight="1">
      <c r="AJ8987"/>
    </row>
    <row r="8988" spans="36:36" ht="11.25" customHeight="1">
      <c r="AJ8988"/>
    </row>
    <row r="8989" spans="36:36" ht="11.25" customHeight="1">
      <c r="AJ8989"/>
    </row>
    <row r="8990" spans="36:36" ht="11.25" customHeight="1">
      <c r="AJ8990"/>
    </row>
    <row r="8991" spans="36:36" ht="11.25" customHeight="1">
      <c r="AJ8991"/>
    </row>
    <row r="8992" spans="36:36" ht="11.25" customHeight="1">
      <c r="AJ8992"/>
    </row>
    <row r="8993" spans="36:36" ht="11.25" customHeight="1">
      <c r="AJ8993"/>
    </row>
    <row r="8994" spans="36:36" ht="11.25" customHeight="1">
      <c r="AJ8994"/>
    </row>
    <row r="8995" spans="36:36" ht="11.25" customHeight="1">
      <c r="AJ8995"/>
    </row>
    <row r="8996" spans="36:36" ht="11.25" customHeight="1">
      <c r="AJ8996"/>
    </row>
    <row r="8997" spans="36:36" ht="11.25" customHeight="1">
      <c r="AJ8997"/>
    </row>
    <row r="8998" spans="36:36" ht="11.25" customHeight="1">
      <c r="AJ8998"/>
    </row>
    <row r="8999" spans="36:36" ht="11.25" customHeight="1">
      <c r="AJ8999"/>
    </row>
    <row r="9000" spans="36:36" ht="11.25" customHeight="1">
      <c r="AJ9000"/>
    </row>
    <row r="9001" spans="36:36" ht="11.25" customHeight="1">
      <c r="AJ9001"/>
    </row>
    <row r="9002" spans="36:36" ht="11.25" customHeight="1">
      <c r="AJ9002"/>
    </row>
    <row r="9003" spans="36:36" ht="11.25" customHeight="1">
      <c r="AJ9003"/>
    </row>
    <row r="9004" spans="36:36" ht="11.25" customHeight="1">
      <c r="AJ9004"/>
    </row>
    <row r="9005" spans="36:36" ht="11.25" customHeight="1">
      <c r="AJ9005"/>
    </row>
    <row r="9006" spans="36:36" ht="11.25" customHeight="1">
      <c r="AJ9006"/>
    </row>
    <row r="9007" spans="36:36" ht="11.25" customHeight="1">
      <c r="AJ9007"/>
    </row>
    <row r="9008" spans="36:36" ht="11.25" customHeight="1">
      <c r="AJ9008"/>
    </row>
    <row r="9009" spans="36:36" ht="11.25" customHeight="1">
      <c r="AJ9009"/>
    </row>
    <row r="9010" spans="36:36" ht="11.25" customHeight="1">
      <c r="AJ9010"/>
    </row>
    <row r="9011" spans="36:36" ht="11.25" customHeight="1">
      <c r="AJ9011"/>
    </row>
    <row r="9012" spans="36:36" ht="11.25" customHeight="1">
      <c r="AJ9012"/>
    </row>
    <row r="9013" spans="36:36" ht="11.25" customHeight="1">
      <c r="AJ9013"/>
    </row>
    <row r="9014" spans="36:36" ht="11.25" customHeight="1">
      <c r="AJ9014"/>
    </row>
    <row r="9015" spans="36:36" ht="11.25" customHeight="1">
      <c r="AJ9015"/>
    </row>
    <row r="9016" spans="36:36" ht="11.25" customHeight="1">
      <c r="AJ9016"/>
    </row>
    <row r="9017" spans="36:36" ht="11.25" customHeight="1">
      <c r="AJ9017"/>
    </row>
    <row r="9018" spans="36:36" ht="11.25" customHeight="1">
      <c r="AJ9018"/>
    </row>
    <row r="9019" spans="36:36" ht="11.25" customHeight="1">
      <c r="AJ9019"/>
    </row>
    <row r="9020" spans="36:36" ht="11.25" customHeight="1">
      <c r="AJ9020"/>
    </row>
    <row r="9021" spans="36:36" ht="11.25" customHeight="1">
      <c r="AJ9021"/>
    </row>
    <row r="9022" spans="36:36" ht="11.25" customHeight="1">
      <c r="AJ9022"/>
    </row>
    <row r="9023" spans="36:36" ht="11.25" customHeight="1">
      <c r="AJ9023"/>
    </row>
    <row r="9024" spans="36:36" ht="11.25" customHeight="1">
      <c r="AJ9024"/>
    </row>
    <row r="9025" spans="36:36" ht="11.25" customHeight="1">
      <c r="AJ9025"/>
    </row>
    <row r="9026" spans="36:36" ht="11.25" customHeight="1">
      <c r="AJ9026"/>
    </row>
    <row r="9027" spans="36:36" ht="11.25" customHeight="1">
      <c r="AJ9027"/>
    </row>
    <row r="9028" spans="36:36" ht="11.25" customHeight="1">
      <c r="AJ9028"/>
    </row>
    <row r="9029" spans="36:36" ht="11.25" customHeight="1">
      <c r="AJ9029"/>
    </row>
    <row r="9030" spans="36:36" ht="11.25" customHeight="1">
      <c r="AJ9030"/>
    </row>
    <row r="9031" spans="36:36" ht="11.25" customHeight="1">
      <c r="AJ9031"/>
    </row>
    <row r="9032" spans="36:36" ht="11.25" customHeight="1">
      <c r="AJ9032"/>
    </row>
    <row r="9033" spans="36:36" ht="11.25" customHeight="1">
      <c r="AJ9033"/>
    </row>
    <row r="9034" spans="36:36" ht="11.25" customHeight="1">
      <c r="AJ9034"/>
    </row>
    <row r="9035" spans="36:36" ht="11.25" customHeight="1">
      <c r="AJ9035"/>
    </row>
    <row r="9036" spans="36:36" ht="11.25" customHeight="1">
      <c r="AJ9036"/>
    </row>
    <row r="9037" spans="36:36" ht="11.25" customHeight="1">
      <c r="AJ9037"/>
    </row>
    <row r="9038" spans="36:36" ht="11.25" customHeight="1">
      <c r="AJ9038"/>
    </row>
    <row r="9039" spans="36:36" ht="11.25" customHeight="1">
      <c r="AJ9039"/>
    </row>
    <row r="9040" spans="36:36" ht="11.25" customHeight="1">
      <c r="AJ9040"/>
    </row>
    <row r="9041" spans="36:36" ht="11.25" customHeight="1">
      <c r="AJ9041"/>
    </row>
    <row r="9042" spans="36:36" ht="11.25" customHeight="1">
      <c r="AJ9042"/>
    </row>
    <row r="9043" spans="36:36" ht="11.25" customHeight="1">
      <c r="AJ9043"/>
    </row>
    <row r="9044" spans="36:36" ht="11.25" customHeight="1">
      <c r="AJ9044"/>
    </row>
    <row r="9045" spans="36:36" ht="11.25" customHeight="1">
      <c r="AJ9045"/>
    </row>
    <row r="9046" spans="36:36" ht="11.25" customHeight="1">
      <c r="AJ9046"/>
    </row>
    <row r="9047" spans="36:36" ht="11.25" customHeight="1">
      <c r="AJ9047"/>
    </row>
    <row r="9048" spans="36:36" ht="11.25" customHeight="1">
      <c r="AJ9048"/>
    </row>
    <row r="9049" spans="36:36" ht="11.25" customHeight="1">
      <c r="AJ9049"/>
    </row>
    <row r="9050" spans="36:36" ht="11.25" customHeight="1">
      <c r="AJ9050"/>
    </row>
    <row r="9051" spans="36:36" ht="11.25" customHeight="1">
      <c r="AJ9051"/>
    </row>
    <row r="9052" spans="36:36" ht="11.25" customHeight="1">
      <c r="AJ9052"/>
    </row>
    <row r="9053" spans="36:36" ht="11.25" customHeight="1">
      <c r="AJ9053"/>
    </row>
    <row r="9054" spans="36:36" ht="11.25" customHeight="1">
      <c r="AJ9054"/>
    </row>
    <row r="9055" spans="36:36" ht="11.25" customHeight="1">
      <c r="AJ9055"/>
    </row>
    <row r="9056" spans="36:36" ht="11.25" customHeight="1">
      <c r="AJ9056"/>
    </row>
    <row r="9057" spans="36:36" ht="11.25" customHeight="1">
      <c r="AJ9057"/>
    </row>
    <row r="9058" spans="36:36" ht="11.25" customHeight="1">
      <c r="AJ9058"/>
    </row>
    <row r="9059" spans="36:36" ht="11.25" customHeight="1">
      <c r="AJ9059"/>
    </row>
    <row r="9060" spans="36:36" ht="11.25" customHeight="1">
      <c r="AJ9060"/>
    </row>
    <row r="9061" spans="36:36" ht="11.25" customHeight="1">
      <c r="AJ9061"/>
    </row>
    <row r="9062" spans="36:36" ht="11.25" customHeight="1">
      <c r="AJ9062"/>
    </row>
    <row r="9063" spans="36:36" ht="11.25" customHeight="1">
      <c r="AJ9063"/>
    </row>
    <row r="9064" spans="36:36" ht="11.25" customHeight="1">
      <c r="AJ9064"/>
    </row>
    <row r="9065" spans="36:36" ht="11.25" customHeight="1">
      <c r="AJ9065"/>
    </row>
    <row r="9066" spans="36:36" ht="11.25" customHeight="1">
      <c r="AJ9066"/>
    </row>
    <row r="9067" spans="36:36" ht="11.25" customHeight="1">
      <c r="AJ9067"/>
    </row>
    <row r="9068" spans="36:36" ht="11.25" customHeight="1">
      <c r="AJ9068"/>
    </row>
    <row r="9069" spans="36:36" ht="11.25" customHeight="1">
      <c r="AJ9069"/>
    </row>
    <row r="9070" spans="36:36" ht="11.25" customHeight="1">
      <c r="AJ9070"/>
    </row>
    <row r="9071" spans="36:36" ht="11.25" customHeight="1">
      <c r="AJ9071"/>
    </row>
    <row r="9072" spans="36:36" ht="11.25" customHeight="1">
      <c r="AJ9072"/>
    </row>
    <row r="9073" spans="36:36" ht="11.25" customHeight="1">
      <c r="AJ9073"/>
    </row>
    <row r="9074" spans="36:36" ht="11.25" customHeight="1">
      <c r="AJ9074"/>
    </row>
    <row r="9075" spans="36:36" ht="11.25" customHeight="1">
      <c r="AJ9075"/>
    </row>
    <row r="9076" spans="36:36" ht="11.25" customHeight="1">
      <c r="AJ9076"/>
    </row>
    <row r="9077" spans="36:36" ht="11.25" customHeight="1">
      <c r="AJ9077"/>
    </row>
    <row r="9078" spans="36:36" ht="11.25" customHeight="1">
      <c r="AJ9078"/>
    </row>
    <row r="9079" spans="36:36" ht="11.25" customHeight="1">
      <c r="AJ9079"/>
    </row>
    <row r="9080" spans="36:36" ht="11.25" customHeight="1">
      <c r="AJ9080"/>
    </row>
    <row r="9081" spans="36:36" ht="11.25" customHeight="1">
      <c r="AJ9081"/>
    </row>
    <row r="9082" spans="36:36" ht="11.25" customHeight="1">
      <c r="AJ9082"/>
    </row>
    <row r="9083" spans="36:36" ht="11.25" customHeight="1">
      <c r="AJ9083"/>
    </row>
    <row r="9084" spans="36:36" ht="11.25" customHeight="1">
      <c r="AJ9084"/>
    </row>
    <row r="9085" spans="36:36" ht="11.25" customHeight="1">
      <c r="AJ9085"/>
    </row>
    <row r="9086" spans="36:36" ht="11.25" customHeight="1">
      <c r="AJ9086"/>
    </row>
    <row r="9087" spans="36:36" ht="11.25" customHeight="1">
      <c r="AJ9087"/>
    </row>
    <row r="9088" spans="36:36" ht="11.25" customHeight="1">
      <c r="AJ9088"/>
    </row>
    <row r="9089" spans="36:36" ht="11.25" customHeight="1">
      <c r="AJ9089"/>
    </row>
    <row r="9090" spans="36:36" ht="11.25" customHeight="1">
      <c r="AJ9090"/>
    </row>
    <row r="9091" spans="36:36" ht="11.25" customHeight="1">
      <c r="AJ9091"/>
    </row>
    <row r="9092" spans="36:36" ht="11.25" customHeight="1">
      <c r="AJ9092"/>
    </row>
    <row r="9093" spans="36:36" ht="11.25" customHeight="1">
      <c r="AJ9093"/>
    </row>
    <row r="9094" spans="36:36" ht="11.25" customHeight="1">
      <c r="AJ9094"/>
    </row>
    <row r="9095" spans="36:36" ht="11.25" customHeight="1">
      <c r="AJ9095"/>
    </row>
    <row r="9096" spans="36:36" ht="11.25" customHeight="1">
      <c r="AJ9096"/>
    </row>
    <row r="9097" spans="36:36" ht="11.25" customHeight="1">
      <c r="AJ9097"/>
    </row>
    <row r="9098" spans="36:36" ht="11.25" customHeight="1">
      <c r="AJ9098"/>
    </row>
    <row r="9099" spans="36:36" ht="11.25" customHeight="1">
      <c r="AJ9099"/>
    </row>
    <row r="9100" spans="36:36" ht="11.25" customHeight="1">
      <c r="AJ9100"/>
    </row>
    <row r="9101" spans="36:36" ht="11.25" customHeight="1">
      <c r="AJ9101"/>
    </row>
    <row r="9102" spans="36:36" ht="11.25" customHeight="1">
      <c r="AJ9102"/>
    </row>
    <row r="9103" spans="36:36" ht="11.25" customHeight="1">
      <c r="AJ9103"/>
    </row>
    <row r="9104" spans="36:36" ht="11.25" customHeight="1">
      <c r="AJ9104"/>
    </row>
    <row r="9105" spans="36:36" ht="11.25" customHeight="1">
      <c r="AJ9105"/>
    </row>
    <row r="9106" spans="36:36" ht="11.25" customHeight="1">
      <c r="AJ9106"/>
    </row>
    <row r="9107" spans="36:36" ht="11.25" customHeight="1">
      <c r="AJ9107"/>
    </row>
    <row r="9108" spans="36:36" ht="11.25" customHeight="1">
      <c r="AJ9108"/>
    </row>
    <row r="9109" spans="36:36" ht="11.25" customHeight="1">
      <c r="AJ9109"/>
    </row>
    <row r="9110" spans="36:36" ht="11.25" customHeight="1">
      <c r="AJ9110"/>
    </row>
    <row r="9111" spans="36:36" ht="11.25" customHeight="1">
      <c r="AJ9111"/>
    </row>
    <row r="9112" spans="36:36" ht="11.25" customHeight="1">
      <c r="AJ9112"/>
    </row>
    <row r="9113" spans="36:36" ht="11.25" customHeight="1">
      <c r="AJ9113"/>
    </row>
    <row r="9114" spans="36:36" ht="11.25" customHeight="1">
      <c r="AJ9114"/>
    </row>
    <row r="9115" spans="36:36" ht="11.25" customHeight="1">
      <c r="AJ9115"/>
    </row>
    <row r="9116" spans="36:36" ht="11.25" customHeight="1">
      <c r="AJ9116"/>
    </row>
    <row r="9117" spans="36:36" ht="11.25" customHeight="1">
      <c r="AJ9117"/>
    </row>
    <row r="9118" spans="36:36" ht="11.25" customHeight="1">
      <c r="AJ9118"/>
    </row>
    <row r="9119" spans="36:36" ht="11.25" customHeight="1">
      <c r="AJ9119"/>
    </row>
    <row r="9120" spans="36:36" ht="11.25" customHeight="1">
      <c r="AJ9120"/>
    </row>
    <row r="9121" spans="36:36" ht="11.25" customHeight="1">
      <c r="AJ9121"/>
    </row>
    <row r="9122" spans="36:36" ht="11.25" customHeight="1">
      <c r="AJ9122"/>
    </row>
    <row r="9123" spans="36:36" ht="11.25" customHeight="1">
      <c r="AJ9123"/>
    </row>
    <row r="9124" spans="36:36" ht="11.25" customHeight="1">
      <c r="AJ9124"/>
    </row>
    <row r="9125" spans="36:36" ht="11.25" customHeight="1">
      <c r="AJ9125"/>
    </row>
    <row r="9126" spans="36:36" ht="11.25" customHeight="1">
      <c r="AJ9126"/>
    </row>
    <row r="9127" spans="36:36" ht="11.25" customHeight="1">
      <c r="AJ9127"/>
    </row>
    <row r="9128" spans="36:36" ht="11.25" customHeight="1">
      <c r="AJ9128"/>
    </row>
    <row r="9129" spans="36:36" ht="11.25" customHeight="1">
      <c r="AJ9129"/>
    </row>
    <row r="9130" spans="36:36" ht="11.25" customHeight="1">
      <c r="AJ9130"/>
    </row>
    <row r="9131" spans="36:36" ht="11.25" customHeight="1">
      <c r="AJ9131"/>
    </row>
    <row r="9132" spans="36:36" ht="11.25" customHeight="1">
      <c r="AJ9132"/>
    </row>
    <row r="9133" spans="36:36" ht="11.25" customHeight="1">
      <c r="AJ9133"/>
    </row>
    <row r="9134" spans="36:36" ht="11.25" customHeight="1">
      <c r="AJ9134"/>
    </row>
    <row r="9135" spans="36:36" ht="11.25" customHeight="1">
      <c r="AJ9135"/>
    </row>
    <row r="9136" spans="36:36" ht="11.25" customHeight="1">
      <c r="AJ9136"/>
    </row>
    <row r="9137" spans="36:36" ht="11.25" customHeight="1">
      <c r="AJ9137"/>
    </row>
    <row r="9138" spans="36:36" ht="11.25" customHeight="1">
      <c r="AJ9138"/>
    </row>
    <row r="9139" spans="36:36" ht="11.25" customHeight="1">
      <c r="AJ9139"/>
    </row>
    <row r="9140" spans="36:36" ht="11.25" customHeight="1">
      <c r="AJ9140"/>
    </row>
    <row r="9141" spans="36:36" ht="11.25" customHeight="1">
      <c r="AJ9141"/>
    </row>
    <row r="9142" spans="36:36" ht="11.25" customHeight="1">
      <c r="AJ9142"/>
    </row>
    <row r="9143" spans="36:36" ht="11.25" customHeight="1">
      <c r="AJ9143"/>
    </row>
    <row r="9144" spans="36:36" ht="11.25" customHeight="1">
      <c r="AJ9144"/>
    </row>
    <row r="9145" spans="36:36" ht="11.25" customHeight="1">
      <c r="AJ9145"/>
    </row>
    <row r="9146" spans="36:36" ht="11.25" customHeight="1">
      <c r="AJ9146"/>
    </row>
    <row r="9147" spans="36:36" ht="11.25" customHeight="1">
      <c r="AJ9147"/>
    </row>
    <row r="9148" spans="36:36" ht="11.25" customHeight="1">
      <c r="AJ9148"/>
    </row>
    <row r="9149" spans="36:36" ht="11.25" customHeight="1">
      <c r="AJ9149"/>
    </row>
    <row r="9150" spans="36:36" ht="11.25" customHeight="1">
      <c r="AJ9150"/>
    </row>
    <row r="9151" spans="36:36" ht="11.25" customHeight="1">
      <c r="AJ9151"/>
    </row>
    <row r="9152" spans="36:36" ht="11.25" customHeight="1">
      <c r="AJ9152"/>
    </row>
    <row r="9153" spans="36:36" ht="11.25" customHeight="1">
      <c r="AJ9153"/>
    </row>
    <row r="9154" spans="36:36" ht="11.25" customHeight="1">
      <c r="AJ9154"/>
    </row>
    <row r="9155" spans="36:36" ht="11.25" customHeight="1">
      <c r="AJ9155"/>
    </row>
    <row r="9156" spans="36:36" ht="11.25" customHeight="1">
      <c r="AJ9156"/>
    </row>
    <row r="9157" spans="36:36" ht="11.25" customHeight="1">
      <c r="AJ9157"/>
    </row>
    <row r="9158" spans="36:36" ht="11.25" customHeight="1">
      <c r="AJ9158"/>
    </row>
    <row r="9159" spans="36:36" ht="11.25" customHeight="1">
      <c r="AJ9159"/>
    </row>
    <row r="9160" spans="36:36" ht="11.25" customHeight="1">
      <c r="AJ9160"/>
    </row>
    <row r="9161" spans="36:36" ht="11.25" customHeight="1">
      <c r="AJ9161"/>
    </row>
    <row r="9162" spans="36:36" ht="11.25" customHeight="1">
      <c r="AJ9162"/>
    </row>
    <row r="9163" spans="36:36" ht="11.25" customHeight="1">
      <c r="AJ9163"/>
    </row>
    <row r="9164" spans="36:36" ht="11.25" customHeight="1">
      <c r="AJ9164"/>
    </row>
    <row r="9165" spans="36:36" ht="11.25" customHeight="1">
      <c r="AJ9165"/>
    </row>
    <row r="9166" spans="36:36" ht="11.25" customHeight="1">
      <c r="AJ9166"/>
    </row>
    <row r="9167" spans="36:36" ht="11.25" customHeight="1">
      <c r="AJ9167"/>
    </row>
    <row r="9168" spans="36:36" ht="11.25" customHeight="1">
      <c r="AJ9168"/>
    </row>
    <row r="9169" spans="36:36" ht="11.25" customHeight="1">
      <c r="AJ9169"/>
    </row>
    <row r="9170" spans="36:36" ht="11.25" customHeight="1">
      <c r="AJ9170"/>
    </row>
    <row r="9171" spans="36:36" ht="11.25" customHeight="1">
      <c r="AJ9171"/>
    </row>
    <row r="9172" spans="36:36" ht="11.25" customHeight="1">
      <c r="AJ9172"/>
    </row>
    <row r="9173" spans="36:36" ht="11.25" customHeight="1">
      <c r="AJ9173"/>
    </row>
    <row r="9174" spans="36:36" ht="11.25" customHeight="1">
      <c r="AJ9174"/>
    </row>
    <row r="9175" spans="36:36" ht="11.25" customHeight="1">
      <c r="AJ9175"/>
    </row>
    <row r="9176" spans="36:36" ht="11.25" customHeight="1">
      <c r="AJ9176"/>
    </row>
    <row r="9177" spans="36:36" ht="11.25" customHeight="1">
      <c r="AJ9177"/>
    </row>
    <row r="9178" spans="36:36" ht="11.25" customHeight="1">
      <c r="AJ9178"/>
    </row>
    <row r="9179" spans="36:36" ht="11.25" customHeight="1">
      <c r="AJ9179"/>
    </row>
    <row r="9180" spans="36:36" ht="11.25" customHeight="1">
      <c r="AJ9180"/>
    </row>
    <row r="9181" spans="36:36" ht="11.25" customHeight="1">
      <c r="AJ9181"/>
    </row>
    <row r="9182" spans="36:36" ht="11.25" customHeight="1">
      <c r="AJ9182"/>
    </row>
    <row r="9183" spans="36:36" ht="11.25" customHeight="1">
      <c r="AJ9183"/>
    </row>
    <row r="9184" spans="36:36" ht="11.25" customHeight="1">
      <c r="AJ9184"/>
    </row>
    <row r="9185" spans="36:36" ht="11.25" customHeight="1">
      <c r="AJ9185"/>
    </row>
    <row r="9186" spans="36:36" ht="11.25" customHeight="1">
      <c r="AJ9186"/>
    </row>
    <row r="9187" spans="36:36" ht="11.25" customHeight="1">
      <c r="AJ9187"/>
    </row>
    <row r="9188" spans="36:36" ht="11.25" customHeight="1">
      <c r="AJ9188"/>
    </row>
    <row r="9189" spans="36:36" ht="11.25" customHeight="1">
      <c r="AJ9189"/>
    </row>
    <row r="9190" spans="36:36" ht="11.25" customHeight="1">
      <c r="AJ9190"/>
    </row>
    <row r="9191" spans="36:36" ht="11.25" customHeight="1">
      <c r="AJ9191"/>
    </row>
    <row r="9192" spans="36:36" ht="11.25" customHeight="1">
      <c r="AJ9192"/>
    </row>
    <row r="9193" spans="36:36" ht="11.25" customHeight="1">
      <c r="AJ9193"/>
    </row>
    <row r="9194" spans="36:36" ht="11.25" customHeight="1">
      <c r="AJ9194"/>
    </row>
    <row r="9195" spans="36:36" ht="11.25" customHeight="1">
      <c r="AJ9195"/>
    </row>
    <row r="9196" spans="36:36" ht="11.25" customHeight="1">
      <c r="AJ9196"/>
    </row>
    <row r="9197" spans="36:36" ht="11.25" customHeight="1">
      <c r="AJ9197"/>
    </row>
    <row r="9198" spans="36:36" ht="11.25" customHeight="1">
      <c r="AJ9198"/>
    </row>
    <row r="9199" spans="36:36" ht="11.25" customHeight="1">
      <c r="AJ9199"/>
    </row>
    <row r="9200" spans="36:36" ht="11.25" customHeight="1">
      <c r="AJ9200"/>
    </row>
    <row r="9201" spans="36:36" ht="11.25" customHeight="1">
      <c r="AJ9201"/>
    </row>
    <row r="9202" spans="36:36" ht="11.25" customHeight="1">
      <c r="AJ9202"/>
    </row>
    <row r="9203" spans="36:36" ht="11.25" customHeight="1">
      <c r="AJ9203"/>
    </row>
    <row r="9204" spans="36:36" ht="11.25" customHeight="1">
      <c r="AJ9204"/>
    </row>
    <row r="9205" spans="36:36" ht="11.25" customHeight="1">
      <c r="AJ9205"/>
    </row>
    <row r="9206" spans="36:36" ht="11.25" customHeight="1">
      <c r="AJ9206"/>
    </row>
    <row r="9207" spans="36:36" ht="11.25" customHeight="1">
      <c r="AJ9207"/>
    </row>
    <row r="9208" spans="36:36" ht="11.25" customHeight="1">
      <c r="AJ9208"/>
    </row>
    <row r="9209" spans="36:36" ht="11.25" customHeight="1">
      <c r="AJ9209"/>
    </row>
    <row r="9210" spans="36:36" ht="11.25" customHeight="1">
      <c r="AJ9210"/>
    </row>
    <row r="9211" spans="36:36" ht="11.25" customHeight="1">
      <c r="AJ9211"/>
    </row>
    <row r="9212" spans="36:36" ht="11.25" customHeight="1">
      <c r="AJ9212"/>
    </row>
    <row r="9213" spans="36:36" ht="11.25" customHeight="1">
      <c r="AJ9213"/>
    </row>
    <row r="9214" spans="36:36" ht="11.25" customHeight="1">
      <c r="AJ9214"/>
    </row>
    <row r="9215" spans="36:36" ht="11.25" customHeight="1">
      <c r="AJ9215"/>
    </row>
    <row r="9216" spans="36:36" ht="11.25" customHeight="1">
      <c r="AJ9216"/>
    </row>
    <row r="9217" spans="36:36" ht="11.25" customHeight="1">
      <c r="AJ9217"/>
    </row>
    <row r="9218" spans="36:36" ht="11.25" customHeight="1">
      <c r="AJ9218"/>
    </row>
    <row r="9219" spans="36:36" ht="11.25" customHeight="1">
      <c r="AJ9219"/>
    </row>
    <row r="9220" spans="36:36" ht="11.25" customHeight="1">
      <c r="AJ9220"/>
    </row>
    <row r="9221" spans="36:36" ht="11.25" customHeight="1">
      <c r="AJ9221"/>
    </row>
    <row r="9222" spans="36:36" ht="11.25" customHeight="1">
      <c r="AJ9222"/>
    </row>
    <row r="9223" spans="36:36" ht="11.25" customHeight="1">
      <c r="AJ9223"/>
    </row>
    <row r="9224" spans="36:36" ht="11.25" customHeight="1">
      <c r="AJ9224"/>
    </row>
    <row r="9225" spans="36:36" ht="11.25" customHeight="1">
      <c r="AJ9225"/>
    </row>
    <row r="9226" spans="36:36" ht="11.25" customHeight="1">
      <c r="AJ9226"/>
    </row>
    <row r="9227" spans="36:36" ht="11.25" customHeight="1">
      <c r="AJ9227"/>
    </row>
    <row r="9228" spans="36:36" ht="11.25" customHeight="1">
      <c r="AJ9228"/>
    </row>
    <row r="9229" spans="36:36" ht="11.25" customHeight="1">
      <c r="AJ9229"/>
    </row>
    <row r="9230" spans="36:36" ht="11.25" customHeight="1">
      <c r="AJ9230"/>
    </row>
    <row r="9231" spans="36:36" ht="11.25" customHeight="1">
      <c r="AJ9231"/>
    </row>
    <row r="9232" spans="36:36" ht="11.25" customHeight="1">
      <c r="AJ9232"/>
    </row>
    <row r="9233" spans="36:36" ht="11.25" customHeight="1">
      <c r="AJ9233"/>
    </row>
    <row r="9234" spans="36:36" ht="11.25" customHeight="1">
      <c r="AJ9234"/>
    </row>
    <row r="9235" spans="36:36" ht="11.25" customHeight="1">
      <c r="AJ9235"/>
    </row>
    <row r="9236" spans="36:36" ht="11.25" customHeight="1">
      <c r="AJ9236"/>
    </row>
    <row r="9237" spans="36:36" ht="11.25" customHeight="1">
      <c r="AJ9237"/>
    </row>
    <row r="9238" spans="36:36" ht="11.25" customHeight="1">
      <c r="AJ9238"/>
    </row>
    <row r="9239" spans="36:36" ht="11.25" customHeight="1">
      <c r="AJ9239"/>
    </row>
    <row r="9240" spans="36:36" ht="11.25" customHeight="1">
      <c r="AJ9240"/>
    </row>
    <row r="9241" spans="36:36" ht="11.25" customHeight="1">
      <c r="AJ9241"/>
    </row>
    <row r="9242" spans="36:36" ht="11.25" customHeight="1">
      <c r="AJ9242"/>
    </row>
    <row r="9243" spans="36:36" ht="11.25" customHeight="1">
      <c r="AJ9243"/>
    </row>
    <row r="9244" spans="36:36" ht="11.25" customHeight="1">
      <c r="AJ9244"/>
    </row>
    <row r="9245" spans="36:36" ht="11.25" customHeight="1">
      <c r="AJ9245"/>
    </row>
    <row r="9246" spans="36:36" ht="11.25" customHeight="1">
      <c r="AJ9246"/>
    </row>
    <row r="9247" spans="36:36" ht="11.25" customHeight="1">
      <c r="AJ9247"/>
    </row>
    <row r="9248" spans="36:36" ht="11.25" customHeight="1">
      <c r="AJ9248"/>
    </row>
    <row r="9249" spans="36:36" ht="11.25" customHeight="1">
      <c r="AJ9249"/>
    </row>
    <row r="9250" spans="36:36" ht="11.25" customHeight="1">
      <c r="AJ9250"/>
    </row>
    <row r="9251" spans="36:36" ht="11.25" customHeight="1">
      <c r="AJ9251"/>
    </row>
    <row r="9252" spans="36:36" ht="11.25" customHeight="1">
      <c r="AJ9252"/>
    </row>
    <row r="9253" spans="36:36" ht="11.25" customHeight="1">
      <c r="AJ9253"/>
    </row>
    <row r="9254" spans="36:36" ht="11.25" customHeight="1">
      <c r="AJ9254"/>
    </row>
    <row r="9255" spans="36:36" ht="11.25" customHeight="1">
      <c r="AJ9255"/>
    </row>
    <row r="9256" spans="36:36" ht="11.25" customHeight="1">
      <c r="AJ9256"/>
    </row>
    <row r="9257" spans="36:36" ht="11.25" customHeight="1">
      <c r="AJ9257"/>
    </row>
    <row r="9258" spans="36:36" ht="11.25" customHeight="1">
      <c r="AJ9258"/>
    </row>
    <row r="9259" spans="36:36" ht="11.25" customHeight="1">
      <c r="AJ9259"/>
    </row>
    <row r="9260" spans="36:36" ht="11.25" customHeight="1">
      <c r="AJ9260"/>
    </row>
    <row r="9261" spans="36:36" ht="11.25" customHeight="1">
      <c r="AJ9261"/>
    </row>
    <row r="9262" spans="36:36" ht="11.25" customHeight="1">
      <c r="AJ9262"/>
    </row>
    <row r="9263" spans="36:36" ht="11.25" customHeight="1">
      <c r="AJ9263"/>
    </row>
    <row r="9264" spans="36:36" ht="11.25" customHeight="1">
      <c r="AJ9264"/>
    </row>
    <row r="9265" spans="36:36" ht="11.25" customHeight="1">
      <c r="AJ9265"/>
    </row>
    <row r="9266" spans="36:36" ht="11.25" customHeight="1">
      <c r="AJ9266"/>
    </row>
    <row r="9267" spans="36:36" ht="11.25" customHeight="1">
      <c r="AJ9267"/>
    </row>
    <row r="9268" spans="36:36" ht="11.25" customHeight="1">
      <c r="AJ9268"/>
    </row>
    <row r="9269" spans="36:36" ht="11.25" customHeight="1">
      <c r="AJ9269"/>
    </row>
    <row r="9270" spans="36:36" ht="11.25" customHeight="1">
      <c r="AJ9270"/>
    </row>
    <row r="9271" spans="36:36" ht="11.25" customHeight="1">
      <c r="AJ9271"/>
    </row>
    <row r="9272" spans="36:36" ht="11.25" customHeight="1">
      <c r="AJ9272"/>
    </row>
    <row r="9273" spans="36:36" ht="11.25" customHeight="1">
      <c r="AJ9273"/>
    </row>
    <row r="9274" spans="36:36" ht="11.25" customHeight="1">
      <c r="AJ9274"/>
    </row>
    <row r="9275" spans="36:36" ht="11.25" customHeight="1">
      <c r="AJ9275"/>
    </row>
    <row r="9276" spans="36:36" ht="11.25" customHeight="1">
      <c r="AJ9276"/>
    </row>
    <row r="9277" spans="36:36" ht="11.25" customHeight="1">
      <c r="AJ9277"/>
    </row>
    <row r="9278" spans="36:36" ht="11.25" customHeight="1">
      <c r="AJ9278"/>
    </row>
    <row r="9279" spans="36:36" ht="11.25" customHeight="1">
      <c r="AJ9279"/>
    </row>
    <row r="9280" spans="36:36" ht="11.25" customHeight="1">
      <c r="AJ9280"/>
    </row>
    <row r="9281" spans="36:36" ht="11.25" customHeight="1">
      <c r="AJ9281"/>
    </row>
    <row r="9282" spans="36:36" ht="11.25" customHeight="1">
      <c r="AJ9282"/>
    </row>
    <row r="9283" spans="36:36" ht="11.25" customHeight="1">
      <c r="AJ9283"/>
    </row>
    <row r="9284" spans="36:36" ht="11.25" customHeight="1">
      <c r="AJ9284"/>
    </row>
    <row r="9285" spans="36:36" ht="11.25" customHeight="1">
      <c r="AJ9285"/>
    </row>
    <row r="9286" spans="36:36" ht="11.25" customHeight="1">
      <c r="AJ9286"/>
    </row>
    <row r="9287" spans="36:36" ht="11.25" customHeight="1">
      <c r="AJ9287"/>
    </row>
    <row r="9288" spans="36:36" ht="11.25" customHeight="1">
      <c r="AJ9288"/>
    </row>
    <row r="9289" spans="36:36" ht="11.25" customHeight="1">
      <c r="AJ9289"/>
    </row>
    <row r="9290" spans="36:36" ht="11.25" customHeight="1">
      <c r="AJ9290"/>
    </row>
    <row r="9291" spans="36:36" ht="11.25" customHeight="1">
      <c r="AJ9291"/>
    </row>
    <row r="9292" spans="36:36" ht="11.25" customHeight="1">
      <c r="AJ9292"/>
    </row>
    <row r="9293" spans="36:36" ht="11.25" customHeight="1">
      <c r="AJ9293"/>
    </row>
    <row r="9294" spans="36:36" ht="11.25" customHeight="1">
      <c r="AJ9294"/>
    </row>
    <row r="9295" spans="36:36" ht="11.25" customHeight="1">
      <c r="AJ9295"/>
    </row>
    <row r="9296" spans="36:36" ht="11.25" customHeight="1">
      <c r="AJ9296"/>
    </row>
    <row r="9297" spans="36:36" ht="11.25" customHeight="1">
      <c r="AJ9297"/>
    </row>
    <row r="9298" spans="36:36" ht="11.25" customHeight="1">
      <c r="AJ9298"/>
    </row>
    <row r="9299" spans="36:36" ht="11.25" customHeight="1">
      <c r="AJ9299"/>
    </row>
    <row r="9300" spans="36:36" ht="11.25" customHeight="1">
      <c r="AJ9300"/>
    </row>
    <row r="9301" spans="36:36" ht="11.25" customHeight="1">
      <c r="AJ9301"/>
    </row>
    <row r="9302" spans="36:36" ht="11.25" customHeight="1">
      <c r="AJ9302"/>
    </row>
    <row r="9303" spans="36:36" ht="11.25" customHeight="1">
      <c r="AJ9303"/>
    </row>
    <row r="9304" spans="36:36" ht="11.25" customHeight="1">
      <c r="AJ9304"/>
    </row>
    <row r="9305" spans="36:36" ht="11.25" customHeight="1">
      <c r="AJ9305"/>
    </row>
    <row r="9306" spans="36:36" ht="11.25" customHeight="1">
      <c r="AJ9306"/>
    </row>
    <row r="9307" spans="36:36" ht="11.25" customHeight="1">
      <c r="AJ9307"/>
    </row>
    <row r="9308" spans="36:36" ht="11.25" customHeight="1">
      <c r="AJ9308"/>
    </row>
    <row r="9309" spans="36:36" ht="11.25" customHeight="1">
      <c r="AJ9309"/>
    </row>
    <row r="9310" spans="36:36" ht="11.25" customHeight="1">
      <c r="AJ9310"/>
    </row>
    <row r="9311" spans="36:36" ht="11.25" customHeight="1">
      <c r="AJ9311"/>
    </row>
    <row r="9312" spans="36:36" ht="11.25" customHeight="1">
      <c r="AJ9312"/>
    </row>
    <row r="9313" spans="36:36" ht="11.25" customHeight="1">
      <c r="AJ9313"/>
    </row>
    <row r="9314" spans="36:36" ht="11.25" customHeight="1">
      <c r="AJ9314"/>
    </row>
    <row r="9315" spans="36:36" ht="11.25" customHeight="1">
      <c r="AJ9315"/>
    </row>
    <row r="9316" spans="36:36" ht="11.25" customHeight="1">
      <c r="AJ9316"/>
    </row>
    <row r="9317" spans="36:36" ht="11.25" customHeight="1">
      <c r="AJ9317"/>
    </row>
    <row r="9318" spans="36:36" ht="11.25" customHeight="1">
      <c r="AJ9318"/>
    </row>
    <row r="9319" spans="36:36" ht="11.25" customHeight="1">
      <c r="AJ9319"/>
    </row>
    <row r="9320" spans="36:36" ht="11.25" customHeight="1">
      <c r="AJ9320"/>
    </row>
    <row r="9321" spans="36:36" ht="11.25" customHeight="1">
      <c r="AJ9321"/>
    </row>
    <row r="9322" spans="36:36" ht="11.25" customHeight="1">
      <c r="AJ9322"/>
    </row>
    <row r="9323" spans="36:36" ht="11.25" customHeight="1">
      <c r="AJ9323"/>
    </row>
    <row r="9324" spans="36:36" ht="11.25" customHeight="1">
      <c r="AJ9324"/>
    </row>
    <row r="9325" spans="36:36" ht="11.25" customHeight="1">
      <c r="AJ9325"/>
    </row>
    <row r="9326" spans="36:36" ht="11.25" customHeight="1">
      <c r="AJ9326"/>
    </row>
    <row r="9327" spans="36:36" ht="11.25" customHeight="1">
      <c r="AJ9327"/>
    </row>
    <row r="9328" spans="36:36" ht="11.25" customHeight="1">
      <c r="AJ9328"/>
    </row>
    <row r="9329" spans="36:36" ht="11.25" customHeight="1">
      <c r="AJ9329"/>
    </row>
    <row r="9330" spans="36:36" ht="11.25" customHeight="1">
      <c r="AJ9330"/>
    </row>
    <row r="9331" spans="36:36" ht="11.25" customHeight="1">
      <c r="AJ9331"/>
    </row>
    <row r="9332" spans="36:36" ht="11.25" customHeight="1">
      <c r="AJ9332"/>
    </row>
    <row r="9333" spans="36:36" ht="11.25" customHeight="1">
      <c r="AJ9333"/>
    </row>
    <row r="9334" spans="36:36" ht="11.25" customHeight="1">
      <c r="AJ9334"/>
    </row>
    <row r="9335" spans="36:36" ht="11.25" customHeight="1">
      <c r="AJ9335"/>
    </row>
    <row r="9336" spans="36:36" ht="11.25" customHeight="1">
      <c r="AJ9336"/>
    </row>
    <row r="9337" spans="36:36" ht="11.25" customHeight="1">
      <c r="AJ9337"/>
    </row>
    <row r="9338" spans="36:36" ht="11.25" customHeight="1">
      <c r="AJ9338"/>
    </row>
    <row r="9339" spans="36:36" ht="11.25" customHeight="1">
      <c r="AJ9339"/>
    </row>
    <row r="9340" spans="36:36" ht="11.25" customHeight="1">
      <c r="AJ9340"/>
    </row>
    <row r="9341" spans="36:36" ht="11.25" customHeight="1">
      <c r="AJ9341"/>
    </row>
    <row r="9342" spans="36:36" ht="11.25" customHeight="1">
      <c r="AJ9342"/>
    </row>
    <row r="9343" spans="36:36" ht="11.25" customHeight="1">
      <c r="AJ9343"/>
    </row>
    <row r="9344" spans="36:36" ht="11.25" customHeight="1">
      <c r="AJ9344"/>
    </row>
    <row r="9345" spans="36:36" ht="11.25" customHeight="1">
      <c r="AJ9345"/>
    </row>
    <row r="9346" spans="36:36" ht="11.25" customHeight="1">
      <c r="AJ9346"/>
    </row>
    <row r="9347" spans="36:36" ht="11.25" customHeight="1">
      <c r="AJ9347"/>
    </row>
    <row r="9348" spans="36:36" ht="11.25" customHeight="1">
      <c r="AJ9348"/>
    </row>
    <row r="9349" spans="36:36" ht="11.25" customHeight="1">
      <c r="AJ9349"/>
    </row>
    <row r="9350" spans="36:36" ht="11.25" customHeight="1">
      <c r="AJ9350"/>
    </row>
    <row r="9351" spans="36:36" ht="11.25" customHeight="1">
      <c r="AJ9351"/>
    </row>
    <row r="9352" spans="36:36" ht="11.25" customHeight="1">
      <c r="AJ9352"/>
    </row>
    <row r="9353" spans="36:36" ht="11.25" customHeight="1">
      <c r="AJ9353"/>
    </row>
    <row r="9354" spans="36:36" ht="11.25" customHeight="1">
      <c r="AJ9354"/>
    </row>
    <row r="9355" spans="36:36" ht="11.25" customHeight="1">
      <c r="AJ9355"/>
    </row>
    <row r="9356" spans="36:36" ht="11.25" customHeight="1">
      <c r="AJ9356"/>
    </row>
    <row r="9357" spans="36:36" ht="11.25" customHeight="1">
      <c r="AJ9357"/>
    </row>
    <row r="9358" spans="36:36" ht="11.25" customHeight="1">
      <c r="AJ9358"/>
    </row>
    <row r="9359" spans="36:36" ht="11.25" customHeight="1">
      <c r="AJ9359"/>
    </row>
    <row r="9360" spans="36:36" ht="11.25" customHeight="1">
      <c r="AJ9360"/>
    </row>
    <row r="9361" spans="36:36" ht="11.25" customHeight="1">
      <c r="AJ9361"/>
    </row>
    <row r="9362" spans="36:36" ht="11.25" customHeight="1">
      <c r="AJ9362"/>
    </row>
    <row r="9363" spans="36:36" ht="11.25" customHeight="1">
      <c r="AJ9363"/>
    </row>
    <row r="9364" spans="36:36" ht="11.25" customHeight="1">
      <c r="AJ9364"/>
    </row>
    <row r="9365" spans="36:36" ht="11.25" customHeight="1">
      <c r="AJ9365"/>
    </row>
    <row r="9366" spans="36:36" ht="11.25" customHeight="1">
      <c r="AJ9366"/>
    </row>
    <row r="9367" spans="36:36" ht="11.25" customHeight="1">
      <c r="AJ9367"/>
    </row>
    <row r="9368" spans="36:36" ht="11.25" customHeight="1">
      <c r="AJ9368"/>
    </row>
    <row r="9369" spans="36:36" ht="11.25" customHeight="1">
      <c r="AJ9369"/>
    </row>
    <row r="9370" spans="36:36" ht="11.25" customHeight="1">
      <c r="AJ9370"/>
    </row>
    <row r="9371" spans="36:36" ht="11.25" customHeight="1">
      <c r="AJ9371"/>
    </row>
    <row r="9372" spans="36:36" ht="11.25" customHeight="1">
      <c r="AJ9372"/>
    </row>
    <row r="9373" spans="36:36" ht="11.25" customHeight="1">
      <c r="AJ9373"/>
    </row>
    <row r="9374" spans="36:36" ht="11.25" customHeight="1">
      <c r="AJ9374"/>
    </row>
    <row r="9375" spans="36:36" ht="11.25" customHeight="1">
      <c r="AJ9375"/>
    </row>
    <row r="9376" spans="36:36" ht="11.25" customHeight="1">
      <c r="AJ9376"/>
    </row>
    <row r="9377" spans="36:36" ht="11.25" customHeight="1">
      <c r="AJ9377"/>
    </row>
    <row r="9378" spans="36:36" ht="11.25" customHeight="1">
      <c r="AJ9378"/>
    </row>
    <row r="9379" spans="36:36" ht="11.25" customHeight="1">
      <c r="AJ9379"/>
    </row>
    <row r="9380" spans="36:36" ht="11.25" customHeight="1">
      <c r="AJ9380"/>
    </row>
    <row r="9381" spans="36:36" ht="11.25" customHeight="1">
      <c r="AJ9381"/>
    </row>
    <row r="9382" spans="36:36" ht="11.25" customHeight="1">
      <c r="AJ9382"/>
    </row>
    <row r="9383" spans="36:36" ht="11.25" customHeight="1">
      <c r="AJ9383"/>
    </row>
    <row r="9384" spans="36:36" ht="11.25" customHeight="1">
      <c r="AJ9384"/>
    </row>
    <row r="9385" spans="36:36" ht="11.25" customHeight="1">
      <c r="AJ9385"/>
    </row>
    <row r="9386" spans="36:36" ht="11.25" customHeight="1">
      <c r="AJ9386"/>
    </row>
    <row r="9387" spans="36:36" ht="11.25" customHeight="1">
      <c r="AJ9387"/>
    </row>
    <row r="9388" spans="36:36" ht="11.25" customHeight="1">
      <c r="AJ9388"/>
    </row>
    <row r="9389" spans="36:36" ht="11.25" customHeight="1">
      <c r="AJ9389"/>
    </row>
    <row r="9390" spans="36:36" ht="11.25" customHeight="1">
      <c r="AJ9390"/>
    </row>
    <row r="9391" spans="36:36" ht="11.25" customHeight="1">
      <c r="AJ9391"/>
    </row>
    <row r="9392" spans="36:36" ht="11.25" customHeight="1">
      <c r="AJ9392"/>
    </row>
    <row r="9393" spans="36:36" ht="11.25" customHeight="1">
      <c r="AJ9393"/>
    </row>
    <row r="9394" spans="36:36" ht="11.25" customHeight="1">
      <c r="AJ9394"/>
    </row>
    <row r="9395" spans="36:36" ht="11.25" customHeight="1">
      <c r="AJ9395"/>
    </row>
    <row r="9396" spans="36:36" ht="11.25" customHeight="1">
      <c r="AJ9396"/>
    </row>
    <row r="9397" spans="36:36" ht="11.25" customHeight="1">
      <c r="AJ9397"/>
    </row>
    <row r="9398" spans="36:36" ht="11.25" customHeight="1">
      <c r="AJ9398"/>
    </row>
    <row r="9399" spans="36:36" ht="11.25" customHeight="1">
      <c r="AJ9399"/>
    </row>
    <row r="9400" spans="36:36" ht="11.25" customHeight="1">
      <c r="AJ9400"/>
    </row>
    <row r="9401" spans="36:36" ht="11.25" customHeight="1">
      <c r="AJ9401"/>
    </row>
    <row r="9402" spans="36:36" ht="11.25" customHeight="1">
      <c r="AJ9402"/>
    </row>
    <row r="9403" spans="36:36" ht="11.25" customHeight="1">
      <c r="AJ9403"/>
    </row>
    <row r="9404" spans="36:36" ht="11.25" customHeight="1">
      <c r="AJ9404"/>
    </row>
    <row r="9405" spans="36:36" ht="11.25" customHeight="1">
      <c r="AJ9405"/>
    </row>
    <row r="9406" spans="36:36" ht="11.25" customHeight="1">
      <c r="AJ9406"/>
    </row>
    <row r="9407" spans="36:36" ht="11.25" customHeight="1">
      <c r="AJ9407"/>
    </row>
    <row r="9408" spans="36:36" ht="11.25" customHeight="1">
      <c r="AJ9408"/>
    </row>
    <row r="9409" spans="36:36" ht="11.25" customHeight="1">
      <c r="AJ9409"/>
    </row>
    <row r="9410" spans="36:36" ht="11.25" customHeight="1">
      <c r="AJ9410"/>
    </row>
    <row r="9411" spans="36:36" ht="11.25" customHeight="1">
      <c r="AJ9411"/>
    </row>
    <row r="9412" spans="36:36" ht="11.25" customHeight="1">
      <c r="AJ9412"/>
    </row>
    <row r="9413" spans="36:36" ht="11.25" customHeight="1">
      <c r="AJ9413"/>
    </row>
    <row r="9414" spans="36:36" ht="11.25" customHeight="1">
      <c r="AJ9414"/>
    </row>
    <row r="9415" spans="36:36" ht="11.25" customHeight="1">
      <c r="AJ9415"/>
    </row>
    <row r="9416" spans="36:36" ht="11.25" customHeight="1">
      <c r="AJ9416"/>
    </row>
    <row r="9417" spans="36:36" ht="11.25" customHeight="1">
      <c r="AJ9417"/>
    </row>
    <row r="9418" spans="36:36" ht="11.25" customHeight="1">
      <c r="AJ9418"/>
    </row>
    <row r="9419" spans="36:36" ht="11.25" customHeight="1">
      <c r="AJ9419"/>
    </row>
    <row r="9420" spans="36:36" ht="11.25" customHeight="1">
      <c r="AJ9420"/>
    </row>
    <row r="9421" spans="36:36" ht="11.25" customHeight="1">
      <c r="AJ9421"/>
    </row>
    <row r="9422" spans="36:36" ht="11.25" customHeight="1">
      <c r="AJ9422"/>
    </row>
    <row r="9423" spans="36:36" ht="11.25" customHeight="1">
      <c r="AJ9423"/>
    </row>
    <row r="9424" spans="36:36" ht="11.25" customHeight="1">
      <c r="AJ9424"/>
    </row>
    <row r="9425" spans="36:36" ht="11.25" customHeight="1">
      <c r="AJ9425"/>
    </row>
    <row r="9426" spans="36:36" ht="11.25" customHeight="1">
      <c r="AJ9426"/>
    </row>
    <row r="9427" spans="36:36" ht="11.25" customHeight="1">
      <c r="AJ9427"/>
    </row>
    <row r="9428" spans="36:36" ht="11.25" customHeight="1">
      <c r="AJ9428"/>
    </row>
    <row r="9429" spans="36:36" ht="11.25" customHeight="1">
      <c r="AJ9429"/>
    </row>
    <row r="9430" spans="36:36" ht="11.25" customHeight="1">
      <c r="AJ9430"/>
    </row>
    <row r="9431" spans="36:36" ht="11.25" customHeight="1">
      <c r="AJ9431"/>
    </row>
    <row r="9432" spans="36:36" ht="11.25" customHeight="1">
      <c r="AJ9432"/>
    </row>
    <row r="9433" spans="36:36" ht="11.25" customHeight="1">
      <c r="AJ9433"/>
    </row>
    <row r="9434" spans="36:36" ht="11.25" customHeight="1">
      <c r="AJ9434"/>
    </row>
    <row r="9435" spans="36:36" ht="11.25" customHeight="1">
      <c r="AJ9435"/>
    </row>
    <row r="9436" spans="36:36" ht="11.25" customHeight="1">
      <c r="AJ9436"/>
    </row>
    <row r="9437" spans="36:36" ht="11.25" customHeight="1">
      <c r="AJ9437"/>
    </row>
    <row r="9438" spans="36:36" ht="11.25" customHeight="1">
      <c r="AJ9438"/>
    </row>
    <row r="9439" spans="36:36" ht="11.25" customHeight="1">
      <c r="AJ9439"/>
    </row>
    <row r="9440" spans="36:36" ht="11.25" customHeight="1">
      <c r="AJ9440"/>
    </row>
    <row r="9441" spans="36:36" ht="11.25" customHeight="1">
      <c r="AJ9441"/>
    </row>
    <row r="9442" spans="36:36" ht="11.25" customHeight="1">
      <c r="AJ9442"/>
    </row>
    <row r="9443" spans="36:36" ht="11.25" customHeight="1">
      <c r="AJ9443"/>
    </row>
    <row r="9444" spans="36:36" ht="11.25" customHeight="1">
      <c r="AJ9444"/>
    </row>
    <row r="9445" spans="36:36" ht="11.25" customHeight="1">
      <c r="AJ9445"/>
    </row>
    <row r="9446" spans="36:36" ht="11.25" customHeight="1">
      <c r="AJ9446"/>
    </row>
    <row r="9447" spans="36:36" ht="11.25" customHeight="1">
      <c r="AJ9447"/>
    </row>
    <row r="9448" spans="36:36" ht="11.25" customHeight="1">
      <c r="AJ9448"/>
    </row>
    <row r="9449" spans="36:36" ht="11.25" customHeight="1">
      <c r="AJ9449"/>
    </row>
    <row r="9450" spans="36:36" ht="11.25" customHeight="1">
      <c r="AJ9450"/>
    </row>
    <row r="9451" spans="36:36" ht="11.25" customHeight="1">
      <c r="AJ9451"/>
    </row>
    <row r="9452" spans="36:36" ht="11.25" customHeight="1">
      <c r="AJ9452"/>
    </row>
    <row r="9453" spans="36:36" ht="11.25" customHeight="1">
      <c r="AJ9453"/>
    </row>
    <row r="9454" spans="36:36" ht="11.25" customHeight="1">
      <c r="AJ9454"/>
    </row>
    <row r="9455" spans="36:36" ht="11.25" customHeight="1">
      <c r="AJ9455"/>
    </row>
    <row r="9456" spans="36:36" ht="11.25" customHeight="1">
      <c r="AJ9456"/>
    </row>
    <row r="9457" spans="36:36" ht="11.25" customHeight="1">
      <c r="AJ9457"/>
    </row>
    <row r="9458" spans="36:36" ht="11.25" customHeight="1">
      <c r="AJ9458"/>
    </row>
    <row r="9459" spans="36:36" ht="11.25" customHeight="1">
      <c r="AJ9459"/>
    </row>
    <row r="9460" spans="36:36" ht="11.25" customHeight="1">
      <c r="AJ9460"/>
    </row>
    <row r="9461" spans="36:36" ht="11.25" customHeight="1">
      <c r="AJ9461"/>
    </row>
    <row r="9462" spans="36:36" ht="11.25" customHeight="1">
      <c r="AJ9462"/>
    </row>
    <row r="9463" spans="36:36" ht="11.25" customHeight="1">
      <c r="AJ9463"/>
    </row>
    <row r="9464" spans="36:36" ht="11.25" customHeight="1">
      <c r="AJ9464"/>
    </row>
    <row r="9465" spans="36:36" ht="11.25" customHeight="1">
      <c r="AJ9465"/>
    </row>
    <row r="9466" spans="36:36" ht="11.25" customHeight="1">
      <c r="AJ9466"/>
    </row>
    <row r="9467" spans="36:36" ht="11.25" customHeight="1">
      <c r="AJ9467"/>
    </row>
    <row r="9468" spans="36:36" ht="11.25" customHeight="1">
      <c r="AJ9468"/>
    </row>
    <row r="9469" spans="36:36" ht="11.25" customHeight="1">
      <c r="AJ9469"/>
    </row>
    <row r="9470" spans="36:36" ht="11.25" customHeight="1">
      <c r="AJ9470"/>
    </row>
    <row r="9471" spans="36:36" ht="11.25" customHeight="1">
      <c r="AJ9471"/>
    </row>
    <row r="9472" spans="36:36" ht="11.25" customHeight="1">
      <c r="AJ9472"/>
    </row>
    <row r="9473" spans="36:36" ht="11.25" customHeight="1">
      <c r="AJ9473"/>
    </row>
    <row r="9474" spans="36:36" ht="11.25" customHeight="1">
      <c r="AJ9474"/>
    </row>
    <row r="9475" spans="36:36" ht="11.25" customHeight="1">
      <c r="AJ9475"/>
    </row>
    <row r="9476" spans="36:36" ht="11.25" customHeight="1">
      <c r="AJ9476"/>
    </row>
    <row r="9477" spans="36:36" ht="11.25" customHeight="1">
      <c r="AJ9477"/>
    </row>
    <row r="9478" spans="36:36" ht="11.25" customHeight="1">
      <c r="AJ9478"/>
    </row>
    <row r="9479" spans="36:36" ht="11.25" customHeight="1">
      <c r="AJ9479"/>
    </row>
    <row r="9480" spans="36:36" ht="11.25" customHeight="1">
      <c r="AJ9480"/>
    </row>
    <row r="9481" spans="36:36" ht="11.25" customHeight="1">
      <c r="AJ9481"/>
    </row>
    <row r="9482" spans="36:36" ht="11.25" customHeight="1">
      <c r="AJ9482"/>
    </row>
    <row r="9483" spans="36:36" ht="11.25" customHeight="1">
      <c r="AJ9483"/>
    </row>
    <row r="9484" spans="36:36" ht="11.25" customHeight="1">
      <c r="AJ9484"/>
    </row>
    <row r="9485" spans="36:36" ht="11.25" customHeight="1">
      <c r="AJ9485"/>
    </row>
    <row r="9486" spans="36:36" ht="11.25" customHeight="1">
      <c r="AJ9486"/>
    </row>
    <row r="9487" spans="36:36" ht="11.25" customHeight="1">
      <c r="AJ9487"/>
    </row>
    <row r="9488" spans="36:36" ht="11.25" customHeight="1">
      <c r="AJ9488"/>
    </row>
    <row r="9489" spans="36:36" ht="11.25" customHeight="1">
      <c r="AJ9489"/>
    </row>
    <row r="9490" spans="36:36" ht="11.25" customHeight="1">
      <c r="AJ9490"/>
    </row>
    <row r="9491" spans="36:36" ht="11.25" customHeight="1">
      <c r="AJ9491"/>
    </row>
    <row r="9492" spans="36:36" ht="11.25" customHeight="1">
      <c r="AJ9492"/>
    </row>
    <row r="9493" spans="36:36" ht="11.25" customHeight="1">
      <c r="AJ9493"/>
    </row>
    <row r="9494" spans="36:36" ht="11.25" customHeight="1">
      <c r="AJ9494"/>
    </row>
    <row r="9495" spans="36:36" ht="11.25" customHeight="1">
      <c r="AJ9495"/>
    </row>
    <row r="9496" spans="36:36" ht="11.25" customHeight="1">
      <c r="AJ9496"/>
    </row>
    <row r="9497" spans="36:36" ht="11.25" customHeight="1">
      <c r="AJ9497"/>
    </row>
    <row r="9498" spans="36:36" ht="11.25" customHeight="1">
      <c r="AJ9498"/>
    </row>
    <row r="9499" spans="36:36" ht="11.25" customHeight="1">
      <c r="AJ9499"/>
    </row>
    <row r="9500" spans="36:36" ht="11.25" customHeight="1">
      <c r="AJ9500"/>
    </row>
    <row r="9501" spans="36:36" ht="11.25" customHeight="1">
      <c r="AJ9501"/>
    </row>
    <row r="9502" spans="36:36" ht="11.25" customHeight="1">
      <c r="AJ9502"/>
    </row>
    <row r="9503" spans="36:36" ht="11.25" customHeight="1">
      <c r="AJ9503"/>
    </row>
    <row r="9504" spans="36:36" ht="11.25" customHeight="1">
      <c r="AJ9504"/>
    </row>
    <row r="9505" spans="36:36" ht="11.25" customHeight="1">
      <c r="AJ9505"/>
    </row>
    <row r="9506" spans="36:36" ht="11.25" customHeight="1">
      <c r="AJ9506"/>
    </row>
    <row r="9507" spans="36:36" ht="11.25" customHeight="1">
      <c r="AJ9507"/>
    </row>
    <row r="9508" spans="36:36" ht="11.25" customHeight="1">
      <c r="AJ9508"/>
    </row>
    <row r="9509" spans="36:36" ht="11.25" customHeight="1">
      <c r="AJ9509"/>
    </row>
    <row r="9510" spans="36:36" ht="11.25" customHeight="1">
      <c r="AJ9510"/>
    </row>
    <row r="9511" spans="36:36" ht="11.25" customHeight="1">
      <c r="AJ9511"/>
    </row>
    <row r="9512" spans="36:36" ht="11.25" customHeight="1">
      <c r="AJ9512"/>
    </row>
    <row r="9513" spans="36:36" ht="11.25" customHeight="1">
      <c r="AJ9513"/>
    </row>
    <row r="9514" spans="36:36" ht="11.25" customHeight="1">
      <c r="AJ9514"/>
    </row>
    <row r="9515" spans="36:36" ht="11.25" customHeight="1">
      <c r="AJ9515"/>
    </row>
    <row r="9516" spans="36:36" ht="11.25" customHeight="1">
      <c r="AJ9516"/>
    </row>
    <row r="9517" spans="36:36" ht="11.25" customHeight="1">
      <c r="AJ9517"/>
    </row>
    <row r="9518" spans="36:36" ht="11.25" customHeight="1">
      <c r="AJ9518"/>
    </row>
    <row r="9519" spans="36:36" ht="11.25" customHeight="1">
      <c r="AJ9519"/>
    </row>
    <row r="9520" spans="36:36" ht="11.25" customHeight="1">
      <c r="AJ9520"/>
    </row>
    <row r="9521" spans="36:36" ht="11.25" customHeight="1">
      <c r="AJ9521"/>
    </row>
    <row r="9522" spans="36:36" ht="11.25" customHeight="1">
      <c r="AJ9522"/>
    </row>
    <row r="9523" spans="36:36" ht="11.25" customHeight="1">
      <c r="AJ9523"/>
    </row>
    <row r="9524" spans="36:36" ht="11.25" customHeight="1">
      <c r="AJ9524"/>
    </row>
    <row r="9525" spans="36:36" ht="11.25" customHeight="1">
      <c r="AJ9525"/>
    </row>
    <row r="9526" spans="36:36" ht="11.25" customHeight="1">
      <c r="AJ9526"/>
    </row>
    <row r="9527" spans="36:36" ht="11.25" customHeight="1">
      <c r="AJ9527"/>
    </row>
    <row r="9528" spans="36:36" ht="11.25" customHeight="1">
      <c r="AJ9528"/>
    </row>
    <row r="9529" spans="36:36" ht="11.25" customHeight="1">
      <c r="AJ9529"/>
    </row>
    <row r="9530" spans="36:36" ht="11.25" customHeight="1">
      <c r="AJ9530"/>
    </row>
    <row r="9531" spans="36:36" ht="11.25" customHeight="1">
      <c r="AJ9531"/>
    </row>
    <row r="9532" spans="36:36" ht="11.25" customHeight="1">
      <c r="AJ9532"/>
    </row>
    <row r="9533" spans="36:36" ht="11.25" customHeight="1">
      <c r="AJ9533"/>
    </row>
    <row r="9534" spans="36:36" ht="11.25" customHeight="1">
      <c r="AJ9534"/>
    </row>
    <row r="9535" spans="36:36" ht="11.25" customHeight="1">
      <c r="AJ9535"/>
    </row>
    <row r="9536" spans="36:36" ht="11.25" customHeight="1">
      <c r="AJ9536"/>
    </row>
    <row r="9537" spans="36:36" ht="11.25" customHeight="1">
      <c r="AJ9537"/>
    </row>
    <row r="9538" spans="36:36" ht="11.25" customHeight="1">
      <c r="AJ9538"/>
    </row>
    <row r="9539" spans="36:36" ht="11.25" customHeight="1">
      <c r="AJ9539"/>
    </row>
    <row r="9540" spans="36:36" ht="11.25" customHeight="1">
      <c r="AJ9540"/>
    </row>
    <row r="9541" spans="36:36" ht="11.25" customHeight="1">
      <c r="AJ9541"/>
    </row>
    <row r="9542" spans="36:36" ht="11.25" customHeight="1">
      <c r="AJ9542"/>
    </row>
    <row r="9543" spans="36:36" ht="11.25" customHeight="1">
      <c r="AJ9543"/>
    </row>
    <row r="9544" spans="36:36" ht="11.25" customHeight="1">
      <c r="AJ9544"/>
    </row>
    <row r="9545" spans="36:36" ht="11.25" customHeight="1">
      <c r="AJ9545"/>
    </row>
    <row r="9546" spans="36:36" ht="11.25" customHeight="1">
      <c r="AJ9546"/>
    </row>
    <row r="9547" spans="36:36" ht="11.25" customHeight="1">
      <c r="AJ9547"/>
    </row>
    <row r="9548" spans="36:36" ht="11.25" customHeight="1">
      <c r="AJ9548"/>
    </row>
    <row r="9549" spans="36:36" ht="11.25" customHeight="1">
      <c r="AJ9549"/>
    </row>
    <row r="9550" spans="36:36" ht="11.25" customHeight="1">
      <c r="AJ9550"/>
    </row>
    <row r="9551" spans="36:36" ht="11.25" customHeight="1">
      <c r="AJ9551"/>
    </row>
    <row r="9552" spans="36:36" ht="11.25" customHeight="1">
      <c r="AJ9552"/>
    </row>
    <row r="9553" spans="36:36" ht="11.25" customHeight="1">
      <c r="AJ9553"/>
    </row>
    <row r="9554" spans="36:36" ht="11.25" customHeight="1">
      <c r="AJ9554"/>
    </row>
    <row r="9555" spans="36:36" ht="11.25" customHeight="1">
      <c r="AJ9555"/>
    </row>
    <row r="9556" spans="36:36" ht="11.25" customHeight="1">
      <c r="AJ9556"/>
    </row>
    <row r="9557" spans="36:36" ht="11.25" customHeight="1">
      <c r="AJ9557"/>
    </row>
    <row r="9558" spans="36:36" ht="11.25" customHeight="1">
      <c r="AJ9558"/>
    </row>
    <row r="9559" spans="36:36" ht="11.25" customHeight="1">
      <c r="AJ9559"/>
    </row>
    <row r="9560" spans="36:36" ht="11.25" customHeight="1">
      <c r="AJ9560"/>
    </row>
    <row r="9561" spans="36:36" ht="11.25" customHeight="1">
      <c r="AJ9561"/>
    </row>
    <row r="9562" spans="36:36" ht="11.25" customHeight="1">
      <c r="AJ9562"/>
    </row>
    <row r="9563" spans="36:36" ht="11.25" customHeight="1">
      <c r="AJ9563"/>
    </row>
    <row r="9564" spans="36:36" ht="11.25" customHeight="1">
      <c r="AJ9564"/>
    </row>
    <row r="9565" spans="36:36" ht="11.25" customHeight="1">
      <c r="AJ9565"/>
    </row>
    <row r="9566" spans="36:36" ht="11.25" customHeight="1">
      <c r="AJ9566"/>
    </row>
    <row r="9567" spans="36:36" ht="11.25" customHeight="1">
      <c r="AJ9567"/>
    </row>
    <row r="9568" spans="36:36" ht="11.25" customHeight="1">
      <c r="AJ9568"/>
    </row>
    <row r="9569" spans="36:36" ht="11.25" customHeight="1">
      <c r="AJ9569"/>
    </row>
    <row r="9570" spans="36:36" ht="11.25" customHeight="1">
      <c r="AJ9570"/>
    </row>
    <row r="9571" spans="36:36" ht="11.25" customHeight="1">
      <c r="AJ9571"/>
    </row>
    <row r="9572" spans="36:36" ht="11.25" customHeight="1">
      <c r="AJ9572"/>
    </row>
    <row r="9573" spans="36:36" ht="11.25" customHeight="1">
      <c r="AJ9573"/>
    </row>
    <row r="9574" spans="36:36" ht="11.25" customHeight="1">
      <c r="AJ9574"/>
    </row>
    <row r="9575" spans="36:36" ht="11.25" customHeight="1">
      <c r="AJ9575"/>
    </row>
    <row r="9576" spans="36:36" ht="11.25" customHeight="1">
      <c r="AJ9576"/>
    </row>
    <row r="9577" spans="36:36" ht="11.25" customHeight="1">
      <c r="AJ9577"/>
    </row>
    <row r="9578" spans="36:36" ht="11.25" customHeight="1">
      <c r="AJ9578"/>
    </row>
    <row r="9579" spans="36:36" ht="11.25" customHeight="1">
      <c r="AJ9579"/>
    </row>
    <row r="9580" spans="36:36" ht="11.25" customHeight="1">
      <c r="AJ9580"/>
    </row>
    <row r="9581" spans="36:36" ht="11.25" customHeight="1">
      <c r="AJ9581"/>
    </row>
    <row r="9582" spans="36:36" ht="11.25" customHeight="1">
      <c r="AJ9582"/>
    </row>
    <row r="9583" spans="36:36" ht="11.25" customHeight="1">
      <c r="AJ9583"/>
    </row>
    <row r="9584" spans="36:36" ht="11.25" customHeight="1">
      <c r="AJ9584"/>
    </row>
    <row r="9585" spans="36:36" ht="11.25" customHeight="1">
      <c r="AJ9585"/>
    </row>
    <row r="9586" spans="36:36" ht="11.25" customHeight="1">
      <c r="AJ9586"/>
    </row>
    <row r="9587" spans="36:36" ht="11.25" customHeight="1">
      <c r="AJ9587"/>
    </row>
    <row r="9588" spans="36:36" ht="11.25" customHeight="1">
      <c r="AJ9588"/>
    </row>
    <row r="9589" spans="36:36" ht="11.25" customHeight="1">
      <c r="AJ9589"/>
    </row>
    <row r="9590" spans="36:36" ht="11.25" customHeight="1">
      <c r="AJ9590"/>
    </row>
    <row r="9591" spans="36:36" ht="11.25" customHeight="1">
      <c r="AJ9591"/>
    </row>
    <row r="9592" spans="36:36" ht="11.25" customHeight="1">
      <c r="AJ9592"/>
    </row>
    <row r="9593" spans="36:36" ht="11.25" customHeight="1">
      <c r="AJ9593"/>
    </row>
    <row r="9594" spans="36:36" ht="11.25" customHeight="1">
      <c r="AJ9594"/>
    </row>
    <row r="9595" spans="36:36" ht="11.25" customHeight="1">
      <c r="AJ9595"/>
    </row>
    <row r="9596" spans="36:36" ht="11.25" customHeight="1">
      <c r="AJ9596"/>
    </row>
    <row r="9597" spans="36:36" ht="11.25" customHeight="1">
      <c r="AJ9597"/>
    </row>
    <row r="9598" spans="36:36" ht="11.25" customHeight="1">
      <c r="AJ9598"/>
    </row>
    <row r="9599" spans="36:36" ht="11.25" customHeight="1">
      <c r="AJ9599"/>
    </row>
    <row r="9600" spans="36:36" ht="11.25" customHeight="1">
      <c r="AJ9600"/>
    </row>
    <row r="9601" spans="36:36" ht="11.25" customHeight="1">
      <c r="AJ9601"/>
    </row>
    <row r="9602" spans="36:36" ht="11.25" customHeight="1">
      <c r="AJ9602"/>
    </row>
    <row r="9603" spans="36:36" ht="11.25" customHeight="1">
      <c r="AJ9603"/>
    </row>
    <row r="9604" spans="36:36" ht="11.25" customHeight="1">
      <c r="AJ9604"/>
    </row>
    <row r="9605" spans="36:36" ht="11.25" customHeight="1">
      <c r="AJ9605"/>
    </row>
    <row r="9606" spans="36:36" ht="11.25" customHeight="1">
      <c r="AJ9606"/>
    </row>
    <row r="9607" spans="36:36" ht="11.25" customHeight="1">
      <c r="AJ9607"/>
    </row>
    <row r="9608" spans="36:36" ht="11.25" customHeight="1">
      <c r="AJ9608"/>
    </row>
    <row r="9609" spans="36:36" ht="11.25" customHeight="1">
      <c r="AJ9609"/>
    </row>
    <row r="9610" spans="36:36" ht="11.25" customHeight="1">
      <c r="AJ9610"/>
    </row>
    <row r="9611" spans="36:36" ht="11.25" customHeight="1">
      <c r="AJ9611"/>
    </row>
    <row r="9612" spans="36:36" ht="11.25" customHeight="1">
      <c r="AJ9612"/>
    </row>
    <row r="9613" spans="36:36" ht="11.25" customHeight="1">
      <c r="AJ9613"/>
    </row>
    <row r="9614" spans="36:36" ht="11.25" customHeight="1">
      <c r="AJ9614"/>
    </row>
    <row r="9615" spans="36:36" ht="11.25" customHeight="1">
      <c r="AJ9615"/>
    </row>
    <row r="9616" spans="36:36" ht="11.25" customHeight="1">
      <c r="AJ9616"/>
    </row>
    <row r="9617" spans="36:36" ht="11.25" customHeight="1">
      <c r="AJ9617"/>
    </row>
    <row r="9618" spans="36:36" ht="11.25" customHeight="1">
      <c r="AJ9618"/>
    </row>
    <row r="9619" spans="36:36" ht="11.25" customHeight="1">
      <c r="AJ9619"/>
    </row>
    <row r="9620" spans="36:36" ht="11.25" customHeight="1">
      <c r="AJ9620"/>
    </row>
    <row r="9621" spans="36:36" ht="11.25" customHeight="1">
      <c r="AJ9621"/>
    </row>
    <row r="9622" spans="36:36" ht="11.25" customHeight="1">
      <c r="AJ9622"/>
    </row>
    <row r="9623" spans="36:36" ht="11.25" customHeight="1">
      <c r="AJ9623"/>
    </row>
    <row r="9624" spans="36:36" ht="11.25" customHeight="1">
      <c r="AJ9624"/>
    </row>
    <row r="9625" spans="36:36" ht="11.25" customHeight="1">
      <c r="AJ9625"/>
    </row>
    <row r="9626" spans="36:36" ht="11.25" customHeight="1">
      <c r="AJ9626"/>
    </row>
    <row r="9627" spans="36:36" ht="11.25" customHeight="1">
      <c r="AJ9627"/>
    </row>
    <row r="9628" spans="36:36" ht="11.25" customHeight="1">
      <c r="AJ9628"/>
    </row>
    <row r="9629" spans="36:36" ht="11.25" customHeight="1">
      <c r="AJ9629"/>
    </row>
    <row r="9630" spans="36:36" ht="11.25" customHeight="1">
      <c r="AJ9630"/>
    </row>
    <row r="9631" spans="36:36" ht="11.25" customHeight="1">
      <c r="AJ9631"/>
    </row>
    <row r="9632" spans="36:36" ht="11.25" customHeight="1">
      <c r="AJ9632"/>
    </row>
    <row r="9633" spans="36:36" ht="11.25" customHeight="1">
      <c r="AJ9633"/>
    </row>
    <row r="9634" spans="36:36" ht="11.25" customHeight="1">
      <c r="AJ9634"/>
    </row>
    <row r="9635" spans="36:36" ht="11.25" customHeight="1">
      <c r="AJ9635"/>
    </row>
    <row r="9636" spans="36:36" ht="11.25" customHeight="1">
      <c r="AJ9636"/>
    </row>
    <row r="9637" spans="36:36" ht="11.25" customHeight="1">
      <c r="AJ9637"/>
    </row>
    <row r="9638" spans="36:36" ht="11.25" customHeight="1">
      <c r="AJ9638"/>
    </row>
    <row r="9639" spans="36:36" ht="11.25" customHeight="1">
      <c r="AJ9639"/>
    </row>
    <row r="9640" spans="36:36" ht="11.25" customHeight="1">
      <c r="AJ9640"/>
    </row>
    <row r="9641" spans="36:36" ht="11.25" customHeight="1">
      <c r="AJ9641"/>
    </row>
    <row r="9642" spans="36:36" ht="11.25" customHeight="1">
      <c r="AJ9642"/>
    </row>
    <row r="9643" spans="36:36" ht="11.25" customHeight="1">
      <c r="AJ9643"/>
    </row>
    <row r="9644" spans="36:36" ht="11.25" customHeight="1">
      <c r="AJ9644"/>
    </row>
    <row r="9645" spans="36:36" ht="11.25" customHeight="1">
      <c r="AJ9645"/>
    </row>
    <row r="9646" spans="36:36" ht="11.25" customHeight="1">
      <c r="AJ9646"/>
    </row>
    <row r="9647" spans="36:36" ht="11.25" customHeight="1">
      <c r="AJ9647"/>
    </row>
    <row r="9648" spans="36:36" ht="11.25" customHeight="1">
      <c r="AJ9648"/>
    </row>
    <row r="9649" spans="36:36" ht="11.25" customHeight="1">
      <c r="AJ9649"/>
    </row>
    <row r="9650" spans="36:36" ht="11.25" customHeight="1">
      <c r="AJ9650"/>
    </row>
    <row r="9651" spans="36:36" ht="11.25" customHeight="1">
      <c r="AJ9651"/>
    </row>
    <row r="9652" spans="36:36" ht="11.25" customHeight="1">
      <c r="AJ9652"/>
    </row>
    <row r="9653" spans="36:36" ht="11.25" customHeight="1">
      <c r="AJ9653"/>
    </row>
    <row r="9654" spans="36:36" ht="11.25" customHeight="1">
      <c r="AJ9654"/>
    </row>
    <row r="9655" spans="36:36" ht="11.25" customHeight="1">
      <c r="AJ9655"/>
    </row>
    <row r="9656" spans="36:36" ht="11.25" customHeight="1">
      <c r="AJ9656"/>
    </row>
    <row r="9657" spans="36:36" ht="11.25" customHeight="1">
      <c r="AJ9657"/>
    </row>
    <row r="9658" spans="36:36" ht="11.25" customHeight="1">
      <c r="AJ9658"/>
    </row>
    <row r="9659" spans="36:36" ht="11.25" customHeight="1">
      <c r="AJ9659"/>
    </row>
    <row r="9660" spans="36:36" ht="11.25" customHeight="1">
      <c r="AJ9660"/>
    </row>
    <row r="9661" spans="36:36" ht="11.25" customHeight="1">
      <c r="AJ9661"/>
    </row>
    <row r="9662" spans="36:36" ht="11.25" customHeight="1">
      <c r="AJ9662"/>
    </row>
    <row r="9663" spans="36:36" ht="11.25" customHeight="1">
      <c r="AJ9663"/>
    </row>
    <row r="9664" spans="36:36" ht="11.25" customHeight="1">
      <c r="AJ9664"/>
    </row>
    <row r="9665" spans="36:36" ht="11.25" customHeight="1">
      <c r="AJ9665"/>
    </row>
    <row r="9666" spans="36:36" ht="11.25" customHeight="1">
      <c r="AJ9666"/>
    </row>
    <row r="9667" spans="36:36" ht="11.25" customHeight="1">
      <c r="AJ9667"/>
    </row>
    <row r="9668" spans="36:36" ht="11.25" customHeight="1">
      <c r="AJ9668"/>
    </row>
    <row r="9669" spans="36:36" ht="11.25" customHeight="1">
      <c r="AJ9669"/>
    </row>
    <row r="9670" spans="36:36" ht="11.25" customHeight="1">
      <c r="AJ9670"/>
    </row>
    <row r="9671" spans="36:36" ht="11.25" customHeight="1">
      <c r="AJ9671"/>
    </row>
    <row r="9672" spans="36:36" ht="11.25" customHeight="1">
      <c r="AJ9672"/>
    </row>
    <row r="9673" spans="36:36" ht="11.25" customHeight="1">
      <c r="AJ9673"/>
    </row>
    <row r="9674" spans="36:36" ht="11.25" customHeight="1">
      <c r="AJ9674"/>
    </row>
    <row r="9675" spans="36:36" ht="11.25" customHeight="1">
      <c r="AJ9675"/>
    </row>
    <row r="9676" spans="36:36" ht="11.25" customHeight="1">
      <c r="AJ9676"/>
    </row>
    <row r="9677" spans="36:36" ht="11.25" customHeight="1">
      <c r="AJ9677"/>
    </row>
    <row r="9678" spans="36:36" ht="11.25" customHeight="1">
      <c r="AJ9678"/>
    </row>
    <row r="9679" spans="36:36" ht="11.25" customHeight="1">
      <c r="AJ9679"/>
    </row>
    <row r="9680" spans="36:36" ht="11.25" customHeight="1">
      <c r="AJ9680"/>
    </row>
    <row r="9681" spans="36:36" ht="11.25" customHeight="1">
      <c r="AJ9681"/>
    </row>
    <row r="9682" spans="36:36" ht="11.25" customHeight="1">
      <c r="AJ9682"/>
    </row>
    <row r="9683" spans="36:36" ht="11.25" customHeight="1">
      <c r="AJ9683"/>
    </row>
    <row r="9684" spans="36:36" ht="11.25" customHeight="1">
      <c r="AJ9684"/>
    </row>
    <row r="9685" spans="36:36" ht="11.25" customHeight="1">
      <c r="AJ9685"/>
    </row>
    <row r="9686" spans="36:36" ht="11.25" customHeight="1">
      <c r="AJ9686"/>
    </row>
    <row r="9687" spans="36:36" ht="11.25" customHeight="1">
      <c r="AJ9687"/>
    </row>
    <row r="9688" spans="36:36" ht="11.25" customHeight="1">
      <c r="AJ9688"/>
    </row>
    <row r="9689" spans="36:36" ht="11.25" customHeight="1">
      <c r="AJ9689"/>
    </row>
    <row r="9690" spans="36:36" ht="11.25" customHeight="1">
      <c r="AJ9690"/>
    </row>
    <row r="9691" spans="36:36" ht="11.25" customHeight="1">
      <c r="AJ9691"/>
    </row>
    <row r="9692" spans="36:36" ht="11.25" customHeight="1">
      <c r="AJ9692"/>
    </row>
    <row r="9693" spans="36:36" ht="11.25" customHeight="1">
      <c r="AJ9693"/>
    </row>
    <row r="9694" spans="36:36" ht="11.25" customHeight="1">
      <c r="AJ9694"/>
    </row>
    <row r="9695" spans="36:36" ht="11.25" customHeight="1">
      <c r="AJ9695"/>
    </row>
    <row r="9696" spans="36:36" ht="11.25" customHeight="1">
      <c r="AJ9696"/>
    </row>
    <row r="9697" spans="36:36" ht="11.25" customHeight="1">
      <c r="AJ9697"/>
    </row>
    <row r="9698" spans="36:36" ht="11.25" customHeight="1">
      <c r="AJ9698"/>
    </row>
    <row r="9699" spans="36:36" ht="11.25" customHeight="1">
      <c r="AJ9699"/>
    </row>
    <row r="9700" spans="36:36" ht="11.25" customHeight="1">
      <c r="AJ9700"/>
    </row>
    <row r="9701" spans="36:36" ht="11.25" customHeight="1">
      <c r="AJ9701"/>
    </row>
    <row r="9702" spans="36:36" ht="11.25" customHeight="1">
      <c r="AJ9702"/>
    </row>
    <row r="9703" spans="36:36" ht="11.25" customHeight="1">
      <c r="AJ9703"/>
    </row>
    <row r="9704" spans="36:36" ht="11.25" customHeight="1">
      <c r="AJ9704"/>
    </row>
    <row r="9705" spans="36:36" ht="11.25" customHeight="1">
      <c r="AJ9705"/>
    </row>
    <row r="9706" spans="36:36" ht="11.25" customHeight="1">
      <c r="AJ9706"/>
    </row>
    <row r="9707" spans="36:36" ht="11.25" customHeight="1">
      <c r="AJ9707"/>
    </row>
    <row r="9708" spans="36:36" ht="11.25" customHeight="1">
      <c r="AJ9708"/>
    </row>
    <row r="9709" spans="36:36" ht="11.25" customHeight="1">
      <c r="AJ9709"/>
    </row>
    <row r="9710" spans="36:36" ht="11.25" customHeight="1">
      <c r="AJ9710"/>
    </row>
    <row r="9711" spans="36:36" ht="11.25" customHeight="1">
      <c r="AJ9711"/>
    </row>
    <row r="9712" spans="36:36" ht="11.25" customHeight="1">
      <c r="AJ9712"/>
    </row>
    <row r="9713" spans="36:36" ht="11.25" customHeight="1">
      <c r="AJ9713"/>
    </row>
    <row r="9714" spans="36:36" ht="11.25" customHeight="1">
      <c r="AJ9714"/>
    </row>
    <row r="9715" spans="36:36" ht="11.25" customHeight="1">
      <c r="AJ9715"/>
    </row>
    <row r="9716" spans="36:36" ht="11.25" customHeight="1">
      <c r="AJ9716"/>
    </row>
    <row r="9717" spans="36:36" ht="11.25" customHeight="1">
      <c r="AJ9717"/>
    </row>
    <row r="9718" spans="36:36" ht="11.25" customHeight="1">
      <c r="AJ9718"/>
    </row>
    <row r="9719" spans="36:36" ht="11.25" customHeight="1">
      <c r="AJ9719"/>
    </row>
    <row r="9720" spans="36:36" ht="11.25" customHeight="1">
      <c r="AJ9720"/>
    </row>
    <row r="9721" spans="36:36" ht="11.25" customHeight="1">
      <c r="AJ9721"/>
    </row>
    <row r="9722" spans="36:36" ht="11.25" customHeight="1">
      <c r="AJ9722"/>
    </row>
    <row r="9723" spans="36:36" ht="11.25" customHeight="1">
      <c r="AJ9723"/>
    </row>
    <row r="9724" spans="36:36" ht="11.25" customHeight="1">
      <c r="AJ9724"/>
    </row>
    <row r="9725" spans="36:36" ht="11.25" customHeight="1">
      <c r="AJ9725"/>
    </row>
    <row r="9726" spans="36:36" ht="11.25" customHeight="1">
      <c r="AJ9726"/>
    </row>
    <row r="9727" spans="36:36" ht="11.25" customHeight="1">
      <c r="AJ9727"/>
    </row>
    <row r="9728" spans="36:36" ht="11.25" customHeight="1">
      <c r="AJ9728"/>
    </row>
    <row r="9729" spans="36:36" ht="11.25" customHeight="1">
      <c r="AJ9729"/>
    </row>
    <row r="9730" spans="36:36" ht="11.25" customHeight="1">
      <c r="AJ9730"/>
    </row>
    <row r="9731" spans="36:36" ht="11.25" customHeight="1">
      <c r="AJ9731"/>
    </row>
    <row r="9732" spans="36:36" ht="11.25" customHeight="1">
      <c r="AJ9732"/>
    </row>
    <row r="9733" spans="36:36" ht="11.25" customHeight="1">
      <c r="AJ9733"/>
    </row>
    <row r="9734" spans="36:36" ht="11.25" customHeight="1">
      <c r="AJ9734"/>
    </row>
    <row r="9735" spans="36:36" ht="11.25" customHeight="1">
      <c r="AJ9735"/>
    </row>
    <row r="9736" spans="36:36" ht="11.25" customHeight="1">
      <c r="AJ9736"/>
    </row>
    <row r="9737" spans="36:36" ht="11.25" customHeight="1">
      <c r="AJ9737"/>
    </row>
    <row r="9738" spans="36:36" ht="11.25" customHeight="1">
      <c r="AJ9738"/>
    </row>
    <row r="9739" spans="36:36" ht="11.25" customHeight="1">
      <c r="AJ9739"/>
    </row>
    <row r="9740" spans="36:36" ht="11.25" customHeight="1">
      <c r="AJ9740"/>
    </row>
    <row r="9741" spans="36:36" ht="11.25" customHeight="1">
      <c r="AJ9741"/>
    </row>
    <row r="9742" spans="36:36" ht="11.25" customHeight="1">
      <c r="AJ9742"/>
    </row>
    <row r="9743" spans="36:36" ht="11.25" customHeight="1">
      <c r="AJ9743"/>
    </row>
    <row r="9744" spans="36:36" ht="11.25" customHeight="1">
      <c r="AJ9744"/>
    </row>
    <row r="9745" spans="36:36" ht="11.25" customHeight="1">
      <c r="AJ9745"/>
    </row>
    <row r="9746" spans="36:36" ht="11.25" customHeight="1">
      <c r="AJ9746"/>
    </row>
    <row r="9747" spans="36:36" ht="11.25" customHeight="1">
      <c r="AJ9747"/>
    </row>
    <row r="9748" spans="36:36" ht="11.25" customHeight="1">
      <c r="AJ9748"/>
    </row>
    <row r="9749" spans="36:36" ht="11.25" customHeight="1">
      <c r="AJ9749"/>
    </row>
    <row r="9750" spans="36:36" ht="11.25" customHeight="1">
      <c r="AJ9750"/>
    </row>
    <row r="9751" spans="36:36" ht="11.25" customHeight="1">
      <c r="AJ9751"/>
    </row>
    <row r="9752" spans="36:36" ht="11.25" customHeight="1">
      <c r="AJ9752"/>
    </row>
    <row r="9753" spans="36:36" ht="11.25" customHeight="1">
      <c r="AJ9753"/>
    </row>
    <row r="9754" spans="36:36" ht="11.25" customHeight="1">
      <c r="AJ9754"/>
    </row>
    <row r="9755" spans="36:36" ht="11.25" customHeight="1">
      <c r="AJ9755"/>
    </row>
    <row r="9756" spans="36:36" ht="11.25" customHeight="1">
      <c r="AJ9756"/>
    </row>
    <row r="9757" spans="36:36" ht="11.25" customHeight="1">
      <c r="AJ9757"/>
    </row>
    <row r="9758" spans="36:36" ht="11.25" customHeight="1">
      <c r="AJ9758"/>
    </row>
    <row r="9759" spans="36:36" ht="11.25" customHeight="1">
      <c r="AJ9759"/>
    </row>
    <row r="9760" spans="36:36" ht="11.25" customHeight="1">
      <c r="AJ9760"/>
    </row>
    <row r="9761" spans="36:36" ht="11.25" customHeight="1">
      <c r="AJ9761"/>
    </row>
    <row r="9762" spans="36:36" ht="11.25" customHeight="1">
      <c r="AJ9762"/>
    </row>
    <row r="9763" spans="36:36" ht="11.25" customHeight="1">
      <c r="AJ9763"/>
    </row>
    <row r="9764" spans="36:36" ht="11.25" customHeight="1">
      <c r="AJ9764"/>
    </row>
    <row r="9765" spans="36:36" ht="11.25" customHeight="1">
      <c r="AJ9765"/>
    </row>
    <row r="9766" spans="36:36" ht="11.25" customHeight="1">
      <c r="AJ9766"/>
    </row>
    <row r="9767" spans="36:36" ht="11.25" customHeight="1">
      <c r="AJ9767"/>
    </row>
    <row r="9768" spans="36:36" ht="11.25" customHeight="1">
      <c r="AJ9768"/>
    </row>
    <row r="9769" spans="36:36" ht="11.25" customHeight="1">
      <c r="AJ9769"/>
    </row>
    <row r="9770" spans="36:36" ht="11.25" customHeight="1">
      <c r="AJ9770"/>
    </row>
    <row r="9771" spans="36:36" ht="11.25" customHeight="1">
      <c r="AJ9771"/>
    </row>
    <row r="9772" spans="36:36" ht="11.25" customHeight="1">
      <c r="AJ9772"/>
    </row>
    <row r="9773" spans="36:36" ht="11.25" customHeight="1">
      <c r="AJ9773"/>
    </row>
    <row r="9774" spans="36:36" ht="11.25" customHeight="1">
      <c r="AJ9774"/>
    </row>
    <row r="9775" spans="36:36" ht="11.25" customHeight="1">
      <c r="AJ9775"/>
    </row>
    <row r="9776" spans="36:36" ht="11.25" customHeight="1">
      <c r="AJ9776"/>
    </row>
    <row r="9777" spans="36:36" ht="11.25" customHeight="1">
      <c r="AJ9777"/>
    </row>
    <row r="9778" spans="36:36" ht="11.25" customHeight="1">
      <c r="AJ9778"/>
    </row>
    <row r="9779" spans="36:36" ht="11.25" customHeight="1">
      <c r="AJ9779"/>
    </row>
    <row r="9780" spans="36:36" ht="11.25" customHeight="1">
      <c r="AJ9780"/>
    </row>
    <row r="9781" spans="36:36" ht="11.25" customHeight="1">
      <c r="AJ9781"/>
    </row>
    <row r="9782" spans="36:36" ht="11.25" customHeight="1">
      <c r="AJ9782"/>
    </row>
    <row r="9783" spans="36:36" ht="11.25" customHeight="1">
      <c r="AJ9783"/>
    </row>
    <row r="9784" spans="36:36" ht="11.25" customHeight="1">
      <c r="AJ9784"/>
    </row>
    <row r="9785" spans="36:36" ht="11.25" customHeight="1">
      <c r="AJ9785"/>
    </row>
    <row r="9786" spans="36:36" ht="11.25" customHeight="1">
      <c r="AJ9786"/>
    </row>
    <row r="9787" spans="36:36" ht="11.25" customHeight="1">
      <c r="AJ9787"/>
    </row>
    <row r="9788" spans="36:36" ht="11.25" customHeight="1">
      <c r="AJ9788"/>
    </row>
    <row r="9789" spans="36:36" ht="11.25" customHeight="1">
      <c r="AJ9789"/>
    </row>
    <row r="9790" spans="36:36" ht="11.25" customHeight="1">
      <c r="AJ9790"/>
    </row>
    <row r="9791" spans="36:36" ht="11.25" customHeight="1">
      <c r="AJ9791"/>
    </row>
    <row r="9792" spans="36:36" ht="11.25" customHeight="1">
      <c r="AJ9792"/>
    </row>
    <row r="9793" spans="36:36" ht="11.25" customHeight="1">
      <c r="AJ9793"/>
    </row>
    <row r="9794" spans="36:36" ht="11.25" customHeight="1">
      <c r="AJ9794"/>
    </row>
    <row r="9795" spans="36:36" ht="11.25" customHeight="1">
      <c r="AJ9795"/>
    </row>
    <row r="9796" spans="36:36" ht="11.25" customHeight="1">
      <c r="AJ9796"/>
    </row>
    <row r="9797" spans="36:36" ht="11.25" customHeight="1">
      <c r="AJ9797"/>
    </row>
    <row r="9798" spans="36:36" ht="11.25" customHeight="1">
      <c r="AJ9798"/>
    </row>
    <row r="9799" spans="36:36" ht="11.25" customHeight="1">
      <c r="AJ9799"/>
    </row>
    <row r="9800" spans="36:36" ht="11.25" customHeight="1">
      <c r="AJ9800"/>
    </row>
    <row r="9801" spans="36:36" ht="11.25" customHeight="1">
      <c r="AJ9801"/>
    </row>
    <row r="9802" spans="36:36" ht="11.25" customHeight="1">
      <c r="AJ9802"/>
    </row>
    <row r="9803" spans="36:36" ht="11.25" customHeight="1">
      <c r="AJ9803"/>
    </row>
    <row r="9804" spans="36:36" ht="11.25" customHeight="1">
      <c r="AJ9804"/>
    </row>
    <row r="9805" spans="36:36" ht="11.25" customHeight="1">
      <c r="AJ9805"/>
    </row>
    <row r="9806" spans="36:36" ht="11.25" customHeight="1">
      <c r="AJ9806"/>
    </row>
    <row r="9807" spans="36:36" ht="11.25" customHeight="1">
      <c r="AJ9807"/>
    </row>
    <row r="9808" spans="36:36" ht="11.25" customHeight="1">
      <c r="AJ9808"/>
    </row>
    <row r="9809" spans="36:36" ht="11.25" customHeight="1">
      <c r="AJ9809"/>
    </row>
    <row r="9810" spans="36:36" ht="11.25" customHeight="1">
      <c r="AJ9810"/>
    </row>
    <row r="9811" spans="36:36" ht="11.25" customHeight="1">
      <c r="AJ9811"/>
    </row>
    <row r="9812" spans="36:36" ht="11.25" customHeight="1">
      <c r="AJ9812"/>
    </row>
    <row r="9813" spans="36:36" ht="11.25" customHeight="1">
      <c r="AJ9813"/>
    </row>
    <row r="9814" spans="36:36" ht="11.25" customHeight="1">
      <c r="AJ9814"/>
    </row>
    <row r="9815" spans="36:36" ht="11.25" customHeight="1">
      <c r="AJ9815"/>
    </row>
    <row r="9816" spans="36:36" ht="11.25" customHeight="1">
      <c r="AJ9816"/>
    </row>
    <row r="9817" spans="36:36" ht="11.25" customHeight="1">
      <c r="AJ9817"/>
    </row>
    <row r="9818" spans="36:36" ht="11.25" customHeight="1">
      <c r="AJ9818"/>
    </row>
    <row r="9819" spans="36:36" ht="11.25" customHeight="1">
      <c r="AJ9819"/>
    </row>
    <row r="9820" spans="36:36" ht="11.25" customHeight="1">
      <c r="AJ9820"/>
    </row>
    <row r="9821" spans="36:36" ht="11.25" customHeight="1">
      <c r="AJ9821"/>
    </row>
    <row r="9822" spans="36:36" ht="11.25" customHeight="1">
      <c r="AJ9822"/>
    </row>
    <row r="9823" spans="36:36" ht="11.25" customHeight="1">
      <c r="AJ9823"/>
    </row>
    <row r="9824" spans="36:36" ht="11.25" customHeight="1">
      <c r="AJ9824"/>
    </row>
    <row r="9825" spans="36:36" ht="11.25" customHeight="1">
      <c r="AJ9825"/>
    </row>
    <row r="9826" spans="36:36" ht="11.25" customHeight="1">
      <c r="AJ9826"/>
    </row>
    <row r="9827" spans="36:36" ht="11.25" customHeight="1">
      <c r="AJ9827"/>
    </row>
    <row r="9828" spans="36:36" ht="11.25" customHeight="1">
      <c r="AJ9828"/>
    </row>
    <row r="9829" spans="36:36" ht="11.25" customHeight="1">
      <c r="AJ9829"/>
    </row>
    <row r="9830" spans="36:36" ht="11.25" customHeight="1">
      <c r="AJ9830"/>
    </row>
    <row r="9831" spans="36:36" ht="11.25" customHeight="1">
      <c r="AJ9831"/>
    </row>
    <row r="9832" spans="36:36" ht="11.25" customHeight="1">
      <c r="AJ9832"/>
    </row>
    <row r="9833" spans="36:36" ht="11.25" customHeight="1">
      <c r="AJ9833"/>
    </row>
    <row r="9834" spans="36:36" ht="11.25" customHeight="1">
      <c r="AJ9834"/>
    </row>
    <row r="9835" spans="36:36" ht="11.25" customHeight="1">
      <c r="AJ9835"/>
    </row>
    <row r="9836" spans="36:36" ht="11.25" customHeight="1">
      <c r="AJ9836"/>
    </row>
    <row r="9837" spans="36:36" ht="11.25" customHeight="1">
      <c r="AJ9837"/>
    </row>
    <row r="9838" spans="36:36" ht="11.25" customHeight="1">
      <c r="AJ9838"/>
    </row>
    <row r="9839" spans="36:36" ht="11.25" customHeight="1">
      <c r="AJ9839"/>
    </row>
    <row r="9840" spans="36:36" ht="11.25" customHeight="1">
      <c r="AJ9840"/>
    </row>
    <row r="9841" spans="36:36" ht="11.25" customHeight="1">
      <c r="AJ9841"/>
    </row>
    <row r="9842" spans="36:36" ht="11.25" customHeight="1">
      <c r="AJ9842"/>
    </row>
    <row r="9843" spans="36:36" ht="11.25" customHeight="1">
      <c r="AJ9843"/>
    </row>
    <row r="9844" spans="36:36" ht="11.25" customHeight="1">
      <c r="AJ9844"/>
    </row>
    <row r="9845" spans="36:36" ht="11.25" customHeight="1">
      <c r="AJ9845"/>
    </row>
    <row r="9846" spans="36:36" ht="11.25" customHeight="1">
      <c r="AJ9846"/>
    </row>
    <row r="9847" spans="36:36" ht="11.25" customHeight="1">
      <c r="AJ9847"/>
    </row>
    <row r="9848" spans="36:36" ht="11.25" customHeight="1">
      <c r="AJ9848"/>
    </row>
    <row r="9849" spans="36:36" ht="11.25" customHeight="1">
      <c r="AJ9849"/>
    </row>
    <row r="9850" spans="36:36" ht="11.25" customHeight="1">
      <c r="AJ9850"/>
    </row>
    <row r="9851" spans="36:36" ht="11.25" customHeight="1">
      <c r="AJ9851"/>
    </row>
    <row r="9852" spans="36:36" ht="11.25" customHeight="1">
      <c r="AJ9852"/>
    </row>
    <row r="9853" spans="36:36" ht="11.25" customHeight="1">
      <c r="AJ9853"/>
    </row>
    <row r="9854" spans="36:36" ht="11.25" customHeight="1">
      <c r="AJ9854"/>
    </row>
    <row r="9855" spans="36:36" ht="11.25" customHeight="1">
      <c r="AJ9855"/>
    </row>
    <row r="9856" spans="36:36" ht="11.25" customHeight="1">
      <c r="AJ9856"/>
    </row>
    <row r="9857" spans="36:36" ht="11.25" customHeight="1">
      <c r="AJ9857"/>
    </row>
    <row r="9858" spans="36:36" ht="11.25" customHeight="1">
      <c r="AJ9858"/>
    </row>
    <row r="9859" spans="36:36" ht="11.25" customHeight="1">
      <c r="AJ9859"/>
    </row>
    <row r="9860" spans="36:36" ht="11.25" customHeight="1">
      <c r="AJ9860"/>
    </row>
    <row r="9861" spans="36:36" ht="11.25" customHeight="1">
      <c r="AJ9861"/>
    </row>
    <row r="9862" spans="36:36" ht="11.25" customHeight="1">
      <c r="AJ9862"/>
    </row>
    <row r="9863" spans="36:36" ht="11.25" customHeight="1">
      <c r="AJ9863"/>
    </row>
    <row r="9864" spans="36:36" ht="11.25" customHeight="1">
      <c r="AJ9864"/>
    </row>
    <row r="9865" spans="36:36" ht="11.25" customHeight="1">
      <c r="AJ9865"/>
    </row>
    <row r="9866" spans="36:36" ht="11.25" customHeight="1">
      <c r="AJ9866"/>
    </row>
    <row r="9867" spans="36:36" ht="11.25" customHeight="1">
      <c r="AJ9867"/>
    </row>
    <row r="9868" spans="36:36" ht="11.25" customHeight="1">
      <c r="AJ9868"/>
    </row>
    <row r="9869" spans="36:36" ht="11.25" customHeight="1">
      <c r="AJ9869"/>
    </row>
    <row r="9870" spans="36:36" ht="11.25" customHeight="1">
      <c r="AJ9870"/>
    </row>
    <row r="9871" spans="36:36" ht="11.25" customHeight="1">
      <c r="AJ9871"/>
    </row>
    <row r="9872" spans="36:36" ht="11.25" customHeight="1">
      <c r="AJ9872"/>
    </row>
    <row r="9873" spans="36:36" ht="11.25" customHeight="1">
      <c r="AJ9873"/>
    </row>
    <row r="9874" spans="36:36" ht="11.25" customHeight="1">
      <c r="AJ9874"/>
    </row>
    <row r="9875" spans="36:36" ht="11.25" customHeight="1">
      <c r="AJ9875"/>
    </row>
    <row r="9876" spans="36:36" ht="11.25" customHeight="1">
      <c r="AJ9876"/>
    </row>
    <row r="9877" spans="36:36" ht="11.25" customHeight="1">
      <c r="AJ9877"/>
    </row>
    <row r="9878" spans="36:36" ht="11.25" customHeight="1">
      <c r="AJ9878"/>
    </row>
    <row r="9879" spans="36:36" ht="11.25" customHeight="1">
      <c r="AJ9879"/>
    </row>
    <row r="9880" spans="36:36" ht="11.25" customHeight="1">
      <c r="AJ9880"/>
    </row>
    <row r="9881" spans="36:36" ht="11.25" customHeight="1">
      <c r="AJ9881"/>
    </row>
    <row r="9882" spans="36:36" ht="11.25" customHeight="1">
      <c r="AJ9882"/>
    </row>
    <row r="9883" spans="36:36" ht="11.25" customHeight="1">
      <c r="AJ9883"/>
    </row>
    <row r="9884" spans="36:36" ht="11.25" customHeight="1">
      <c r="AJ9884"/>
    </row>
    <row r="9885" spans="36:36" ht="11.25" customHeight="1">
      <c r="AJ9885"/>
    </row>
    <row r="9886" spans="36:36" ht="11.25" customHeight="1">
      <c r="AJ9886"/>
    </row>
    <row r="9887" spans="36:36" ht="11.25" customHeight="1">
      <c r="AJ9887"/>
    </row>
    <row r="9888" spans="36:36" ht="11.25" customHeight="1">
      <c r="AJ9888"/>
    </row>
    <row r="9889" spans="36:36" ht="11.25" customHeight="1">
      <c r="AJ9889"/>
    </row>
    <row r="9890" spans="36:36" ht="11.25" customHeight="1">
      <c r="AJ9890"/>
    </row>
    <row r="9891" spans="36:36" ht="11.25" customHeight="1">
      <c r="AJ9891"/>
    </row>
    <row r="9892" spans="36:36" ht="11.25" customHeight="1">
      <c r="AJ9892"/>
    </row>
    <row r="9893" spans="36:36" ht="11.25" customHeight="1">
      <c r="AJ9893"/>
    </row>
    <row r="9894" spans="36:36" ht="11.25" customHeight="1">
      <c r="AJ9894"/>
    </row>
    <row r="9895" spans="36:36" ht="11.25" customHeight="1">
      <c r="AJ9895"/>
    </row>
    <row r="9896" spans="36:36" ht="11.25" customHeight="1">
      <c r="AJ9896"/>
    </row>
    <row r="9897" spans="36:36" ht="11.25" customHeight="1">
      <c r="AJ9897"/>
    </row>
    <row r="9898" spans="36:36" ht="11.25" customHeight="1">
      <c r="AJ9898"/>
    </row>
    <row r="9899" spans="36:36" ht="11.25" customHeight="1">
      <c r="AJ9899"/>
    </row>
    <row r="9900" spans="36:36" ht="11.25" customHeight="1">
      <c r="AJ9900"/>
    </row>
    <row r="9901" spans="36:36" ht="11.25" customHeight="1">
      <c r="AJ9901"/>
    </row>
    <row r="9902" spans="36:36" ht="11.25" customHeight="1">
      <c r="AJ9902"/>
    </row>
    <row r="9903" spans="36:36" ht="11.25" customHeight="1">
      <c r="AJ9903"/>
    </row>
    <row r="9904" spans="36:36" ht="11.25" customHeight="1">
      <c r="AJ9904"/>
    </row>
    <row r="9905" spans="36:36" ht="11.25" customHeight="1">
      <c r="AJ9905"/>
    </row>
    <row r="9906" spans="36:36" ht="11.25" customHeight="1">
      <c r="AJ9906"/>
    </row>
    <row r="9907" spans="36:36" ht="11.25" customHeight="1">
      <c r="AJ9907"/>
    </row>
    <row r="9908" spans="36:36" ht="11.25" customHeight="1">
      <c r="AJ9908"/>
    </row>
    <row r="9909" spans="36:36" ht="11.25" customHeight="1">
      <c r="AJ9909"/>
    </row>
    <row r="9910" spans="36:36" ht="11.25" customHeight="1">
      <c r="AJ9910"/>
    </row>
    <row r="9911" spans="36:36" ht="11.25" customHeight="1">
      <c r="AJ9911"/>
    </row>
    <row r="9912" spans="36:36" ht="11.25" customHeight="1">
      <c r="AJ9912"/>
    </row>
    <row r="9913" spans="36:36" ht="11.25" customHeight="1">
      <c r="AJ9913"/>
    </row>
    <row r="9914" spans="36:36" ht="11.25" customHeight="1">
      <c r="AJ9914"/>
    </row>
    <row r="9915" spans="36:36" ht="11.25" customHeight="1">
      <c r="AJ9915"/>
    </row>
    <row r="9916" spans="36:36" ht="11.25" customHeight="1">
      <c r="AJ9916"/>
    </row>
    <row r="9917" spans="36:36" ht="11.25" customHeight="1">
      <c r="AJ9917"/>
    </row>
    <row r="9918" spans="36:36" ht="11.25" customHeight="1">
      <c r="AJ9918"/>
    </row>
    <row r="9919" spans="36:36" ht="11.25" customHeight="1">
      <c r="AJ9919"/>
    </row>
    <row r="9920" spans="36:36" ht="11.25" customHeight="1">
      <c r="AJ9920"/>
    </row>
    <row r="9921" spans="36:36" ht="11.25" customHeight="1">
      <c r="AJ9921"/>
    </row>
    <row r="9922" spans="36:36" ht="11.25" customHeight="1">
      <c r="AJ9922"/>
    </row>
    <row r="9923" spans="36:36" ht="11.25" customHeight="1">
      <c r="AJ9923"/>
    </row>
    <row r="9924" spans="36:36" ht="11.25" customHeight="1">
      <c r="AJ9924"/>
    </row>
    <row r="9925" spans="36:36" ht="11.25" customHeight="1">
      <c r="AJ9925"/>
    </row>
    <row r="9926" spans="36:36" ht="11.25" customHeight="1">
      <c r="AJ9926"/>
    </row>
    <row r="9927" spans="36:36" ht="11.25" customHeight="1">
      <c r="AJ9927"/>
    </row>
    <row r="9928" spans="36:36" ht="11.25" customHeight="1">
      <c r="AJ9928"/>
    </row>
    <row r="9929" spans="36:36" ht="11.25" customHeight="1">
      <c r="AJ9929"/>
    </row>
    <row r="9930" spans="36:36" ht="11.25" customHeight="1">
      <c r="AJ9930"/>
    </row>
    <row r="9931" spans="36:36" ht="11.25" customHeight="1">
      <c r="AJ9931"/>
    </row>
    <row r="9932" spans="36:36" ht="11.25" customHeight="1">
      <c r="AJ9932"/>
    </row>
    <row r="9933" spans="36:36" ht="11.25" customHeight="1">
      <c r="AJ9933"/>
    </row>
    <row r="9934" spans="36:36" ht="11.25" customHeight="1">
      <c r="AJ9934"/>
    </row>
    <row r="9935" spans="36:36" ht="11.25" customHeight="1">
      <c r="AJ9935"/>
    </row>
    <row r="9936" spans="36:36" ht="11.25" customHeight="1">
      <c r="AJ9936"/>
    </row>
    <row r="9937" spans="36:36" ht="11.25" customHeight="1">
      <c r="AJ9937"/>
    </row>
    <row r="9938" spans="36:36" ht="11.25" customHeight="1">
      <c r="AJ9938"/>
    </row>
    <row r="9939" spans="36:36" ht="11.25" customHeight="1">
      <c r="AJ9939"/>
    </row>
    <row r="9940" spans="36:36" ht="11.25" customHeight="1">
      <c r="AJ9940"/>
    </row>
    <row r="9941" spans="36:36" ht="11.25" customHeight="1">
      <c r="AJ9941"/>
    </row>
    <row r="9942" spans="36:36" ht="11.25" customHeight="1">
      <c r="AJ9942"/>
    </row>
    <row r="9943" spans="36:36" ht="11.25" customHeight="1">
      <c r="AJ9943"/>
    </row>
    <row r="9944" spans="36:36" ht="11.25" customHeight="1">
      <c r="AJ9944"/>
    </row>
    <row r="9945" spans="36:36" ht="11.25" customHeight="1">
      <c r="AJ9945"/>
    </row>
    <row r="9946" spans="36:36" ht="11.25" customHeight="1">
      <c r="AJ9946"/>
    </row>
    <row r="9947" spans="36:36" ht="11.25" customHeight="1">
      <c r="AJ9947"/>
    </row>
    <row r="9948" spans="36:36" ht="11.25" customHeight="1">
      <c r="AJ9948"/>
    </row>
    <row r="9949" spans="36:36" ht="11.25" customHeight="1">
      <c r="AJ9949"/>
    </row>
    <row r="9950" spans="36:36" ht="11.25" customHeight="1">
      <c r="AJ9950"/>
    </row>
    <row r="9951" spans="36:36" ht="11.25" customHeight="1">
      <c r="AJ9951"/>
    </row>
    <row r="9952" spans="36:36" ht="11.25" customHeight="1">
      <c r="AJ9952"/>
    </row>
    <row r="9953" spans="36:36" ht="11.25" customHeight="1">
      <c r="AJ9953"/>
    </row>
    <row r="9954" spans="36:36" ht="11.25" customHeight="1">
      <c r="AJ9954"/>
    </row>
    <row r="9955" spans="36:36" ht="11.25" customHeight="1">
      <c r="AJ9955"/>
    </row>
    <row r="9956" spans="36:36" ht="11.25" customHeight="1">
      <c r="AJ9956"/>
    </row>
    <row r="9957" spans="36:36" ht="11.25" customHeight="1">
      <c r="AJ9957"/>
    </row>
    <row r="9958" spans="36:36" ht="11.25" customHeight="1">
      <c r="AJ9958"/>
    </row>
    <row r="9959" spans="36:36" ht="11.25" customHeight="1">
      <c r="AJ9959"/>
    </row>
    <row r="9960" spans="36:36" ht="11.25" customHeight="1">
      <c r="AJ9960"/>
    </row>
    <row r="9961" spans="36:36" ht="11.25" customHeight="1">
      <c r="AJ9961"/>
    </row>
    <row r="9962" spans="36:36" ht="11.25" customHeight="1">
      <c r="AJ9962"/>
    </row>
    <row r="9963" spans="36:36" ht="11.25" customHeight="1">
      <c r="AJ9963"/>
    </row>
    <row r="9964" spans="36:36" ht="11.25" customHeight="1">
      <c r="AJ9964"/>
    </row>
    <row r="9965" spans="36:36" ht="11.25" customHeight="1">
      <c r="AJ9965"/>
    </row>
    <row r="9966" spans="36:36" ht="11.25" customHeight="1">
      <c r="AJ9966"/>
    </row>
    <row r="9967" spans="36:36" ht="11.25" customHeight="1">
      <c r="AJ9967"/>
    </row>
    <row r="9968" spans="36:36" ht="11.25" customHeight="1">
      <c r="AJ9968"/>
    </row>
    <row r="9969" spans="36:36" ht="11.25" customHeight="1">
      <c r="AJ9969"/>
    </row>
    <row r="9970" spans="36:36" ht="11.25" customHeight="1">
      <c r="AJ9970"/>
    </row>
    <row r="9971" spans="36:36" ht="11.25" customHeight="1">
      <c r="AJ9971"/>
    </row>
    <row r="9972" spans="36:36" ht="11.25" customHeight="1">
      <c r="AJ9972"/>
    </row>
    <row r="9973" spans="36:36" ht="11.25" customHeight="1">
      <c r="AJ9973"/>
    </row>
    <row r="9974" spans="36:36" ht="11.25" customHeight="1">
      <c r="AJ9974"/>
    </row>
    <row r="9975" spans="36:36" ht="11.25" customHeight="1">
      <c r="AJ9975"/>
    </row>
    <row r="9976" spans="36:36" ht="11.25" customHeight="1">
      <c r="AJ9976"/>
    </row>
    <row r="9977" spans="36:36" ht="11.25" customHeight="1">
      <c r="AJ9977"/>
    </row>
    <row r="9978" spans="36:36" ht="11.25" customHeight="1">
      <c r="AJ9978"/>
    </row>
    <row r="9979" spans="36:36" ht="11.25" customHeight="1">
      <c r="AJ9979"/>
    </row>
    <row r="9980" spans="36:36" ht="11.25" customHeight="1">
      <c r="AJ9980"/>
    </row>
    <row r="9981" spans="36:36" ht="11.25" customHeight="1">
      <c r="AJ9981"/>
    </row>
    <row r="9982" spans="36:36" ht="11.25" customHeight="1">
      <c r="AJ9982"/>
    </row>
    <row r="9983" spans="36:36" ht="11.25" customHeight="1">
      <c r="AJ9983"/>
    </row>
    <row r="9984" spans="36:36" ht="11.25" customHeight="1">
      <c r="AJ9984"/>
    </row>
    <row r="9985" spans="36:36" ht="11.25" customHeight="1">
      <c r="AJ9985"/>
    </row>
    <row r="9986" spans="36:36" ht="11.25" customHeight="1">
      <c r="AJ9986"/>
    </row>
    <row r="9987" spans="36:36" ht="11.25" customHeight="1">
      <c r="AJ9987"/>
    </row>
    <row r="9988" spans="36:36" ht="11.25" customHeight="1">
      <c r="AJ9988"/>
    </row>
    <row r="9989" spans="36:36" ht="11.25" customHeight="1">
      <c r="AJ9989"/>
    </row>
    <row r="9990" spans="36:36" ht="11.25" customHeight="1">
      <c r="AJ9990"/>
    </row>
    <row r="9991" spans="36:36" ht="11.25" customHeight="1">
      <c r="AJ9991"/>
    </row>
    <row r="9992" spans="36:36" ht="11.25" customHeight="1">
      <c r="AJ9992"/>
    </row>
    <row r="9993" spans="36:36" ht="11.25" customHeight="1">
      <c r="AJ9993"/>
    </row>
    <row r="9994" spans="36:36" ht="11.25" customHeight="1">
      <c r="AJ9994"/>
    </row>
    <row r="9995" spans="36:36" ht="11.25" customHeight="1">
      <c r="AJ9995"/>
    </row>
    <row r="9996" spans="36:36" ht="11.25" customHeight="1">
      <c r="AJ9996"/>
    </row>
    <row r="9997" spans="36:36" ht="11.25" customHeight="1">
      <c r="AJ9997"/>
    </row>
    <row r="9998" spans="36:36" ht="11.25" customHeight="1">
      <c r="AJ9998"/>
    </row>
    <row r="9999" spans="36:36" ht="11.25" customHeight="1">
      <c r="AJ9999"/>
    </row>
    <row r="10000" spans="36:36" ht="11.25" customHeight="1">
      <c r="AJ10000"/>
    </row>
    <row r="10001" spans="36:36" ht="11.25" customHeight="1">
      <c r="AJ10001"/>
    </row>
    <row r="10002" spans="36:36" ht="11.25" customHeight="1">
      <c r="AJ10002"/>
    </row>
    <row r="10003" spans="36:36" ht="11.25" customHeight="1">
      <c r="AJ10003"/>
    </row>
    <row r="10004" spans="36:36" ht="11.25" customHeight="1">
      <c r="AJ10004"/>
    </row>
    <row r="10005" spans="36:36" ht="11.25" customHeight="1">
      <c r="AJ10005"/>
    </row>
    <row r="10006" spans="36:36" ht="11.25" customHeight="1">
      <c r="AJ10006"/>
    </row>
    <row r="10007" spans="36:36" ht="11.25" customHeight="1">
      <c r="AJ10007"/>
    </row>
    <row r="10008" spans="36:36" ht="11.25" customHeight="1">
      <c r="AJ10008"/>
    </row>
    <row r="10009" spans="36:36" ht="11.25" customHeight="1">
      <c r="AJ10009"/>
    </row>
    <row r="10010" spans="36:36" ht="11.25" customHeight="1">
      <c r="AJ10010"/>
    </row>
    <row r="10011" spans="36:36" ht="11.25" customHeight="1">
      <c r="AJ10011"/>
    </row>
    <row r="10012" spans="36:36" ht="11.25" customHeight="1">
      <c r="AJ10012"/>
    </row>
    <row r="10013" spans="36:36" ht="11.25" customHeight="1">
      <c r="AJ10013"/>
    </row>
    <row r="10014" spans="36:36" ht="11.25" customHeight="1">
      <c r="AJ10014"/>
    </row>
    <row r="10015" spans="36:36" ht="11.25" customHeight="1">
      <c r="AJ10015"/>
    </row>
    <row r="10016" spans="36:36" ht="11.25" customHeight="1">
      <c r="AJ10016"/>
    </row>
    <row r="10017" spans="36:36" ht="11.25" customHeight="1">
      <c r="AJ10017"/>
    </row>
    <row r="10018" spans="36:36" ht="11.25" customHeight="1">
      <c r="AJ10018"/>
    </row>
    <row r="10019" spans="36:36" ht="11.25" customHeight="1">
      <c r="AJ10019"/>
    </row>
    <row r="10020" spans="36:36" ht="11.25" customHeight="1">
      <c r="AJ10020"/>
    </row>
    <row r="10021" spans="36:36" ht="11.25" customHeight="1">
      <c r="AJ10021"/>
    </row>
    <row r="10022" spans="36:36" ht="11.25" customHeight="1">
      <c r="AJ10022"/>
    </row>
    <row r="10023" spans="36:36" ht="11.25" customHeight="1">
      <c r="AJ10023"/>
    </row>
    <row r="10024" spans="36:36" ht="11.25" customHeight="1">
      <c r="AJ10024"/>
    </row>
    <row r="10025" spans="36:36" ht="11.25" customHeight="1">
      <c r="AJ10025"/>
    </row>
    <row r="10026" spans="36:36" ht="11.25" customHeight="1">
      <c r="AJ10026"/>
    </row>
    <row r="10027" spans="36:36" ht="11.25" customHeight="1">
      <c r="AJ10027"/>
    </row>
    <row r="10028" spans="36:36" ht="11.25" customHeight="1">
      <c r="AJ10028"/>
    </row>
    <row r="10029" spans="36:36" ht="11.25" customHeight="1">
      <c r="AJ10029"/>
    </row>
    <row r="10030" spans="36:36" ht="11.25" customHeight="1">
      <c r="AJ10030"/>
    </row>
    <row r="10031" spans="36:36" ht="11.25" customHeight="1">
      <c r="AJ10031"/>
    </row>
    <row r="10032" spans="36:36" ht="11.25" customHeight="1">
      <c r="AJ10032"/>
    </row>
    <row r="10033" spans="36:36" ht="11.25" customHeight="1">
      <c r="AJ10033"/>
    </row>
    <row r="10034" spans="36:36" ht="11.25" customHeight="1">
      <c r="AJ10034"/>
    </row>
    <row r="10035" spans="36:36" ht="11.25" customHeight="1">
      <c r="AJ10035"/>
    </row>
    <row r="10036" spans="36:36" ht="11.25" customHeight="1">
      <c r="AJ10036"/>
    </row>
    <row r="10037" spans="36:36" ht="11.25" customHeight="1">
      <c r="AJ10037"/>
    </row>
    <row r="10038" spans="36:36" ht="11.25" customHeight="1">
      <c r="AJ10038"/>
    </row>
    <row r="10039" spans="36:36" ht="11.25" customHeight="1">
      <c r="AJ10039"/>
    </row>
    <row r="10040" spans="36:36" ht="11.25" customHeight="1">
      <c r="AJ10040"/>
    </row>
    <row r="10041" spans="36:36" ht="11.25" customHeight="1">
      <c r="AJ10041"/>
    </row>
    <row r="10042" spans="36:36" ht="11.25" customHeight="1">
      <c r="AJ10042"/>
    </row>
    <row r="10043" spans="36:36" ht="11.25" customHeight="1">
      <c r="AJ10043"/>
    </row>
    <row r="10044" spans="36:36" ht="11.25" customHeight="1">
      <c r="AJ10044"/>
    </row>
    <row r="10045" spans="36:36" ht="11.25" customHeight="1">
      <c r="AJ10045"/>
    </row>
    <row r="10046" spans="36:36" ht="11.25" customHeight="1">
      <c r="AJ10046"/>
    </row>
    <row r="10047" spans="36:36" ht="11.25" customHeight="1">
      <c r="AJ10047"/>
    </row>
    <row r="10048" spans="36:36" ht="11.25" customHeight="1">
      <c r="AJ10048"/>
    </row>
    <row r="10049" spans="36:36" ht="11.25" customHeight="1">
      <c r="AJ10049"/>
    </row>
    <row r="10050" spans="36:36" ht="11.25" customHeight="1">
      <c r="AJ10050"/>
    </row>
    <row r="10051" spans="36:36" ht="11.25" customHeight="1">
      <c r="AJ10051"/>
    </row>
    <row r="10052" spans="36:36" ht="11.25" customHeight="1">
      <c r="AJ10052"/>
    </row>
    <row r="10053" spans="36:36" ht="11.25" customHeight="1">
      <c r="AJ10053"/>
    </row>
    <row r="10054" spans="36:36" ht="11.25" customHeight="1">
      <c r="AJ10054"/>
    </row>
    <row r="10055" spans="36:36" ht="11.25" customHeight="1">
      <c r="AJ10055"/>
    </row>
    <row r="10056" spans="36:36" ht="11.25" customHeight="1">
      <c r="AJ10056"/>
    </row>
    <row r="10057" spans="36:36" ht="11.25" customHeight="1">
      <c r="AJ10057"/>
    </row>
    <row r="10058" spans="36:36" ht="11.25" customHeight="1">
      <c r="AJ10058"/>
    </row>
    <row r="10059" spans="36:36" ht="11.25" customHeight="1">
      <c r="AJ10059"/>
    </row>
    <row r="10060" spans="36:36" ht="11.25" customHeight="1">
      <c r="AJ10060"/>
    </row>
    <row r="10061" spans="36:36" ht="11.25" customHeight="1">
      <c r="AJ10061"/>
    </row>
    <row r="10062" spans="36:36" ht="11.25" customHeight="1">
      <c r="AJ10062"/>
    </row>
    <row r="10063" spans="36:36" ht="11.25" customHeight="1">
      <c r="AJ10063"/>
    </row>
    <row r="10064" spans="36:36" ht="11.25" customHeight="1">
      <c r="AJ10064"/>
    </row>
    <row r="10065" spans="36:36" ht="11.25" customHeight="1">
      <c r="AJ10065"/>
    </row>
    <row r="10066" spans="36:36" ht="11.25" customHeight="1">
      <c r="AJ10066"/>
    </row>
    <row r="10067" spans="36:36" ht="11.25" customHeight="1">
      <c r="AJ10067"/>
    </row>
    <row r="10068" spans="36:36" ht="11.25" customHeight="1">
      <c r="AJ10068"/>
    </row>
    <row r="10069" spans="36:36" ht="11.25" customHeight="1">
      <c r="AJ10069"/>
    </row>
    <row r="10070" spans="36:36" ht="11.25" customHeight="1">
      <c r="AJ10070"/>
    </row>
    <row r="10071" spans="36:36" ht="11.25" customHeight="1">
      <c r="AJ10071"/>
    </row>
    <row r="10072" spans="36:36" ht="11.25" customHeight="1">
      <c r="AJ10072"/>
    </row>
    <row r="10073" spans="36:36" ht="11.25" customHeight="1">
      <c r="AJ10073"/>
    </row>
    <row r="10074" spans="36:36" ht="11.25" customHeight="1">
      <c r="AJ10074"/>
    </row>
    <row r="10075" spans="36:36" ht="11.25" customHeight="1">
      <c r="AJ10075"/>
    </row>
    <row r="10076" spans="36:36" ht="11.25" customHeight="1">
      <c r="AJ10076"/>
    </row>
    <row r="10077" spans="36:36" ht="11.25" customHeight="1">
      <c r="AJ10077"/>
    </row>
    <row r="10078" spans="36:36" ht="11.25" customHeight="1">
      <c r="AJ10078"/>
    </row>
    <row r="10079" spans="36:36" ht="11.25" customHeight="1">
      <c r="AJ10079"/>
    </row>
    <row r="10080" spans="36:36" ht="11.25" customHeight="1">
      <c r="AJ10080"/>
    </row>
    <row r="10081" spans="36:36" ht="11.25" customHeight="1">
      <c r="AJ10081"/>
    </row>
    <row r="10082" spans="36:36" ht="11.25" customHeight="1">
      <c r="AJ10082"/>
    </row>
    <row r="10083" spans="36:36" ht="11.25" customHeight="1">
      <c r="AJ10083"/>
    </row>
    <row r="10084" spans="36:36" ht="11.25" customHeight="1">
      <c r="AJ10084"/>
    </row>
    <row r="10085" spans="36:36" ht="11.25" customHeight="1">
      <c r="AJ10085"/>
    </row>
    <row r="10086" spans="36:36" ht="11.25" customHeight="1">
      <c r="AJ10086"/>
    </row>
    <row r="10087" spans="36:36" ht="11.25" customHeight="1">
      <c r="AJ10087"/>
    </row>
    <row r="10088" spans="36:36" ht="11.25" customHeight="1">
      <c r="AJ10088"/>
    </row>
    <row r="10089" spans="36:36" ht="11.25" customHeight="1">
      <c r="AJ10089"/>
    </row>
    <row r="10090" spans="36:36" ht="11.25" customHeight="1">
      <c r="AJ10090"/>
    </row>
    <row r="10091" spans="36:36" ht="11.25" customHeight="1">
      <c r="AJ10091"/>
    </row>
    <row r="10092" spans="36:36" ht="11.25" customHeight="1">
      <c r="AJ10092"/>
    </row>
    <row r="10093" spans="36:36" ht="11.25" customHeight="1">
      <c r="AJ10093"/>
    </row>
    <row r="10094" spans="36:36" ht="11.25" customHeight="1">
      <c r="AJ10094"/>
    </row>
    <row r="10095" spans="36:36" ht="11.25" customHeight="1">
      <c r="AJ10095"/>
    </row>
    <row r="10096" spans="36:36" ht="11.25" customHeight="1">
      <c r="AJ10096"/>
    </row>
    <row r="10097" spans="36:36" ht="11.25" customHeight="1">
      <c r="AJ10097"/>
    </row>
    <row r="10098" spans="36:36" ht="11.25" customHeight="1">
      <c r="AJ10098"/>
    </row>
    <row r="10099" spans="36:36" ht="11.25" customHeight="1">
      <c r="AJ10099"/>
    </row>
    <row r="10100" spans="36:36" ht="11.25" customHeight="1">
      <c r="AJ10100"/>
    </row>
    <row r="10101" spans="36:36" ht="11.25" customHeight="1">
      <c r="AJ10101"/>
    </row>
    <row r="10102" spans="36:36" ht="11.25" customHeight="1">
      <c r="AJ10102"/>
    </row>
    <row r="10103" spans="36:36" ht="11.25" customHeight="1">
      <c r="AJ10103"/>
    </row>
    <row r="10104" spans="36:36" ht="11.25" customHeight="1">
      <c r="AJ10104"/>
    </row>
    <row r="10105" spans="36:36" ht="11.25" customHeight="1">
      <c r="AJ10105"/>
    </row>
    <row r="10106" spans="36:36" ht="11.25" customHeight="1">
      <c r="AJ10106"/>
    </row>
    <row r="10107" spans="36:36" ht="11.25" customHeight="1">
      <c r="AJ10107"/>
    </row>
    <row r="10108" spans="36:36" ht="11.25" customHeight="1">
      <c r="AJ10108"/>
    </row>
    <row r="10109" spans="36:36" ht="11.25" customHeight="1">
      <c r="AJ10109"/>
    </row>
    <row r="10110" spans="36:36" ht="11.25" customHeight="1">
      <c r="AJ10110"/>
    </row>
    <row r="10111" spans="36:36" ht="11.25" customHeight="1">
      <c r="AJ10111"/>
    </row>
    <row r="10112" spans="36:36" ht="11.25" customHeight="1">
      <c r="AJ10112"/>
    </row>
    <row r="10113" spans="36:36" ht="11.25" customHeight="1">
      <c r="AJ10113"/>
    </row>
    <row r="10114" spans="36:36" ht="11.25" customHeight="1">
      <c r="AJ10114"/>
    </row>
    <row r="10115" spans="36:36" ht="11.25" customHeight="1">
      <c r="AJ10115"/>
    </row>
    <row r="10116" spans="36:36" ht="11.25" customHeight="1">
      <c r="AJ10116"/>
    </row>
    <row r="10117" spans="36:36" ht="11.25" customHeight="1">
      <c r="AJ10117"/>
    </row>
    <row r="10118" spans="36:36" ht="11.25" customHeight="1">
      <c r="AJ10118"/>
    </row>
    <row r="10119" spans="36:36" ht="11.25" customHeight="1">
      <c r="AJ10119"/>
    </row>
    <row r="10120" spans="36:36" ht="11.25" customHeight="1">
      <c r="AJ10120"/>
    </row>
    <row r="10121" spans="36:36" ht="11.25" customHeight="1">
      <c r="AJ10121"/>
    </row>
    <row r="10122" spans="36:36" ht="11.25" customHeight="1">
      <c r="AJ10122"/>
    </row>
    <row r="10123" spans="36:36" ht="11.25" customHeight="1">
      <c r="AJ10123"/>
    </row>
    <row r="10124" spans="36:36" ht="11.25" customHeight="1">
      <c r="AJ10124"/>
    </row>
    <row r="10125" spans="36:36" ht="11.25" customHeight="1">
      <c r="AJ10125"/>
    </row>
    <row r="10126" spans="36:36" ht="11.25" customHeight="1">
      <c r="AJ10126"/>
    </row>
    <row r="10127" spans="36:36" ht="11.25" customHeight="1">
      <c r="AJ10127"/>
    </row>
    <row r="10128" spans="36:36" ht="11.25" customHeight="1">
      <c r="AJ10128"/>
    </row>
    <row r="10129" spans="36:36" ht="11.25" customHeight="1">
      <c r="AJ10129"/>
    </row>
    <row r="10130" spans="36:36" ht="11.25" customHeight="1">
      <c r="AJ10130"/>
    </row>
    <row r="10131" spans="36:36" ht="11.25" customHeight="1">
      <c r="AJ10131"/>
    </row>
    <row r="10132" spans="36:36" ht="11.25" customHeight="1">
      <c r="AJ10132"/>
    </row>
    <row r="10133" spans="36:36" ht="11.25" customHeight="1">
      <c r="AJ10133"/>
    </row>
    <row r="10134" spans="36:36" ht="11.25" customHeight="1">
      <c r="AJ10134"/>
    </row>
    <row r="10135" spans="36:36" ht="11.25" customHeight="1">
      <c r="AJ10135"/>
    </row>
    <row r="10136" spans="36:36" ht="11.25" customHeight="1">
      <c r="AJ10136"/>
    </row>
    <row r="10137" spans="36:36" ht="11.25" customHeight="1">
      <c r="AJ10137"/>
    </row>
    <row r="10138" spans="36:36" ht="11.25" customHeight="1">
      <c r="AJ10138"/>
    </row>
    <row r="10139" spans="36:36" ht="11.25" customHeight="1">
      <c r="AJ10139"/>
    </row>
    <row r="10140" spans="36:36" ht="11.25" customHeight="1">
      <c r="AJ10140"/>
    </row>
    <row r="10141" spans="36:36" ht="11.25" customHeight="1">
      <c r="AJ10141"/>
    </row>
    <row r="10142" spans="36:36" ht="11.25" customHeight="1">
      <c r="AJ10142"/>
    </row>
    <row r="10143" spans="36:36" ht="11.25" customHeight="1">
      <c r="AJ10143"/>
    </row>
    <row r="10144" spans="36:36" ht="11.25" customHeight="1">
      <c r="AJ10144"/>
    </row>
    <row r="10145" spans="36:36" ht="11.25" customHeight="1">
      <c r="AJ10145"/>
    </row>
    <row r="10146" spans="36:36" ht="11.25" customHeight="1">
      <c r="AJ10146"/>
    </row>
    <row r="10147" spans="36:36" ht="11.25" customHeight="1">
      <c r="AJ10147"/>
    </row>
    <row r="10148" spans="36:36" ht="11.25" customHeight="1">
      <c r="AJ10148"/>
    </row>
    <row r="10149" spans="36:36" ht="11.25" customHeight="1">
      <c r="AJ10149"/>
    </row>
    <row r="10150" spans="36:36" ht="11.25" customHeight="1">
      <c r="AJ10150"/>
    </row>
    <row r="10151" spans="36:36" ht="11.25" customHeight="1">
      <c r="AJ10151"/>
    </row>
    <row r="10152" spans="36:36" ht="11.25" customHeight="1">
      <c r="AJ10152"/>
    </row>
    <row r="10153" spans="36:36" ht="11.25" customHeight="1">
      <c r="AJ10153"/>
    </row>
    <row r="10154" spans="36:36" ht="11.25" customHeight="1">
      <c r="AJ10154"/>
    </row>
    <row r="10155" spans="36:36" ht="11.25" customHeight="1">
      <c r="AJ10155"/>
    </row>
    <row r="10156" spans="36:36" ht="11.25" customHeight="1">
      <c r="AJ10156"/>
    </row>
    <row r="10157" spans="36:36" ht="11.25" customHeight="1">
      <c r="AJ10157"/>
    </row>
    <row r="10158" spans="36:36" ht="11.25" customHeight="1">
      <c r="AJ10158"/>
    </row>
    <row r="10159" spans="36:36" ht="11.25" customHeight="1">
      <c r="AJ10159"/>
    </row>
    <row r="10160" spans="36:36" ht="11.25" customHeight="1">
      <c r="AJ10160"/>
    </row>
    <row r="10161" spans="36:36" ht="11.25" customHeight="1">
      <c r="AJ10161"/>
    </row>
    <row r="10162" spans="36:36" ht="11.25" customHeight="1">
      <c r="AJ10162"/>
    </row>
    <row r="10163" spans="36:36" ht="11.25" customHeight="1">
      <c r="AJ10163"/>
    </row>
    <row r="10164" spans="36:36" ht="11.25" customHeight="1">
      <c r="AJ10164"/>
    </row>
    <row r="10165" spans="36:36" ht="11.25" customHeight="1">
      <c r="AJ10165"/>
    </row>
    <row r="10166" spans="36:36" ht="11.25" customHeight="1">
      <c r="AJ10166"/>
    </row>
    <row r="10167" spans="36:36" ht="11.25" customHeight="1">
      <c r="AJ10167"/>
    </row>
    <row r="10168" spans="36:36" ht="11.25" customHeight="1">
      <c r="AJ10168"/>
    </row>
    <row r="10169" spans="36:36" ht="11.25" customHeight="1">
      <c r="AJ10169"/>
    </row>
    <row r="10170" spans="36:36" ht="11.25" customHeight="1">
      <c r="AJ10170"/>
    </row>
    <row r="10171" spans="36:36" ht="11.25" customHeight="1">
      <c r="AJ10171"/>
    </row>
    <row r="10172" spans="36:36" ht="11.25" customHeight="1">
      <c r="AJ10172"/>
    </row>
    <row r="10173" spans="36:36" ht="11.25" customHeight="1">
      <c r="AJ10173"/>
    </row>
    <row r="10174" spans="36:36" ht="11.25" customHeight="1">
      <c r="AJ10174"/>
    </row>
    <row r="10175" spans="36:36" ht="11.25" customHeight="1">
      <c r="AJ10175"/>
    </row>
    <row r="10176" spans="36:36" ht="11.25" customHeight="1">
      <c r="AJ10176"/>
    </row>
    <row r="10177" spans="36:36" ht="11.25" customHeight="1">
      <c r="AJ10177"/>
    </row>
    <row r="10178" spans="36:36" ht="11.25" customHeight="1">
      <c r="AJ10178"/>
    </row>
    <row r="10179" spans="36:36" ht="11.25" customHeight="1">
      <c r="AJ10179"/>
    </row>
    <row r="10180" spans="36:36" ht="11.25" customHeight="1">
      <c r="AJ10180"/>
    </row>
    <row r="10181" spans="36:36" ht="11.25" customHeight="1">
      <c r="AJ10181"/>
    </row>
    <row r="10182" spans="36:36" ht="11.25" customHeight="1">
      <c r="AJ10182"/>
    </row>
    <row r="10183" spans="36:36" ht="11.25" customHeight="1">
      <c r="AJ10183"/>
    </row>
    <row r="10184" spans="36:36" ht="11.25" customHeight="1">
      <c r="AJ10184"/>
    </row>
    <row r="10185" spans="36:36" ht="11.25" customHeight="1">
      <c r="AJ10185"/>
    </row>
    <row r="10186" spans="36:36" ht="11.25" customHeight="1">
      <c r="AJ10186"/>
    </row>
    <row r="10187" spans="36:36" ht="11.25" customHeight="1">
      <c r="AJ10187"/>
    </row>
    <row r="10188" spans="36:36" ht="11.25" customHeight="1">
      <c r="AJ10188"/>
    </row>
    <row r="10189" spans="36:36" ht="11.25" customHeight="1">
      <c r="AJ10189"/>
    </row>
    <row r="10190" spans="36:36" ht="11.25" customHeight="1">
      <c r="AJ10190"/>
    </row>
    <row r="10191" spans="36:36" ht="11.25" customHeight="1">
      <c r="AJ10191"/>
    </row>
    <row r="10192" spans="36:36" ht="11.25" customHeight="1">
      <c r="AJ10192"/>
    </row>
    <row r="10193" spans="36:36" ht="11.25" customHeight="1">
      <c r="AJ10193"/>
    </row>
    <row r="10194" spans="36:36" ht="11.25" customHeight="1">
      <c r="AJ10194"/>
    </row>
    <row r="10195" spans="36:36" ht="11.25" customHeight="1">
      <c r="AJ10195"/>
    </row>
    <row r="10196" spans="36:36" ht="11.25" customHeight="1">
      <c r="AJ10196"/>
    </row>
    <row r="10197" spans="36:36" ht="11.25" customHeight="1">
      <c r="AJ10197"/>
    </row>
    <row r="10198" spans="36:36" ht="11.25" customHeight="1">
      <c r="AJ10198"/>
    </row>
    <row r="10199" spans="36:36" ht="11.25" customHeight="1">
      <c r="AJ10199"/>
    </row>
    <row r="10200" spans="36:36" ht="11.25" customHeight="1">
      <c r="AJ10200"/>
    </row>
    <row r="10201" spans="36:36" ht="11.25" customHeight="1">
      <c r="AJ10201"/>
    </row>
    <row r="10202" spans="36:36" ht="11.25" customHeight="1">
      <c r="AJ10202"/>
    </row>
    <row r="10203" spans="36:36" ht="11.25" customHeight="1">
      <c r="AJ10203"/>
    </row>
    <row r="10204" spans="36:36" ht="11.25" customHeight="1">
      <c r="AJ10204"/>
    </row>
    <row r="10205" spans="36:36" ht="11.25" customHeight="1">
      <c r="AJ10205"/>
    </row>
    <row r="10206" spans="36:36" ht="11.25" customHeight="1">
      <c r="AJ10206"/>
    </row>
    <row r="10207" spans="36:36" ht="11.25" customHeight="1">
      <c r="AJ10207"/>
    </row>
    <row r="10208" spans="36:36" ht="11.25" customHeight="1">
      <c r="AJ10208"/>
    </row>
    <row r="10209" spans="36:36" ht="11.25" customHeight="1">
      <c r="AJ10209"/>
    </row>
    <row r="10210" spans="36:36" ht="11.25" customHeight="1">
      <c r="AJ10210"/>
    </row>
    <row r="10211" spans="36:36" ht="11.25" customHeight="1">
      <c r="AJ10211"/>
    </row>
    <row r="10212" spans="36:36" ht="11.25" customHeight="1">
      <c r="AJ10212"/>
    </row>
    <row r="10213" spans="36:36" ht="11.25" customHeight="1">
      <c r="AJ10213"/>
    </row>
    <row r="10214" spans="36:36" ht="11.25" customHeight="1">
      <c r="AJ10214"/>
    </row>
    <row r="10215" spans="36:36" ht="11.25" customHeight="1">
      <c r="AJ10215"/>
    </row>
    <row r="10216" spans="36:36" ht="11.25" customHeight="1">
      <c r="AJ10216"/>
    </row>
    <row r="10217" spans="36:36" ht="11.25" customHeight="1">
      <c r="AJ10217"/>
    </row>
    <row r="10218" spans="36:36" ht="11.25" customHeight="1">
      <c r="AJ10218"/>
    </row>
    <row r="10219" spans="36:36" ht="11.25" customHeight="1">
      <c r="AJ10219"/>
    </row>
    <row r="10220" spans="36:36" ht="11.25" customHeight="1">
      <c r="AJ10220"/>
    </row>
    <row r="10221" spans="36:36" ht="11.25" customHeight="1">
      <c r="AJ10221"/>
    </row>
    <row r="10222" spans="36:36" ht="11.25" customHeight="1">
      <c r="AJ10222"/>
    </row>
    <row r="10223" spans="36:36" ht="11.25" customHeight="1">
      <c r="AJ10223"/>
    </row>
    <row r="10224" spans="36:36" ht="11.25" customHeight="1">
      <c r="AJ10224"/>
    </row>
    <row r="10225" spans="36:36" ht="11.25" customHeight="1">
      <c r="AJ10225"/>
    </row>
    <row r="10226" spans="36:36" ht="11.25" customHeight="1">
      <c r="AJ10226"/>
    </row>
    <row r="10227" spans="36:36" ht="11.25" customHeight="1">
      <c r="AJ10227"/>
    </row>
    <row r="10228" spans="36:36" ht="11.25" customHeight="1">
      <c r="AJ10228"/>
    </row>
    <row r="10229" spans="36:36" ht="11.25" customHeight="1">
      <c r="AJ10229"/>
    </row>
    <row r="10230" spans="36:36" ht="11.25" customHeight="1">
      <c r="AJ10230"/>
    </row>
    <row r="10231" spans="36:36" ht="11.25" customHeight="1">
      <c r="AJ10231"/>
    </row>
    <row r="10232" spans="36:36" ht="11.25" customHeight="1">
      <c r="AJ10232"/>
    </row>
    <row r="10233" spans="36:36" ht="11.25" customHeight="1">
      <c r="AJ10233"/>
    </row>
    <row r="10234" spans="36:36" ht="11.25" customHeight="1">
      <c r="AJ10234"/>
    </row>
    <row r="10235" spans="36:36" ht="11.25" customHeight="1">
      <c r="AJ10235"/>
    </row>
    <row r="10236" spans="36:36" ht="11.25" customHeight="1">
      <c r="AJ10236"/>
    </row>
    <row r="10237" spans="36:36" ht="11.25" customHeight="1">
      <c r="AJ10237"/>
    </row>
    <row r="10238" spans="36:36" ht="11.25" customHeight="1">
      <c r="AJ10238"/>
    </row>
    <row r="10239" spans="36:36" ht="11.25" customHeight="1">
      <c r="AJ10239"/>
    </row>
    <row r="10240" spans="36:36" ht="11.25" customHeight="1">
      <c r="AJ10240"/>
    </row>
    <row r="10241" spans="36:36" ht="11.25" customHeight="1">
      <c r="AJ10241"/>
    </row>
    <row r="10242" spans="36:36" ht="11.25" customHeight="1">
      <c r="AJ10242"/>
    </row>
    <row r="10243" spans="36:36" ht="11.25" customHeight="1">
      <c r="AJ10243"/>
    </row>
    <row r="10244" spans="36:36" ht="11.25" customHeight="1">
      <c r="AJ10244"/>
    </row>
    <row r="10245" spans="36:36" ht="11.25" customHeight="1">
      <c r="AJ10245"/>
    </row>
    <row r="10246" spans="36:36" ht="11.25" customHeight="1">
      <c r="AJ10246"/>
    </row>
    <row r="10247" spans="36:36" ht="11.25" customHeight="1">
      <c r="AJ10247"/>
    </row>
    <row r="10248" spans="36:36" ht="11.25" customHeight="1">
      <c r="AJ10248"/>
    </row>
    <row r="10249" spans="36:36" ht="11.25" customHeight="1">
      <c r="AJ10249"/>
    </row>
    <row r="10250" spans="36:36" ht="11.25" customHeight="1">
      <c r="AJ10250"/>
    </row>
    <row r="10251" spans="36:36" ht="11.25" customHeight="1">
      <c r="AJ10251"/>
    </row>
    <row r="10252" spans="36:36" ht="11.25" customHeight="1">
      <c r="AJ10252"/>
    </row>
    <row r="10253" spans="36:36" ht="11.25" customHeight="1">
      <c r="AJ10253"/>
    </row>
    <row r="10254" spans="36:36" ht="11.25" customHeight="1">
      <c r="AJ10254"/>
    </row>
    <row r="10255" spans="36:36" ht="11.25" customHeight="1">
      <c r="AJ10255"/>
    </row>
    <row r="10256" spans="36:36" ht="11.25" customHeight="1">
      <c r="AJ10256"/>
    </row>
    <row r="10257" spans="36:36" ht="11.25" customHeight="1">
      <c r="AJ10257"/>
    </row>
    <row r="10258" spans="36:36" ht="11.25" customHeight="1">
      <c r="AJ10258"/>
    </row>
    <row r="10259" spans="36:36" ht="11.25" customHeight="1">
      <c r="AJ10259"/>
    </row>
    <row r="10260" spans="36:36" ht="11.25" customHeight="1">
      <c r="AJ10260"/>
    </row>
    <row r="10261" spans="36:36" ht="11.25" customHeight="1">
      <c r="AJ10261"/>
    </row>
    <row r="10262" spans="36:36" ht="11.25" customHeight="1">
      <c r="AJ10262"/>
    </row>
    <row r="10263" spans="36:36" ht="11.25" customHeight="1">
      <c r="AJ10263"/>
    </row>
    <row r="10264" spans="36:36" ht="11.25" customHeight="1">
      <c r="AJ10264"/>
    </row>
    <row r="10265" spans="36:36" ht="11.25" customHeight="1">
      <c r="AJ10265"/>
    </row>
    <row r="10266" spans="36:36" ht="11.25" customHeight="1">
      <c r="AJ10266"/>
    </row>
    <row r="10267" spans="36:36" ht="11.25" customHeight="1">
      <c r="AJ10267"/>
    </row>
    <row r="10268" spans="36:36" ht="11.25" customHeight="1">
      <c r="AJ10268"/>
    </row>
    <row r="10269" spans="36:36" ht="11.25" customHeight="1">
      <c r="AJ10269"/>
    </row>
    <row r="10270" spans="36:36" ht="11.25" customHeight="1">
      <c r="AJ10270"/>
    </row>
    <row r="10271" spans="36:36" ht="11.25" customHeight="1">
      <c r="AJ10271"/>
    </row>
    <row r="10272" spans="36:36" ht="11.25" customHeight="1">
      <c r="AJ10272"/>
    </row>
    <row r="10273" spans="36:36" ht="11.25" customHeight="1">
      <c r="AJ10273"/>
    </row>
    <row r="10274" spans="36:36" ht="11.25" customHeight="1">
      <c r="AJ10274"/>
    </row>
    <row r="10275" spans="36:36" ht="11.25" customHeight="1">
      <c r="AJ10275"/>
    </row>
    <row r="10276" spans="36:36" ht="11.25" customHeight="1">
      <c r="AJ10276"/>
    </row>
    <row r="10277" spans="36:36" ht="11.25" customHeight="1">
      <c r="AJ10277"/>
    </row>
    <row r="10278" spans="36:36" ht="11.25" customHeight="1">
      <c r="AJ10278"/>
    </row>
    <row r="10279" spans="36:36" ht="11.25" customHeight="1">
      <c r="AJ10279"/>
    </row>
    <row r="10280" spans="36:36" ht="11.25" customHeight="1">
      <c r="AJ10280"/>
    </row>
    <row r="10281" spans="36:36" ht="11.25" customHeight="1">
      <c r="AJ10281"/>
    </row>
    <row r="10282" spans="36:36" ht="11.25" customHeight="1">
      <c r="AJ10282"/>
    </row>
    <row r="10283" spans="36:36" ht="11.25" customHeight="1">
      <c r="AJ10283"/>
    </row>
    <row r="10284" spans="36:36" ht="11.25" customHeight="1">
      <c r="AJ10284"/>
    </row>
    <row r="10285" spans="36:36" ht="11.25" customHeight="1">
      <c r="AJ10285"/>
    </row>
    <row r="10286" spans="36:36" ht="11.25" customHeight="1">
      <c r="AJ10286"/>
    </row>
    <row r="10287" spans="36:36" ht="11.25" customHeight="1">
      <c r="AJ10287"/>
    </row>
    <row r="10288" spans="36:36" ht="11.25" customHeight="1">
      <c r="AJ10288"/>
    </row>
    <row r="10289" spans="36:36" ht="11.25" customHeight="1">
      <c r="AJ10289"/>
    </row>
    <row r="10290" spans="36:36" ht="11.25" customHeight="1">
      <c r="AJ10290"/>
    </row>
    <row r="10291" spans="36:36" ht="11.25" customHeight="1">
      <c r="AJ10291"/>
    </row>
    <row r="10292" spans="36:36" ht="11.25" customHeight="1">
      <c r="AJ10292"/>
    </row>
    <row r="10293" spans="36:36" ht="11.25" customHeight="1">
      <c r="AJ10293"/>
    </row>
    <row r="10294" spans="36:36" ht="11.25" customHeight="1">
      <c r="AJ10294"/>
    </row>
    <row r="10295" spans="36:36" ht="11.25" customHeight="1">
      <c r="AJ10295"/>
    </row>
    <row r="10296" spans="36:36" ht="11.25" customHeight="1">
      <c r="AJ10296"/>
    </row>
    <row r="10297" spans="36:36" ht="11.25" customHeight="1">
      <c r="AJ10297"/>
    </row>
    <row r="10298" spans="36:36" ht="11.25" customHeight="1">
      <c r="AJ10298"/>
    </row>
    <row r="10299" spans="36:36" ht="11.25" customHeight="1">
      <c r="AJ10299"/>
    </row>
    <row r="10300" spans="36:36" ht="11.25" customHeight="1">
      <c r="AJ10300"/>
    </row>
    <row r="10301" spans="36:36" ht="11.25" customHeight="1">
      <c r="AJ10301"/>
    </row>
    <row r="10302" spans="36:36" ht="11.25" customHeight="1">
      <c r="AJ10302"/>
    </row>
    <row r="10303" spans="36:36" ht="11.25" customHeight="1">
      <c r="AJ10303"/>
    </row>
    <row r="10304" spans="36:36" ht="11.25" customHeight="1">
      <c r="AJ10304"/>
    </row>
    <row r="10305" spans="36:36" ht="11.25" customHeight="1">
      <c r="AJ10305"/>
    </row>
    <row r="10306" spans="36:36" ht="11.25" customHeight="1">
      <c r="AJ10306"/>
    </row>
    <row r="10307" spans="36:36" ht="11.25" customHeight="1">
      <c r="AJ10307"/>
    </row>
    <row r="10308" spans="36:36" ht="11.25" customHeight="1">
      <c r="AJ10308"/>
    </row>
    <row r="10309" spans="36:36" ht="11.25" customHeight="1">
      <c r="AJ10309"/>
    </row>
    <row r="10310" spans="36:36" ht="11.25" customHeight="1">
      <c r="AJ10310"/>
    </row>
    <row r="10311" spans="36:36" ht="11.25" customHeight="1">
      <c r="AJ10311"/>
    </row>
    <row r="10312" spans="36:36" ht="11.25" customHeight="1">
      <c r="AJ10312"/>
    </row>
    <row r="10313" spans="36:36" ht="11.25" customHeight="1">
      <c r="AJ10313"/>
    </row>
    <row r="10314" spans="36:36" ht="11.25" customHeight="1">
      <c r="AJ10314"/>
    </row>
    <row r="10315" spans="36:36" ht="11.25" customHeight="1">
      <c r="AJ10315"/>
    </row>
    <row r="10316" spans="36:36" ht="11.25" customHeight="1">
      <c r="AJ10316"/>
    </row>
    <row r="10317" spans="36:36" ht="11.25" customHeight="1">
      <c r="AJ10317"/>
    </row>
    <row r="10318" spans="36:36" ht="11.25" customHeight="1">
      <c r="AJ10318"/>
    </row>
    <row r="10319" spans="36:36" ht="11.25" customHeight="1">
      <c r="AJ10319"/>
    </row>
    <row r="10320" spans="36:36" ht="11.25" customHeight="1">
      <c r="AJ10320"/>
    </row>
    <row r="10321" spans="36:36" ht="11.25" customHeight="1">
      <c r="AJ10321"/>
    </row>
    <row r="10322" spans="36:36" ht="11.25" customHeight="1">
      <c r="AJ10322"/>
    </row>
    <row r="10323" spans="36:36" ht="11.25" customHeight="1">
      <c r="AJ10323"/>
    </row>
    <row r="10324" spans="36:36" ht="11.25" customHeight="1">
      <c r="AJ10324"/>
    </row>
    <row r="10325" spans="36:36" ht="11.25" customHeight="1">
      <c r="AJ10325"/>
    </row>
    <row r="10326" spans="36:36" ht="11.25" customHeight="1">
      <c r="AJ10326"/>
    </row>
    <row r="10327" spans="36:36" ht="11.25" customHeight="1">
      <c r="AJ10327"/>
    </row>
    <row r="10328" spans="36:36" ht="11.25" customHeight="1">
      <c r="AJ10328"/>
    </row>
    <row r="10329" spans="36:36" ht="11.25" customHeight="1">
      <c r="AJ10329"/>
    </row>
    <row r="10330" spans="36:36" ht="11.25" customHeight="1">
      <c r="AJ10330"/>
    </row>
    <row r="10331" spans="36:36" ht="11.25" customHeight="1">
      <c r="AJ10331"/>
    </row>
    <row r="10332" spans="36:36" ht="11.25" customHeight="1">
      <c r="AJ10332"/>
    </row>
    <row r="10333" spans="36:36" ht="11.25" customHeight="1">
      <c r="AJ10333"/>
    </row>
    <row r="10334" spans="36:36" ht="11.25" customHeight="1">
      <c r="AJ10334"/>
    </row>
    <row r="10335" spans="36:36" ht="11.25" customHeight="1">
      <c r="AJ10335"/>
    </row>
    <row r="10336" spans="36:36" ht="11.25" customHeight="1">
      <c r="AJ10336"/>
    </row>
    <row r="10337" spans="36:36" ht="11.25" customHeight="1">
      <c r="AJ10337"/>
    </row>
    <row r="10338" spans="36:36" ht="11.25" customHeight="1">
      <c r="AJ10338"/>
    </row>
    <row r="10339" spans="36:36" ht="11.25" customHeight="1">
      <c r="AJ10339"/>
    </row>
    <row r="10340" spans="36:36" ht="11.25" customHeight="1">
      <c r="AJ10340"/>
    </row>
    <row r="10341" spans="36:36" ht="11.25" customHeight="1">
      <c r="AJ10341"/>
    </row>
    <row r="10342" spans="36:36" ht="11.25" customHeight="1">
      <c r="AJ10342"/>
    </row>
    <row r="10343" spans="36:36" ht="11.25" customHeight="1">
      <c r="AJ10343"/>
    </row>
    <row r="10344" spans="36:36" ht="11.25" customHeight="1">
      <c r="AJ10344"/>
    </row>
    <row r="10345" spans="36:36" ht="11.25" customHeight="1">
      <c r="AJ10345"/>
    </row>
    <row r="10346" spans="36:36" ht="11.25" customHeight="1">
      <c r="AJ10346"/>
    </row>
    <row r="10347" spans="36:36" ht="11.25" customHeight="1">
      <c r="AJ10347"/>
    </row>
    <row r="10348" spans="36:36" ht="11.25" customHeight="1">
      <c r="AJ10348"/>
    </row>
    <row r="10349" spans="36:36" ht="11.25" customHeight="1">
      <c r="AJ10349"/>
    </row>
    <row r="10350" spans="36:36" ht="11.25" customHeight="1">
      <c r="AJ10350"/>
    </row>
    <row r="10351" spans="36:36" ht="11.25" customHeight="1">
      <c r="AJ10351"/>
    </row>
    <row r="10352" spans="36:36" ht="11.25" customHeight="1">
      <c r="AJ10352"/>
    </row>
    <row r="10353" spans="36:36" ht="11.25" customHeight="1">
      <c r="AJ10353"/>
    </row>
    <row r="10354" spans="36:36" ht="11.25" customHeight="1">
      <c r="AJ10354"/>
    </row>
    <row r="10355" spans="36:36" ht="11.25" customHeight="1">
      <c r="AJ10355"/>
    </row>
    <row r="10356" spans="36:36" ht="11.25" customHeight="1">
      <c r="AJ10356"/>
    </row>
    <row r="10357" spans="36:36" ht="11.25" customHeight="1">
      <c r="AJ10357"/>
    </row>
    <row r="10358" spans="36:36" ht="11.25" customHeight="1">
      <c r="AJ10358"/>
    </row>
    <row r="10359" spans="36:36" ht="11.25" customHeight="1">
      <c r="AJ10359"/>
    </row>
    <row r="10360" spans="36:36" ht="11.25" customHeight="1">
      <c r="AJ10360"/>
    </row>
    <row r="10361" spans="36:36" ht="11.25" customHeight="1">
      <c r="AJ10361"/>
    </row>
    <row r="10362" spans="36:36" ht="11.25" customHeight="1">
      <c r="AJ10362"/>
    </row>
    <row r="10363" spans="36:36" ht="11.25" customHeight="1">
      <c r="AJ10363"/>
    </row>
    <row r="10364" spans="36:36" ht="11.25" customHeight="1">
      <c r="AJ10364"/>
    </row>
    <row r="10365" spans="36:36" ht="11.25" customHeight="1">
      <c r="AJ10365"/>
    </row>
    <row r="10366" spans="36:36" ht="11.25" customHeight="1">
      <c r="AJ10366"/>
    </row>
    <row r="10367" spans="36:36" ht="11.25" customHeight="1">
      <c r="AJ10367"/>
    </row>
    <row r="10368" spans="36:36" ht="11.25" customHeight="1">
      <c r="AJ10368"/>
    </row>
    <row r="10369" spans="36:36" ht="11.25" customHeight="1">
      <c r="AJ10369"/>
    </row>
    <row r="10370" spans="36:36" ht="11.25" customHeight="1">
      <c r="AJ10370"/>
    </row>
    <row r="10371" spans="36:36" ht="11.25" customHeight="1">
      <c r="AJ10371"/>
    </row>
    <row r="10372" spans="36:36" ht="11.25" customHeight="1">
      <c r="AJ10372"/>
    </row>
    <row r="10373" spans="36:36" ht="11.25" customHeight="1">
      <c r="AJ10373"/>
    </row>
    <row r="10374" spans="36:36" ht="11.25" customHeight="1">
      <c r="AJ10374"/>
    </row>
    <row r="10375" spans="36:36" ht="11.25" customHeight="1">
      <c r="AJ10375"/>
    </row>
    <row r="10376" spans="36:36" ht="11.25" customHeight="1">
      <c r="AJ10376"/>
    </row>
    <row r="10377" spans="36:36" ht="11.25" customHeight="1">
      <c r="AJ10377"/>
    </row>
    <row r="10378" spans="36:36" ht="11.25" customHeight="1">
      <c r="AJ10378"/>
    </row>
    <row r="10379" spans="36:36" ht="11.25" customHeight="1">
      <c r="AJ10379"/>
    </row>
    <row r="10380" spans="36:36" ht="11.25" customHeight="1">
      <c r="AJ10380"/>
    </row>
    <row r="10381" spans="36:36" ht="11.25" customHeight="1">
      <c r="AJ10381"/>
    </row>
    <row r="10382" spans="36:36" ht="11.25" customHeight="1">
      <c r="AJ10382"/>
    </row>
    <row r="10383" spans="36:36" ht="11.25" customHeight="1">
      <c r="AJ10383"/>
    </row>
    <row r="10384" spans="36:36" ht="11.25" customHeight="1">
      <c r="AJ10384"/>
    </row>
    <row r="10385" spans="36:36" ht="11.25" customHeight="1">
      <c r="AJ10385"/>
    </row>
    <row r="10386" spans="36:36" ht="11.25" customHeight="1">
      <c r="AJ10386"/>
    </row>
    <row r="10387" spans="36:36" ht="11.25" customHeight="1">
      <c r="AJ10387"/>
    </row>
    <row r="10388" spans="36:36" ht="11.25" customHeight="1">
      <c r="AJ10388"/>
    </row>
    <row r="10389" spans="36:36" ht="11.25" customHeight="1">
      <c r="AJ10389"/>
    </row>
    <row r="10390" spans="36:36" ht="11.25" customHeight="1">
      <c r="AJ10390"/>
    </row>
    <row r="10391" spans="36:36" ht="11.25" customHeight="1">
      <c r="AJ10391"/>
    </row>
    <row r="10392" spans="36:36" ht="11.25" customHeight="1">
      <c r="AJ10392"/>
    </row>
    <row r="10393" spans="36:36" ht="11.25" customHeight="1">
      <c r="AJ10393"/>
    </row>
    <row r="10394" spans="36:36" ht="11.25" customHeight="1">
      <c r="AJ10394"/>
    </row>
    <row r="10395" spans="36:36" ht="11.25" customHeight="1">
      <c r="AJ10395"/>
    </row>
    <row r="10396" spans="36:36" ht="11.25" customHeight="1">
      <c r="AJ10396"/>
    </row>
    <row r="10397" spans="36:36" ht="11.25" customHeight="1">
      <c r="AJ10397"/>
    </row>
    <row r="10398" spans="36:36" ht="11.25" customHeight="1">
      <c r="AJ10398"/>
    </row>
    <row r="10399" spans="36:36" ht="11.25" customHeight="1">
      <c r="AJ10399"/>
    </row>
    <row r="10400" spans="36:36" ht="11.25" customHeight="1">
      <c r="AJ10400"/>
    </row>
    <row r="10401" spans="36:36" ht="11.25" customHeight="1">
      <c r="AJ10401"/>
    </row>
    <row r="10402" spans="36:36" ht="11.25" customHeight="1">
      <c r="AJ10402"/>
    </row>
    <row r="10403" spans="36:36" ht="11.25" customHeight="1">
      <c r="AJ10403"/>
    </row>
    <row r="10404" spans="36:36" ht="11.25" customHeight="1">
      <c r="AJ10404"/>
    </row>
    <row r="10405" spans="36:36" ht="11.25" customHeight="1">
      <c r="AJ10405"/>
    </row>
    <row r="10406" spans="36:36" ht="11.25" customHeight="1">
      <c r="AJ10406"/>
    </row>
    <row r="10407" spans="36:36" ht="11.25" customHeight="1">
      <c r="AJ10407"/>
    </row>
    <row r="10408" spans="36:36" ht="11.25" customHeight="1">
      <c r="AJ10408"/>
    </row>
    <row r="10409" spans="36:36" ht="11.25" customHeight="1">
      <c r="AJ10409"/>
    </row>
    <row r="10410" spans="36:36" ht="11.25" customHeight="1">
      <c r="AJ10410"/>
    </row>
    <row r="10411" spans="36:36" ht="11.25" customHeight="1">
      <c r="AJ10411"/>
    </row>
    <row r="10412" spans="36:36" ht="11.25" customHeight="1">
      <c r="AJ10412"/>
    </row>
    <row r="10413" spans="36:36" ht="11.25" customHeight="1">
      <c r="AJ10413"/>
    </row>
    <row r="10414" spans="36:36" ht="11.25" customHeight="1">
      <c r="AJ10414"/>
    </row>
    <row r="10415" spans="36:36" ht="11.25" customHeight="1">
      <c r="AJ10415"/>
    </row>
    <row r="10416" spans="36:36" ht="11.25" customHeight="1">
      <c r="AJ10416"/>
    </row>
    <row r="10417" spans="36:36" ht="11.25" customHeight="1">
      <c r="AJ10417"/>
    </row>
    <row r="10418" spans="36:36" ht="11.25" customHeight="1">
      <c r="AJ10418"/>
    </row>
    <row r="10419" spans="36:36" ht="11.25" customHeight="1">
      <c r="AJ10419"/>
    </row>
    <row r="10420" spans="36:36" ht="11.25" customHeight="1">
      <c r="AJ10420"/>
    </row>
    <row r="10421" spans="36:36" ht="11.25" customHeight="1">
      <c r="AJ10421"/>
    </row>
    <row r="10422" spans="36:36" ht="11.25" customHeight="1">
      <c r="AJ10422"/>
    </row>
    <row r="10423" spans="36:36" ht="11.25" customHeight="1">
      <c r="AJ10423"/>
    </row>
    <row r="10424" spans="36:36" ht="11.25" customHeight="1">
      <c r="AJ10424"/>
    </row>
    <row r="10425" spans="36:36" ht="11.25" customHeight="1">
      <c r="AJ10425"/>
    </row>
    <row r="10426" spans="36:36" ht="11.25" customHeight="1">
      <c r="AJ10426"/>
    </row>
    <row r="10427" spans="36:36" ht="11.25" customHeight="1">
      <c r="AJ10427"/>
    </row>
    <row r="10428" spans="36:36" ht="11.25" customHeight="1">
      <c r="AJ10428"/>
    </row>
    <row r="10429" spans="36:36" ht="11.25" customHeight="1">
      <c r="AJ10429"/>
    </row>
    <row r="10430" spans="36:36" ht="11.25" customHeight="1">
      <c r="AJ10430"/>
    </row>
    <row r="10431" spans="36:36" ht="11.25" customHeight="1">
      <c r="AJ10431"/>
    </row>
    <row r="10432" spans="36:36" ht="11.25" customHeight="1">
      <c r="AJ10432"/>
    </row>
    <row r="10433" spans="36:36" ht="11.25" customHeight="1">
      <c r="AJ10433"/>
    </row>
    <row r="10434" spans="36:36" ht="11.25" customHeight="1">
      <c r="AJ10434"/>
    </row>
    <row r="10435" spans="36:36" ht="11.25" customHeight="1">
      <c r="AJ10435"/>
    </row>
    <row r="10436" spans="36:36" ht="11.25" customHeight="1">
      <c r="AJ10436"/>
    </row>
    <row r="10437" spans="36:36" ht="11.25" customHeight="1">
      <c r="AJ10437"/>
    </row>
    <row r="10438" spans="36:36" ht="11.25" customHeight="1">
      <c r="AJ10438"/>
    </row>
    <row r="10439" spans="36:36" ht="11.25" customHeight="1">
      <c r="AJ10439"/>
    </row>
    <row r="10440" spans="36:36" ht="11.25" customHeight="1">
      <c r="AJ10440"/>
    </row>
    <row r="10441" spans="36:36" ht="11.25" customHeight="1">
      <c r="AJ10441"/>
    </row>
    <row r="10442" spans="36:36" ht="11.25" customHeight="1">
      <c r="AJ10442"/>
    </row>
    <row r="10443" spans="36:36" ht="11.25" customHeight="1">
      <c r="AJ10443"/>
    </row>
    <row r="10444" spans="36:36" ht="11.25" customHeight="1">
      <c r="AJ10444"/>
    </row>
    <row r="10445" spans="36:36" ht="11.25" customHeight="1">
      <c r="AJ10445"/>
    </row>
    <row r="10446" spans="36:36" ht="11.25" customHeight="1">
      <c r="AJ10446"/>
    </row>
    <row r="10447" spans="36:36" ht="11.25" customHeight="1">
      <c r="AJ10447"/>
    </row>
    <row r="10448" spans="36:36" ht="11.25" customHeight="1">
      <c r="AJ10448"/>
    </row>
    <row r="10449" spans="36:36" ht="11.25" customHeight="1">
      <c r="AJ10449"/>
    </row>
    <row r="10450" spans="36:36" ht="11.25" customHeight="1">
      <c r="AJ10450"/>
    </row>
    <row r="10451" spans="36:36" ht="11.25" customHeight="1">
      <c r="AJ10451"/>
    </row>
    <row r="10452" spans="36:36" ht="11.25" customHeight="1">
      <c r="AJ10452"/>
    </row>
    <row r="10453" spans="36:36" ht="11.25" customHeight="1">
      <c r="AJ10453"/>
    </row>
    <row r="10454" spans="36:36" ht="11.25" customHeight="1">
      <c r="AJ10454"/>
    </row>
    <row r="10455" spans="36:36" ht="11.25" customHeight="1">
      <c r="AJ10455"/>
    </row>
    <row r="10456" spans="36:36" ht="11.25" customHeight="1">
      <c r="AJ10456"/>
    </row>
    <row r="10457" spans="36:36" ht="11.25" customHeight="1">
      <c r="AJ10457"/>
    </row>
    <row r="10458" spans="36:36" ht="11.25" customHeight="1">
      <c r="AJ10458"/>
    </row>
    <row r="10459" spans="36:36" ht="11.25" customHeight="1">
      <c r="AJ10459"/>
    </row>
    <row r="10460" spans="36:36" ht="11.25" customHeight="1">
      <c r="AJ10460"/>
    </row>
    <row r="10461" spans="36:36" ht="11.25" customHeight="1">
      <c r="AJ10461"/>
    </row>
    <row r="10462" spans="36:36" ht="11.25" customHeight="1">
      <c r="AJ10462"/>
    </row>
    <row r="10463" spans="36:36" ht="11.25" customHeight="1">
      <c r="AJ10463"/>
    </row>
    <row r="10464" spans="36:36" ht="11.25" customHeight="1">
      <c r="AJ10464"/>
    </row>
    <row r="10465" spans="36:36" ht="11.25" customHeight="1">
      <c r="AJ10465"/>
    </row>
    <row r="10466" spans="36:36" ht="11.25" customHeight="1">
      <c r="AJ10466"/>
    </row>
    <row r="10467" spans="36:36" ht="11.25" customHeight="1">
      <c r="AJ10467"/>
    </row>
    <row r="10468" spans="36:36" ht="11.25" customHeight="1">
      <c r="AJ10468"/>
    </row>
    <row r="10469" spans="36:36" ht="11.25" customHeight="1">
      <c r="AJ10469"/>
    </row>
    <row r="10470" spans="36:36" ht="11.25" customHeight="1">
      <c r="AJ10470"/>
    </row>
    <row r="10471" spans="36:36" ht="11.25" customHeight="1">
      <c r="AJ10471"/>
    </row>
    <row r="10472" spans="36:36" ht="11.25" customHeight="1">
      <c r="AJ10472"/>
    </row>
    <row r="10473" spans="36:36" ht="11.25" customHeight="1">
      <c r="AJ10473"/>
    </row>
    <row r="10474" spans="36:36" ht="11.25" customHeight="1">
      <c r="AJ10474"/>
    </row>
    <row r="10475" spans="36:36" ht="11.25" customHeight="1">
      <c r="AJ10475"/>
    </row>
    <row r="10476" spans="36:36" ht="11.25" customHeight="1">
      <c r="AJ10476"/>
    </row>
    <row r="10477" spans="36:36" ht="11.25" customHeight="1">
      <c r="AJ10477"/>
    </row>
    <row r="10478" spans="36:36" ht="11.25" customHeight="1">
      <c r="AJ10478"/>
    </row>
    <row r="10479" spans="36:36" ht="11.25" customHeight="1">
      <c r="AJ10479"/>
    </row>
    <row r="10480" spans="36:36" ht="11.25" customHeight="1">
      <c r="AJ10480"/>
    </row>
    <row r="10481" spans="36:36" ht="11.25" customHeight="1">
      <c r="AJ10481"/>
    </row>
    <row r="10482" spans="36:36" ht="11.25" customHeight="1">
      <c r="AJ10482"/>
    </row>
    <row r="10483" spans="36:36" ht="11.25" customHeight="1">
      <c r="AJ10483"/>
    </row>
    <row r="10484" spans="36:36" ht="11.25" customHeight="1">
      <c r="AJ10484"/>
    </row>
    <row r="10485" spans="36:36" ht="11.25" customHeight="1">
      <c r="AJ10485"/>
    </row>
    <row r="10486" spans="36:36" ht="11.25" customHeight="1">
      <c r="AJ10486"/>
    </row>
    <row r="10487" spans="36:36" ht="11.25" customHeight="1">
      <c r="AJ10487"/>
    </row>
    <row r="10488" spans="36:36" ht="11.25" customHeight="1">
      <c r="AJ10488"/>
    </row>
    <row r="10489" spans="36:36" ht="11.25" customHeight="1">
      <c r="AJ10489"/>
    </row>
    <row r="10490" spans="36:36" ht="11.25" customHeight="1">
      <c r="AJ10490"/>
    </row>
    <row r="10491" spans="36:36" ht="11.25" customHeight="1">
      <c r="AJ10491"/>
    </row>
    <row r="10492" spans="36:36" ht="11.25" customHeight="1">
      <c r="AJ10492"/>
    </row>
    <row r="10493" spans="36:36" ht="11.25" customHeight="1">
      <c r="AJ10493"/>
    </row>
    <row r="10494" spans="36:36" ht="11.25" customHeight="1">
      <c r="AJ10494"/>
    </row>
    <row r="10495" spans="36:36" ht="11.25" customHeight="1">
      <c r="AJ10495"/>
    </row>
    <row r="10496" spans="36:36" ht="11.25" customHeight="1">
      <c r="AJ10496"/>
    </row>
    <row r="10497" spans="36:36" ht="11.25" customHeight="1">
      <c r="AJ10497"/>
    </row>
    <row r="10498" spans="36:36" ht="11.25" customHeight="1">
      <c r="AJ10498"/>
    </row>
    <row r="10499" spans="36:36" ht="11.25" customHeight="1">
      <c r="AJ10499"/>
    </row>
    <row r="10500" spans="36:36" ht="11.25" customHeight="1">
      <c r="AJ10500"/>
    </row>
    <row r="10501" spans="36:36" ht="11.25" customHeight="1">
      <c r="AJ10501"/>
    </row>
    <row r="10502" spans="36:36" ht="11.25" customHeight="1">
      <c r="AJ10502"/>
    </row>
    <row r="10503" spans="36:36" ht="11.25" customHeight="1">
      <c r="AJ10503"/>
    </row>
    <row r="10504" spans="36:36" ht="11.25" customHeight="1">
      <c r="AJ10504"/>
    </row>
    <row r="10505" spans="36:36" ht="11.25" customHeight="1">
      <c r="AJ10505"/>
    </row>
    <row r="10506" spans="36:36" ht="11.25" customHeight="1">
      <c r="AJ10506"/>
    </row>
    <row r="10507" spans="36:36" ht="11.25" customHeight="1">
      <c r="AJ10507"/>
    </row>
    <row r="10508" spans="36:36" ht="11.25" customHeight="1">
      <c r="AJ10508"/>
    </row>
    <row r="10509" spans="36:36" ht="11.25" customHeight="1">
      <c r="AJ10509"/>
    </row>
    <row r="10510" spans="36:36" ht="11.25" customHeight="1">
      <c r="AJ10510"/>
    </row>
    <row r="10511" spans="36:36" ht="11.25" customHeight="1">
      <c r="AJ10511"/>
    </row>
    <row r="10512" spans="36:36" ht="11.25" customHeight="1">
      <c r="AJ10512"/>
    </row>
    <row r="10513" spans="36:36" ht="11.25" customHeight="1">
      <c r="AJ10513"/>
    </row>
    <row r="10514" spans="36:36" ht="11.25" customHeight="1">
      <c r="AJ10514"/>
    </row>
    <row r="10515" spans="36:36" ht="11.25" customHeight="1">
      <c r="AJ10515"/>
    </row>
    <row r="10516" spans="36:36" ht="11.25" customHeight="1">
      <c r="AJ10516"/>
    </row>
    <row r="10517" spans="36:36" ht="11.25" customHeight="1">
      <c r="AJ10517"/>
    </row>
    <row r="10518" spans="36:36" ht="11.25" customHeight="1">
      <c r="AJ10518"/>
    </row>
    <row r="10519" spans="36:36" ht="11.25" customHeight="1">
      <c r="AJ10519"/>
    </row>
    <row r="10520" spans="36:36" ht="11.25" customHeight="1">
      <c r="AJ10520"/>
    </row>
    <row r="10521" spans="36:36" ht="11.25" customHeight="1">
      <c r="AJ10521"/>
    </row>
    <row r="10522" spans="36:36" ht="11.25" customHeight="1">
      <c r="AJ10522"/>
    </row>
    <row r="10523" spans="36:36" ht="11.25" customHeight="1">
      <c r="AJ10523"/>
    </row>
    <row r="10524" spans="36:36" ht="11.25" customHeight="1">
      <c r="AJ10524"/>
    </row>
    <row r="10525" spans="36:36" ht="11.25" customHeight="1">
      <c r="AJ10525"/>
    </row>
    <row r="10526" spans="36:36" ht="11.25" customHeight="1">
      <c r="AJ10526"/>
    </row>
    <row r="10527" spans="36:36" ht="11.25" customHeight="1">
      <c r="AJ10527"/>
    </row>
    <row r="10528" spans="36:36" ht="11.25" customHeight="1">
      <c r="AJ10528"/>
    </row>
    <row r="10529" spans="36:36" ht="11.25" customHeight="1">
      <c r="AJ10529"/>
    </row>
    <row r="10530" spans="36:36" ht="11.25" customHeight="1">
      <c r="AJ10530"/>
    </row>
    <row r="10531" spans="36:36" ht="11.25" customHeight="1">
      <c r="AJ10531"/>
    </row>
    <row r="10532" spans="36:36" ht="11.25" customHeight="1">
      <c r="AJ10532"/>
    </row>
    <row r="10533" spans="36:36" ht="11.25" customHeight="1">
      <c r="AJ10533"/>
    </row>
    <row r="10534" spans="36:36" ht="11.25" customHeight="1">
      <c r="AJ10534"/>
    </row>
    <row r="10535" spans="36:36" ht="11.25" customHeight="1">
      <c r="AJ10535"/>
    </row>
    <row r="10536" spans="36:36" ht="11.25" customHeight="1">
      <c r="AJ10536"/>
    </row>
    <row r="10537" spans="36:36" ht="11.25" customHeight="1">
      <c r="AJ10537"/>
    </row>
    <row r="10538" spans="36:36" ht="11.25" customHeight="1">
      <c r="AJ10538"/>
    </row>
    <row r="10539" spans="36:36" ht="11.25" customHeight="1">
      <c r="AJ10539"/>
    </row>
    <row r="10540" spans="36:36" ht="11.25" customHeight="1">
      <c r="AJ10540"/>
    </row>
    <row r="10541" spans="36:36" ht="11.25" customHeight="1">
      <c r="AJ10541"/>
    </row>
    <row r="10542" spans="36:36" ht="11.25" customHeight="1">
      <c r="AJ10542"/>
    </row>
    <row r="10543" spans="36:36" ht="11.25" customHeight="1">
      <c r="AJ10543"/>
    </row>
    <row r="10544" spans="36:36" ht="11.25" customHeight="1">
      <c r="AJ10544"/>
    </row>
    <row r="10545" spans="36:36" ht="11.25" customHeight="1">
      <c r="AJ10545"/>
    </row>
    <row r="10546" spans="36:36" ht="11.25" customHeight="1">
      <c r="AJ10546"/>
    </row>
    <row r="10547" spans="36:36" ht="11.25" customHeight="1">
      <c r="AJ10547"/>
    </row>
    <row r="10548" spans="36:36" ht="11.25" customHeight="1">
      <c r="AJ10548"/>
    </row>
    <row r="10549" spans="36:36" ht="11.25" customHeight="1">
      <c r="AJ10549"/>
    </row>
    <row r="10550" spans="36:36" ht="11.25" customHeight="1">
      <c r="AJ10550"/>
    </row>
    <row r="10551" spans="36:36" ht="11.25" customHeight="1">
      <c r="AJ10551"/>
    </row>
    <row r="10552" spans="36:36" ht="11.25" customHeight="1">
      <c r="AJ10552"/>
    </row>
    <row r="10553" spans="36:36" ht="11.25" customHeight="1">
      <c r="AJ10553"/>
    </row>
    <row r="10554" spans="36:36" ht="11.25" customHeight="1">
      <c r="AJ10554"/>
    </row>
    <row r="10555" spans="36:36" ht="11.25" customHeight="1">
      <c r="AJ10555"/>
    </row>
    <row r="10556" spans="36:36" ht="11.25" customHeight="1">
      <c r="AJ10556"/>
    </row>
    <row r="10557" spans="36:36" ht="11.25" customHeight="1">
      <c r="AJ10557"/>
    </row>
    <row r="10558" spans="36:36" ht="11.25" customHeight="1">
      <c r="AJ10558"/>
    </row>
    <row r="10559" spans="36:36" ht="11.25" customHeight="1">
      <c r="AJ10559"/>
    </row>
    <row r="10560" spans="36:36" ht="11.25" customHeight="1">
      <c r="AJ10560"/>
    </row>
    <row r="10561" spans="36:36" ht="11.25" customHeight="1">
      <c r="AJ10561"/>
    </row>
    <row r="10562" spans="36:36" ht="11.25" customHeight="1">
      <c r="AJ10562"/>
    </row>
    <row r="10563" spans="36:36" ht="11.25" customHeight="1">
      <c r="AJ10563"/>
    </row>
    <row r="10564" spans="36:36" ht="11.25" customHeight="1">
      <c r="AJ10564"/>
    </row>
    <row r="10565" spans="36:36" ht="11.25" customHeight="1">
      <c r="AJ10565"/>
    </row>
    <row r="10566" spans="36:36" ht="11.25" customHeight="1">
      <c r="AJ10566"/>
    </row>
    <row r="10567" spans="36:36" ht="11.25" customHeight="1">
      <c r="AJ10567"/>
    </row>
    <row r="10568" spans="36:36" ht="11.25" customHeight="1">
      <c r="AJ10568"/>
    </row>
    <row r="10569" spans="36:36" ht="11.25" customHeight="1">
      <c r="AJ10569"/>
    </row>
    <row r="10570" spans="36:36" ht="11.25" customHeight="1">
      <c r="AJ10570"/>
    </row>
    <row r="10571" spans="36:36" ht="11.25" customHeight="1">
      <c r="AJ10571"/>
    </row>
    <row r="10572" spans="36:36" ht="11.25" customHeight="1">
      <c r="AJ10572"/>
    </row>
    <row r="10573" spans="36:36" ht="11.25" customHeight="1">
      <c r="AJ10573"/>
    </row>
    <row r="10574" spans="36:36" ht="11.25" customHeight="1">
      <c r="AJ10574"/>
    </row>
    <row r="10575" spans="36:36" ht="11.25" customHeight="1">
      <c r="AJ10575"/>
    </row>
    <row r="10576" spans="36:36" ht="11.25" customHeight="1">
      <c r="AJ10576"/>
    </row>
    <row r="10577" spans="36:36" ht="11.25" customHeight="1">
      <c r="AJ10577"/>
    </row>
    <row r="10578" spans="36:36" ht="11.25" customHeight="1">
      <c r="AJ10578"/>
    </row>
    <row r="10579" spans="36:36" ht="11.25" customHeight="1">
      <c r="AJ10579"/>
    </row>
    <row r="10580" spans="36:36" ht="11.25" customHeight="1">
      <c r="AJ10580"/>
    </row>
    <row r="10581" spans="36:36" ht="11.25" customHeight="1">
      <c r="AJ10581"/>
    </row>
    <row r="10582" spans="36:36" ht="11.25" customHeight="1">
      <c r="AJ10582"/>
    </row>
    <row r="10583" spans="36:36" ht="11.25" customHeight="1">
      <c r="AJ10583"/>
    </row>
    <row r="10584" spans="36:36" ht="11.25" customHeight="1">
      <c r="AJ10584"/>
    </row>
    <row r="10585" spans="36:36" ht="11.25" customHeight="1">
      <c r="AJ10585"/>
    </row>
    <row r="10586" spans="36:36" ht="11.25" customHeight="1">
      <c r="AJ10586"/>
    </row>
    <row r="10587" spans="36:36" ht="11.25" customHeight="1">
      <c r="AJ10587"/>
    </row>
    <row r="10588" spans="36:36" ht="11.25" customHeight="1">
      <c r="AJ10588"/>
    </row>
    <row r="10589" spans="36:36" ht="11.25" customHeight="1">
      <c r="AJ10589"/>
    </row>
    <row r="10590" spans="36:36" ht="11.25" customHeight="1">
      <c r="AJ10590"/>
    </row>
    <row r="10591" spans="36:36" ht="11.25" customHeight="1">
      <c r="AJ10591"/>
    </row>
    <row r="10592" spans="36:36" ht="11.25" customHeight="1">
      <c r="AJ10592"/>
    </row>
    <row r="10593" spans="36:36" ht="11.25" customHeight="1">
      <c r="AJ10593"/>
    </row>
    <row r="10594" spans="36:36" ht="11.25" customHeight="1">
      <c r="AJ10594"/>
    </row>
    <row r="10595" spans="36:36" ht="11.25" customHeight="1">
      <c r="AJ10595"/>
    </row>
    <row r="10596" spans="36:36" ht="11.25" customHeight="1">
      <c r="AJ10596"/>
    </row>
    <row r="10597" spans="36:36" ht="11.25" customHeight="1">
      <c r="AJ10597"/>
    </row>
    <row r="10598" spans="36:36" ht="11.25" customHeight="1">
      <c r="AJ10598"/>
    </row>
    <row r="10599" spans="36:36" ht="11.25" customHeight="1">
      <c r="AJ10599"/>
    </row>
    <row r="10600" spans="36:36" ht="11.25" customHeight="1">
      <c r="AJ10600"/>
    </row>
    <row r="10601" spans="36:36" ht="11.25" customHeight="1">
      <c r="AJ10601"/>
    </row>
    <row r="10602" spans="36:36" ht="11.25" customHeight="1">
      <c r="AJ10602"/>
    </row>
    <row r="10603" spans="36:36" ht="11.25" customHeight="1">
      <c r="AJ10603"/>
    </row>
    <row r="10604" spans="36:36" ht="11.25" customHeight="1">
      <c r="AJ10604"/>
    </row>
    <row r="10605" spans="36:36" ht="11.25" customHeight="1">
      <c r="AJ10605"/>
    </row>
    <row r="10606" spans="36:36" ht="11.25" customHeight="1">
      <c r="AJ10606"/>
    </row>
    <row r="10607" spans="36:36" ht="11.25" customHeight="1">
      <c r="AJ10607"/>
    </row>
    <row r="10608" spans="36:36" ht="11.25" customHeight="1">
      <c r="AJ10608"/>
    </row>
    <row r="10609" spans="36:36" ht="11.25" customHeight="1">
      <c r="AJ10609"/>
    </row>
    <row r="10610" spans="36:36" ht="11.25" customHeight="1">
      <c r="AJ10610"/>
    </row>
    <row r="10611" spans="36:36" ht="11.25" customHeight="1">
      <c r="AJ10611"/>
    </row>
    <row r="10612" spans="36:36" ht="11.25" customHeight="1">
      <c r="AJ10612"/>
    </row>
    <row r="10613" spans="36:36" ht="11.25" customHeight="1">
      <c r="AJ10613"/>
    </row>
    <row r="10614" spans="36:36" ht="11.25" customHeight="1">
      <c r="AJ10614"/>
    </row>
    <row r="10615" spans="36:36" ht="11.25" customHeight="1">
      <c r="AJ10615"/>
    </row>
    <row r="10616" spans="36:36" ht="11.25" customHeight="1">
      <c r="AJ10616"/>
    </row>
    <row r="10617" spans="36:36" ht="11.25" customHeight="1">
      <c r="AJ10617"/>
    </row>
    <row r="10618" spans="36:36" ht="11.25" customHeight="1">
      <c r="AJ10618"/>
    </row>
    <row r="10619" spans="36:36" ht="11.25" customHeight="1">
      <c r="AJ10619"/>
    </row>
    <row r="10620" spans="36:36" ht="11.25" customHeight="1">
      <c r="AJ10620"/>
    </row>
    <row r="10621" spans="36:36" ht="11.25" customHeight="1">
      <c r="AJ10621"/>
    </row>
    <row r="10622" spans="36:36" ht="11.25" customHeight="1">
      <c r="AJ10622"/>
    </row>
    <row r="10623" spans="36:36" ht="11.25" customHeight="1">
      <c r="AJ10623"/>
    </row>
    <row r="10624" spans="36:36" ht="11.25" customHeight="1">
      <c r="AJ10624"/>
    </row>
    <row r="10625" spans="36:36" ht="11.25" customHeight="1">
      <c r="AJ10625"/>
    </row>
    <row r="10626" spans="36:36" ht="11.25" customHeight="1">
      <c r="AJ10626"/>
    </row>
    <row r="10627" spans="36:36" ht="11.25" customHeight="1">
      <c r="AJ10627"/>
    </row>
    <row r="10628" spans="36:36" ht="11.25" customHeight="1">
      <c r="AJ10628"/>
    </row>
    <row r="10629" spans="36:36" ht="11.25" customHeight="1">
      <c r="AJ10629"/>
    </row>
    <row r="10630" spans="36:36" ht="11.25" customHeight="1">
      <c r="AJ10630"/>
    </row>
    <row r="10631" spans="36:36" ht="11.25" customHeight="1">
      <c r="AJ10631"/>
    </row>
    <row r="10632" spans="36:36" ht="11.25" customHeight="1">
      <c r="AJ10632"/>
    </row>
    <row r="10633" spans="36:36" ht="11.25" customHeight="1">
      <c r="AJ10633"/>
    </row>
    <row r="10634" spans="36:36" ht="11.25" customHeight="1">
      <c r="AJ10634"/>
    </row>
    <row r="10635" spans="36:36" ht="11.25" customHeight="1">
      <c r="AJ10635"/>
    </row>
    <row r="10636" spans="36:36" ht="11.25" customHeight="1">
      <c r="AJ10636"/>
    </row>
    <row r="10637" spans="36:36" ht="11.25" customHeight="1">
      <c r="AJ10637"/>
    </row>
    <row r="10638" spans="36:36" ht="11.25" customHeight="1">
      <c r="AJ10638"/>
    </row>
    <row r="10639" spans="36:36" ht="11.25" customHeight="1">
      <c r="AJ10639"/>
    </row>
    <row r="10640" spans="36:36" ht="11.25" customHeight="1">
      <c r="AJ10640"/>
    </row>
    <row r="10641" spans="36:36" ht="11.25" customHeight="1">
      <c r="AJ10641"/>
    </row>
    <row r="10642" spans="36:36" ht="11.25" customHeight="1">
      <c r="AJ10642"/>
    </row>
    <row r="10643" spans="36:36" ht="11.25" customHeight="1">
      <c r="AJ10643"/>
    </row>
    <row r="10644" spans="36:36" ht="11.25" customHeight="1">
      <c r="AJ10644"/>
    </row>
    <row r="10645" spans="36:36" ht="11.25" customHeight="1">
      <c r="AJ10645"/>
    </row>
    <row r="10646" spans="36:36" ht="11.25" customHeight="1">
      <c r="AJ10646"/>
    </row>
    <row r="10647" spans="36:36" ht="11.25" customHeight="1">
      <c r="AJ10647"/>
    </row>
    <row r="10648" spans="36:36" ht="11.25" customHeight="1">
      <c r="AJ10648"/>
    </row>
    <row r="10649" spans="36:36" ht="11.25" customHeight="1">
      <c r="AJ10649"/>
    </row>
    <row r="10650" spans="36:36" ht="11.25" customHeight="1">
      <c r="AJ10650"/>
    </row>
    <row r="10651" spans="36:36" ht="11.25" customHeight="1">
      <c r="AJ10651"/>
    </row>
    <row r="10652" spans="36:36" ht="11.25" customHeight="1">
      <c r="AJ10652"/>
    </row>
    <row r="10653" spans="36:36" ht="11.25" customHeight="1">
      <c r="AJ10653"/>
    </row>
    <row r="10654" spans="36:36" ht="11.25" customHeight="1">
      <c r="AJ10654"/>
    </row>
    <row r="10655" spans="36:36" ht="11.25" customHeight="1">
      <c r="AJ10655"/>
    </row>
    <row r="10656" spans="36:36" ht="11.25" customHeight="1">
      <c r="AJ10656"/>
    </row>
    <row r="10657" spans="36:36" ht="11.25" customHeight="1">
      <c r="AJ10657"/>
    </row>
    <row r="10658" spans="36:36" ht="11.25" customHeight="1">
      <c r="AJ10658"/>
    </row>
    <row r="10659" spans="36:36" ht="11.25" customHeight="1">
      <c r="AJ10659"/>
    </row>
    <row r="10660" spans="36:36" ht="11.25" customHeight="1">
      <c r="AJ10660"/>
    </row>
    <row r="10661" spans="36:36" ht="11.25" customHeight="1">
      <c r="AJ10661"/>
    </row>
    <row r="10662" spans="36:36" ht="11.25" customHeight="1">
      <c r="AJ10662"/>
    </row>
    <row r="10663" spans="36:36" ht="11.25" customHeight="1">
      <c r="AJ10663"/>
    </row>
    <row r="10664" spans="36:36" ht="11.25" customHeight="1">
      <c r="AJ10664"/>
    </row>
  </sheetData>
  <mergeCells count="28">
    <mergeCell ref="C2:F2"/>
    <mergeCell ref="P2:S2"/>
    <mergeCell ref="C1:F1"/>
    <mergeCell ref="H1:J1"/>
    <mergeCell ref="K1:M1"/>
    <mergeCell ref="N1:S1"/>
    <mergeCell ref="U1:Y1"/>
    <mergeCell ref="N55:O55"/>
    <mergeCell ref="C3:F3"/>
    <mergeCell ref="H3:I3"/>
    <mergeCell ref="K3:L3"/>
    <mergeCell ref="P3:S3"/>
    <mergeCell ref="C4:F4"/>
    <mergeCell ref="K4:L4"/>
    <mergeCell ref="P4:S4"/>
    <mergeCell ref="X4:Y4"/>
    <mergeCell ref="Z10:Z16"/>
    <mergeCell ref="Z18:Z31"/>
    <mergeCell ref="N38:O38"/>
    <mergeCell ref="N43:O43"/>
    <mergeCell ref="N72:Q72"/>
    <mergeCell ref="N74:R74"/>
    <mergeCell ref="N65:O65"/>
    <mergeCell ref="N66:P66"/>
    <mergeCell ref="N67:O67"/>
    <mergeCell ref="N69:O69"/>
    <mergeCell ref="N70:Q70"/>
    <mergeCell ref="N71:O71"/>
  </mergeCells>
  <pageMargins left="0.25" right="0.25" top="0.75" bottom="0.75" header="0.3" footer="0.3"/>
  <pageSetup paperSize="9" scale="2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92D050"/>
  </sheetPr>
  <dimension ref="A3:P325"/>
  <sheetViews>
    <sheetView tabSelected="1" topLeftCell="G187" zoomScale="90" zoomScaleNormal="90" workbookViewId="0">
      <selection activeCell="J197" sqref="J197"/>
    </sheetView>
  </sheetViews>
  <sheetFormatPr defaultRowHeight="11.45"/>
  <cols>
    <col min="2" max="2" width="13.5" bestFit="1" customWidth="1"/>
    <col min="3" max="3" width="11.875" bestFit="1" customWidth="1"/>
    <col min="4" max="4" width="21.25" bestFit="1" customWidth="1"/>
    <col min="5" max="5" width="24.375" customWidth="1"/>
    <col min="6" max="6" width="15.25" style="76" bestFit="1" customWidth="1"/>
    <col min="7" max="7" width="28" style="57" customWidth="1"/>
    <col min="8" max="8" width="78" customWidth="1"/>
    <col min="9" max="9" width="14.25" customWidth="1"/>
    <col min="10" max="10" width="15.125" style="501" customWidth="1"/>
    <col min="11" max="11" width="27.5" style="490" hidden="1" customWidth="1"/>
    <col min="12" max="12" width="18.625" hidden="1" customWidth="1"/>
    <col min="13" max="13" width="13.875" hidden="1" customWidth="1"/>
    <col min="14" max="14" width="12.125" hidden="1" customWidth="1"/>
    <col min="15" max="15" width="11.5" hidden="1" customWidth="1"/>
  </cols>
  <sheetData>
    <row r="3" spans="1:16" ht="12" thickBot="1"/>
    <row r="4" spans="1:16" s="489" customFormat="1" ht="79.150000000000006" thickTop="1" thickBot="1">
      <c r="A4" s="486" t="s">
        <v>191</v>
      </c>
      <c r="B4" s="486" t="s">
        <v>192</v>
      </c>
      <c r="C4" s="486" t="s">
        <v>193</v>
      </c>
      <c r="D4" s="486" t="s">
        <v>194</v>
      </c>
      <c r="E4" s="487" t="s">
        <v>195</v>
      </c>
      <c r="F4" s="488" t="s">
        <v>196</v>
      </c>
      <c r="G4" s="487" t="s">
        <v>197</v>
      </c>
      <c r="H4" s="487" t="s">
        <v>198</v>
      </c>
      <c r="I4" s="487" t="s">
        <v>199</v>
      </c>
      <c r="J4" s="502" t="s">
        <v>200</v>
      </c>
      <c r="K4" s="487" t="s">
        <v>201</v>
      </c>
      <c r="L4" s="487" t="s">
        <v>202</v>
      </c>
      <c r="M4" s="486"/>
      <c r="N4" s="486" t="s">
        <v>203</v>
      </c>
      <c r="O4" s="486" t="s">
        <v>204</v>
      </c>
    </row>
    <row r="5" spans="1:16" s="58" customFormat="1" ht="23.45" thickTop="1">
      <c r="A5" s="63">
        <v>1</v>
      </c>
      <c r="B5" s="64" t="s">
        <v>65</v>
      </c>
      <c r="C5" s="64" t="s">
        <v>205</v>
      </c>
      <c r="D5" s="65" t="s">
        <v>206</v>
      </c>
      <c r="E5" s="65" t="s">
        <v>207</v>
      </c>
      <c r="F5" s="77">
        <v>45535</v>
      </c>
      <c r="G5" s="66" t="s">
        <v>208</v>
      </c>
      <c r="H5" s="65" t="s">
        <v>209</v>
      </c>
      <c r="I5" s="65" t="s">
        <v>210</v>
      </c>
      <c r="J5" s="503">
        <v>13363.84</v>
      </c>
      <c r="K5" s="493">
        <v>2.792E-2</v>
      </c>
      <c r="L5" s="78">
        <f>K5*J5</f>
        <v>373.11841279999999</v>
      </c>
      <c r="M5" s="63"/>
      <c r="N5" s="63">
        <f t="shared" ref="N5:N68" si="0">YEAR(F5)</f>
        <v>2024</v>
      </c>
      <c r="O5" s="63">
        <f t="shared" ref="O5:O68" si="1">MONTH(F5)</f>
        <v>8</v>
      </c>
      <c r="P5" s="499">
        <v>0</v>
      </c>
    </row>
    <row r="6" spans="1:16" s="58" customFormat="1">
      <c r="A6" s="59">
        <v>2</v>
      </c>
      <c r="B6" s="60" t="s">
        <v>65</v>
      </c>
      <c r="C6" s="60" t="s">
        <v>205</v>
      </c>
      <c r="D6" s="61" t="s">
        <v>211</v>
      </c>
      <c r="E6" s="61" t="s">
        <v>212</v>
      </c>
      <c r="F6" s="79">
        <v>45535</v>
      </c>
      <c r="G6" s="62" t="s">
        <v>208</v>
      </c>
      <c r="H6" s="61" t="s">
        <v>213</v>
      </c>
      <c r="I6" s="61" t="s">
        <v>210</v>
      </c>
      <c r="J6" s="504">
        <v>4149.53</v>
      </c>
      <c r="K6" s="493">
        <v>2.792E-2</v>
      </c>
      <c r="L6" s="78">
        <f t="shared" ref="L5:L68" si="2">K6*J6</f>
        <v>115.85487759999999</v>
      </c>
      <c r="M6" s="59"/>
      <c r="N6" s="63">
        <f t="shared" si="0"/>
        <v>2024</v>
      </c>
      <c r="O6" s="63">
        <f t="shared" si="1"/>
        <v>8</v>
      </c>
      <c r="P6" s="499">
        <v>0</v>
      </c>
    </row>
    <row r="7" spans="1:16" s="58" customFormat="1">
      <c r="A7" s="59">
        <v>3</v>
      </c>
      <c r="B7" s="60" t="s">
        <v>65</v>
      </c>
      <c r="C7" s="60" t="s">
        <v>205</v>
      </c>
      <c r="D7" s="59" t="s">
        <v>214</v>
      </c>
      <c r="E7" s="61" t="s">
        <v>215</v>
      </c>
      <c r="F7" s="79">
        <v>45535</v>
      </c>
      <c r="G7" s="62" t="s">
        <v>208</v>
      </c>
      <c r="H7" s="61" t="s">
        <v>216</v>
      </c>
      <c r="I7" s="61" t="s">
        <v>210</v>
      </c>
      <c r="J7" s="504">
        <v>24113.53</v>
      </c>
      <c r="K7" s="493">
        <v>2.792E-2</v>
      </c>
      <c r="L7" s="78">
        <f t="shared" si="2"/>
        <v>673.24975759999995</v>
      </c>
      <c r="M7" s="59"/>
      <c r="N7" s="63">
        <f t="shared" si="0"/>
        <v>2024</v>
      </c>
      <c r="O7" s="63">
        <f t="shared" si="1"/>
        <v>8</v>
      </c>
      <c r="P7" s="499">
        <v>1</v>
      </c>
    </row>
    <row r="8" spans="1:16" s="58" customFormat="1">
      <c r="A8" s="59">
        <v>4</v>
      </c>
      <c r="B8" s="60" t="s">
        <v>65</v>
      </c>
      <c r="C8" s="60" t="s">
        <v>217</v>
      </c>
      <c r="D8" s="61" t="s">
        <v>218</v>
      </c>
      <c r="E8" s="61" t="s">
        <v>207</v>
      </c>
      <c r="F8" s="79">
        <v>45565</v>
      </c>
      <c r="G8" s="62" t="s">
        <v>208</v>
      </c>
      <c r="H8" s="59" t="s">
        <v>219</v>
      </c>
      <c r="I8" s="61" t="s">
        <v>210</v>
      </c>
      <c r="J8" s="504">
        <v>13466.64</v>
      </c>
      <c r="K8" s="494">
        <v>2.6460000000000001E-2</v>
      </c>
      <c r="L8" s="78">
        <f t="shared" si="2"/>
        <v>356.32729439999997</v>
      </c>
      <c r="M8" s="59"/>
      <c r="N8" s="63">
        <f t="shared" si="0"/>
        <v>2024</v>
      </c>
      <c r="O8" s="63">
        <f t="shared" si="1"/>
        <v>9</v>
      </c>
      <c r="P8" s="499">
        <v>0</v>
      </c>
    </row>
    <row r="9" spans="1:16" s="58" customFormat="1">
      <c r="A9" s="59">
        <v>5</v>
      </c>
      <c r="B9" s="60" t="s">
        <v>65</v>
      </c>
      <c r="C9" s="60" t="s">
        <v>217</v>
      </c>
      <c r="D9" s="61" t="s">
        <v>220</v>
      </c>
      <c r="E9" s="61" t="s">
        <v>215</v>
      </c>
      <c r="F9" s="79">
        <v>45565</v>
      </c>
      <c r="G9" s="62" t="s">
        <v>208</v>
      </c>
      <c r="H9" s="59" t="s">
        <v>221</v>
      </c>
      <c r="I9" s="61" t="s">
        <v>210</v>
      </c>
      <c r="J9" s="504">
        <v>32702.31</v>
      </c>
      <c r="K9" s="494">
        <v>2.6460000000000001E-2</v>
      </c>
      <c r="L9" s="78">
        <f t="shared" si="2"/>
        <v>865.30312260000005</v>
      </c>
      <c r="M9" s="59"/>
      <c r="N9" s="63">
        <f t="shared" si="0"/>
        <v>2024</v>
      </c>
      <c r="O9" s="63">
        <f t="shared" si="1"/>
        <v>9</v>
      </c>
      <c r="P9" s="499">
        <v>0</v>
      </c>
    </row>
    <row r="10" spans="1:16" s="58" customFormat="1">
      <c r="A10" s="59">
        <v>6</v>
      </c>
      <c r="B10" s="60" t="s">
        <v>65</v>
      </c>
      <c r="C10" s="60" t="s">
        <v>217</v>
      </c>
      <c r="D10" s="61" t="s">
        <v>222</v>
      </c>
      <c r="E10" s="61" t="s">
        <v>212</v>
      </c>
      <c r="F10" s="79">
        <v>45565</v>
      </c>
      <c r="G10" s="62" t="s">
        <v>208</v>
      </c>
      <c r="H10" s="59" t="s">
        <v>223</v>
      </c>
      <c r="I10" s="61" t="s">
        <v>210</v>
      </c>
      <c r="J10" s="504">
        <v>5560.76</v>
      </c>
      <c r="K10" s="494">
        <v>2.6460000000000001E-2</v>
      </c>
      <c r="L10" s="78">
        <f t="shared" si="2"/>
        <v>147.13770960000002</v>
      </c>
      <c r="M10" s="59"/>
      <c r="N10" s="63">
        <f t="shared" si="0"/>
        <v>2024</v>
      </c>
      <c r="O10" s="63">
        <f t="shared" si="1"/>
        <v>9</v>
      </c>
      <c r="P10" s="499">
        <v>0</v>
      </c>
    </row>
    <row r="11" spans="1:16" s="58" customFormat="1">
      <c r="A11" s="59">
        <v>7</v>
      </c>
      <c r="B11" s="60" t="s">
        <v>65</v>
      </c>
      <c r="C11" s="60" t="s">
        <v>217</v>
      </c>
      <c r="D11" s="61" t="s">
        <v>224</v>
      </c>
      <c r="E11" s="61" t="s">
        <v>225</v>
      </c>
      <c r="F11" s="79">
        <v>45581</v>
      </c>
      <c r="G11" s="62" t="s">
        <v>208</v>
      </c>
      <c r="H11" s="61" t="s">
        <v>226</v>
      </c>
      <c r="I11" s="61" t="s">
        <v>210</v>
      </c>
      <c r="J11" s="504">
        <v>-55.72</v>
      </c>
      <c r="K11" s="494">
        <v>2.622E-2</v>
      </c>
      <c r="L11" s="78">
        <f t="shared" si="2"/>
        <v>-1.4609783999999999</v>
      </c>
      <c r="M11" s="59"/>
      <c r="N11" s="63">
        <f t="shared" si="0"/>
        <v>2024</v>
      </c>
      <c r="O11" s="63">
        <f t="shared" si="1"/>
        <v>10</v>
      </c>
      <c r="P11" s="499">
        <v>0</v>
      </c>
    </row>
    <row r="12" spans="1:16" s="58" customFormat="1">
      <c r="A12" s="59">
        <v>8</v>
      </c>
      <c r="B12" s="60" t="s">
        <v>65</v>
      </c>
      <c r="C12" s="60" t="s">
        <v>227</v>
      </c>
      <c r="D12" s="61" t="s">
        <v>228</v>
      </c>
      <c r="E12" s="61" t="s">
        <v>207</v>
      </c>
      <c r="F12" s="79">
        <v>45596</v>
      </c>
      <c r="G12" s="62" t="s">
        <v>208</v>
      </c>
      <c r="H12" s="61" t="s">
        <v>229</v>
      </c>
      <c r="I12" s="61" t="s">
        <v>210</v>
      </c>
      <c r="J12" s="504">
        <v>13415</v>
      </c>
      <c r="K12" s="494">
        <v>2.622E-2</v>
      </c>
      <c r="L12" s="78">
        <f t="shared" si="2"/>
        <v>351.74130000000002</v>
      </c>
      <c r="M12" s="59"/>
      <c r="N12" s="63">
        <f t="shared" si="0"/>
        <v>2024</v>
      </c>
      <c r="O12" s="63">
        <f t="shared" si="1"/>
        <v>10</v>
      </c>
      <c r="P12" s="499">
        <v>0</v>
      </c>
    </row>
    <row r="13" spans="1:16" s="58" customFormat="1">
      <c r="A13" s="59">
        <v>9</v>
      </c>
      <c r="B13" s="60" t="s">
        <v>65</v>
      </c>
      <c r="C13" s="60" t="s">
        <v>227</v>
      </c>
      <c r="D13" s="61" t="s">
        <v>230</v>
      </c>
      <c r="E13" s="61" t="s">
        <v>212</v>
      </c>
      <c r="F13" s="79">
        <v>45596</v>
      </c>
      <c r="G13" s="62" t="s">
        <v>208</v>
      </c>
      <c r="H13" s="59" t="s">
        <v>231</v>
      </c>
      <c r="I13" s="61" t="s">
        <v>210</v>
      </c>
      <c r="J13" s="504">
        <v>6159.4</v>
      </c>
      <c r="K13" s="494">
        <v>2.622E-2</v>
      </c>
      <c r="L13" s="78">
        <f t="shared" si="2"/>
        <v>161.49946799999998</v>
      </c>
      <c r="M13" s="59"/>
      <c r="N13" s="63">
        <f t="shared" si="0"/>
        <v>2024</v>
      </c>
      <c r="O13" s="63">
        <f t="shared" si="1"/>
        <v>10</v>
      </c>
      <c r="P13" s="499">
        <v>0</v>
      </c>
    </row>
    <row r="14" spans="1:16" s="58" customFormat="1">
      <c r="A14" s="59">
        <v>10</v>
      </c>
      <c r="B14" s="60" t="s">
        <v>65</v>
      </c>
      <c r="C14" s="60" t="s">
        <v>227</v>
      </c>
      <c r="D14" s="61" t="s">
        <v>232</v>
      </c>
      <c r="E14" s="61" t="s">
        <v>215</v>
      </c>
      <c r="F14" s="79">
        <v>45596</v>
      </c>
      <c r="G14" s="62" t="s">
        <v>208</v>
      </c>
      <c r="H14" s="59" t="s">
        <v>233</v>
      </c>
      <c r="I14" s="61" t="s">
        <v>210</v>
      </c>
      <c r="J14" s="504">
        <v>32127.33</v>
      </c>
      <c r="K14" s="494">
        <v>2.622E-2</v>
      </c>
      <c r="L14" s="78">
        <f t="shared" si="2"/>
        <v>842.37859260000005</v>
      </c>
      <c r="M14" s="59"/>
      <c r="N14" s="63">
        <f t="shared" si="0"/>
        <v>2024</v>
      </c>
      <c r="O14" s="63">
        <f t="shared" si="1"/>
        <v>10</v>
      </c>
      <c r="P14" s="499">
        <v>0</v>
      </c>
    </row>
    <row r="15" spans="1:16" s="58" customFormat="1">
      <c r="A15" s="59">
        <v>11</v>
      </c>
      <c r="B15" s="60" t="s">
        <v>65</v>
      </c>
      <c r="C15" s="60" t="s">
        <v>227</v>
      </c>
      <c r="D15" s="61" t="s">
        <v>228</v>
      </c>
      <c r="E15" s="61" t="s">
        <v>225</v>
      </c>
      <c r="F15" s="79">
        <v>45616</v>
      </c>
      <c r="G15" s="62" t="s">
        <v>208</v>
      </c>
      <c r="H15" s="59" t="s">
        <v>234</v>
      </c>
      <c r="I15" s="61" t="s">
        <v>210</v>
      </c>
      <c r="J15" s="504">
        <v>-60.6</v>
      </c>
      <c r="K15" s="494">
        <v>2.6960000000000001E-2</v>
      </c>
      <c r="L15" s="78">
        <f t="shared" si="2"/>
        <v>-1.6337760000000001</v>
      </c>
      <c r="M15" s="59"/>
      <c r="N15" s="63">
        <f t="shared" si="0"/>
        <v>2024</v>
      </c>
      <c r="O15" s="63">
        <f t="shared" si="1"/>
        <v>11</v>
      </c>
      <c r="P15" s="499">
        <v>0</v>
      </c>
    </row>
    <row r="16" spans="1:16" s="58" customFormat="1">
      <c r="A16" s="59">
        <v>12</v>
      </c>
      <c r="B16" s="60" t="s">
        <v>65</v>
      </c>
      <c r="C16" s="60" t="s">
        <v>235</v>
      </c>
      <c r="D16" s="61" t="s">
        <v>236</v>
      </c>
      <c r="E16" s="61" t="s">
        <v>212</v>
      </c>
      <c r="F16" s="79">
        <v>45626</v>
      </c>
      <c r="G16" s="62" t="s">
        <v>208</v>
      </c>
      <c r="H16" s="61" t="s">
        <v>237</v>
      </c>
      <c r="I16" s="61" t="s">
        <v>210</v>
      </c>
      <c r="J16" s="504">
        <v>6196.79</v>
      </c>
      <c r="K16" s="494">
        <v>2.6960000000000001E-2</v>
      </c>
      <c r="L16" s="78">
        <f t="shared" si="2"/>
        <v>167.06545840000001</v>
      </c>
      <c r="M16" s="59"/>
      <c r="N16" s="63">
        <f t="shared" si="0"/>
        <v>2024</v>
      </c>
      <c r="O16" s="63">
        <f t="shared" si="1"/>
        <v>11</v>
      </c>
      <c r="P16" s="499">
        <v>0</v>
      </c>
    </row>
    <row r="17" spans="1:16" s="58" customFormat="1">
      <c r="A17" s="59">
        <v>13</v>
      </c>
      <c r="B17" s="60" t="s">
        <v>65</v>
      </c>
      <c r="C17" s="60" t="s">
        <v>235</v>
      </c>
      <c r="D17" s="61" t="s">
        <v>238</v>
      </c>
      <c r="E17" s="61" t="s">
        <v>207</v>
      </c>
      <c r="F17" s="79">
        <v>45626</v>
      </c>
      <c r="G17" s="62" t="s">
        <v>208</v>
      </c>
      <c r="H17" s="59" t="s">
        <v>239</v>
      </c>
      <c r="I17" s="61" t="s">
        <v>210</v>
      </c>
      <c r="J17" s="504">
        <v>13466.64</v>
      </c>
      <c r="K17" s="494">
        <v>2.6960000000000001E-2</v>
      </c>
      <c r="L17" s="78">
        <f t="shared" si="2"/>
        <v>363.06061440000002</v>
      </c>
      <c r="M17" s="59"/>
      <c r="N17" s="63">
        <f t="shared" si="0"/>
        <v>2024</v>
      </c>
      <c r="O17" s="63">
        <f t="shared" si="1"/>
        <v>11</v>
      </c>
      <c r="P17" s="499">
        <v>0</v>
      </c>
    </row>
    <row r="18" spans="1:16" s="58" customFormat="1">
      <c r="A18" s="59">
        <v>14</v>
      </c>
      <c r="B18" s="60" t="s">
        <v>65</v>
      </c>
      <c r="C18" s="60" t="s">
        <v>235</v>
      </c>
      <c r="D18" s="61" t="s">
        <v>240</v>
      </c>
      <c r="E18" s="61" t="s">
        <v>215</v>
      </c>
      <c r="F18" s="79">
        <v>45626</v>
      </c>
      <c r="G18" s="62" t="s">
        <v>208</v>
      </c>
      <c r="H18" s="59" t="s">
        <v>241</v>
      </c>
      <c r="I18" s="61" t="s">
        <v>210</v>
      </c>
      <c r="J18" s="504">
        <v>32066.28</v>
      </c>
      <c r="K18" s="494">
        <v>2.6960000000000001E-2</v>
      </c>
      <c r="L18" s="78">
        <f t="shared" si="2"/>
        <v>864.50690880000002</v>
      </c>
      <c r="M18" s="59"/>
      <c r="N18" s="63">
        <f t="shared" si="0"/>
        <v>2024</v>
      </c>
      <c r="O18" s="63">
        <f t="shared" si="1"/>
        <v>11</v>
      </c>
      <c r="P18" s="499">
        <v>0</v>
      </c>
    </row>
    <row r="19" spans="1:16" s="58" customFormat="1">
      <c r="A19" s="59">
        <v>15</v>
      </c>
      <c r="B19" s="60" t="s">
        <v>65</v>
      </c>
      <c r="C19" s="60" t="s">
        <v>235</v>
      </c>
      <c r="D19" s="61" t="s">
        <v>242</v>
      </c>
      <c r="E19" s="61" t="s">
        <v>225</v>
      </c>
      <c r="F19" s="79">
        <v>45638</v>
      </c>
      <c r="G19" s="62" t="s">
        <v>208</v>
      </c>
      <c r="H19" s="59" t="s">
        <v>243</v>
      </c>
      <c r="I19" s="61" t="s">
        <v>210</v>
      </c>
      <c r="J19" s="504">
        <v>-59.04</v>
      </c>
      <c r="K19" s="491">
        <v>2.741E-2</v>
      </c>
      <c r="L19" s="78">
        <f t="shared" si="2"/>
        <v>-1.6182863999999999</v>
      </c>
      <c r="M19" s="59"/>
      <c r="N19" s="63">
        <f t="shared" si="0"/>
        <v>2024</v>
      </c>
      <c r="O19" s="63">
        <f t="shared" si="1"/>
        <v>12</v>
      </c>
      <c r="P19" s="499">
        <v>0</v>
      </c>
    </row>
    <row r="20" spans="1:16" s="58" customFormat="1">
      <c r="A20" s="59">
        <v>16</v>
      </c>
      <c r="B20" s="60" t="s">
        <v>65</v>
      </c>
      <c r="C20" s="60" t="s">
        <v>244</v>
      </c>
      <c r="D20" s="61" t="s">
        <v>245</v>
      </c>
      <c r="E20" s="61" t="s">
        <v>215</v>
      </c>
      <c r="F20" s="79">
        <v>45657</v>
      </c>
      <c r="G20" s="62" t="s">
        <v>208</v>
      </c>
      <c r="H20" s="59" t="s">
        <v>246</v>
      </c>
      <c r="I20" s="61" t="s">
        <v>210</v>
      </c>
      <c r="J20" s="504">
        <v>32127.33</v>
      </c>
      <c r="K20" s="491">
        <v>2.741E-2</v>
      </c>
      <c r="L20" s="78">
        <f t="shared" si="2"/>
        <v>880.61011530000007</v>
      </c>
      <c r="M20" s="59"/>
      <c r="N20" s="63">
        <f t="shared" si="0"/>
        <v>2024</v>
      </c>
      <c r="O20" s="63">
        <f t="shared" si="1"/>
        <v>12</v>
      </c>
      <c r="P20" s="499">
        <v>0</v>
      </c>
    </row>
    <row r="21" spans="1:16" s="58" customFormat="1">
      <c r="A21" s="59">
        <v>17</v>
      </c>
      <c r="B21" s="60" t="s">
        <v>65</v>
      </c>
      <c r="C21" s="60" t="s">
        <v>244</v>
      </c>
      <c r="D21" s="61" t="s">
        <v>242</v>
      </c>
      <c r="E21" s="61" t="s">
        <v>207</v>
      </c>
      <c r="F21" s="79">
        <v>45657</v>
      </c>
      <c r="G21" s="62" t="s">
        <v>208</v>
      </c>
      <c r="H21" s="59" t="s">
        <v>247</v>
      </c>
      <c r="I21" s="61" t="s">
        <v>210</v>
      </c>
      <c r="J21" s="504">
        <v>13415</v>
      </c>
      <c r="K21" s="491">
        <v>2.741E-2</v>
      </c>
      <c r="L21" s="78">
        <f t="shared" si="2"/>
        <v>367.70515</v>
      </c>
      <c r="M21" s="59"/>
      <c r="N21" s="63">
        <f t="shared" si="0"/>
        <v>2024</v>
      </c>
      <c r="O21" s="63">
        <f t="shared" si="1"/>
        <v>12</v>
      </c>
      <c r="P21" s="499">
        <v>0</v>
      </c>
    </row>
    <row r="22" spans="1:16" s="58" customFormat="1">
      <c r="A22" s="59">
        <v>18</v>
      </c>
      <c r="B22" s="60" t="s">
        <v>65</v>
      </c>
      <c r="C22" s="60" t="s">
        <v>244</v>
      </c>
      <c r="D22" s="61" t="s">
        <v>245</v>
      </c>
      <c r="E22" s="61" t="s">
        <v>212</v>
      </c>
      <c r="F22" s="79">
        <v>45657</v>
      </c>
      <c r="G22" s="62" t="s">
        <v>208</v>
      </c>
      <c r="H22" s="59" t="s">
        <v>248</v>
      </c>
      <c r="I22" s="61" t="s">
        <v>210</v>
      </c>
      <c r="J22" s="504">
        <v>6159.4</v>
      </c>
      <c r="K22" s="491">
        <v>2.741E-2</v>
      </c>
      <c r="L22" s="78">
        <f t="shared" si="2"/>
        <v>168.82915399999999</v>
      </c>
      <c r="M22" s="59"/>
      <c r="N22" s="63">
        <f t="shared" si="0"/>
        <v>2024</v>
      </c>
      <c r="O22" s="63">
        <f t="shared" si="1"/>
        <v>12</v>
      </c>
      <c r="P22" s="499">
        <v>0</v>
      </c>
    </row>
    <row r="23" spans="1:16" s="58" customFormat="1">
      <c r="A23" s="59">
        <v>28</v>
      </c>
      <c r="B23" s="60" t="s">
        <v>70</v>
      </c>
      <c r="C23" s="60" t="s">
        <v>249</v>
      </c>
      <c r="D23" s="61" t="s">
        <v>250</v>
      </c>
      <c r="E23" s="61" t="s">
        <v>215</v>
      </c>
      <c r="F23" s="79">
        <v>45596</v>
      </c>
      <c r="G23" s="62" t="s">
        <v>251</v>
      </c>
      <c r="H23" s="59" t="s">
        <v>252</v>
      </c>
      <c r="I23" s="61" t="s">
        <v>210</v>
      </c>
      <c r="J23" s="504">
        <v>26390.77</v>
      </c>
      <c r="K23" s="493">
        <v>2.622E-2</v>
      </c>
      <c r="L23" s="78">
        <f t="shared" si="2"/>
        <v>691.96598940000001</v>
      </c>
      <c r="M23" s="59"/>
      <c r="N23" s="63">
        <f t="shared" si="0"/>
        <v>2024</v>
      </c>
      <c r="O23" s="63">
        <f t="shared" si="1"/>
        <v>10</v>
      </c>
      <c r="P23" s="499">
        <v>0</v>
      </c>
    </row>
    <row r="24" spans="1:16" s="58" customFormat="1">
      <c r="A24" s="59">
        <v>20</v>
      </c>
      <c r="B24" s="60" t="s">
        <v>70</v>
      </c>
      <c r="C24" s="60" t="s">
        <v>253</v>
      </c>
      <c r="D24" s="65" t="s">
        <v>206</v>
      </c>
      <c r="E24" s="61" t="s">
        <v>207</v>
      </c>
      <c r="F24" s="79">
        <v>45535</v>
      </c>
      <c r="G24" s="62" t="s">
        <v>251</v>
      </c>
      <c r="H24" s="59" t="s">
        <v>254</v>
      </c>
      <c r="I24" s="61" t="s">
        <v>210</v>
      </c>
      <c r="J24" s="504">
        <v>3026.1</v>
      </c>
      <c r="K24" s="493">
        <v>2.792E-2</v>
      </c>
      <c r="L24" s="78">
        <f t="shared" si="2"/>
        <v>84.488711999999992</v>
      </c>
      <c r="M24" s="59"/>
      <c r="N24" s="63">
        <f t="shared" si="0"/>
        <v>2024</v>
      </c>
      <c r="O24" s="63">
        <f t="shared" si="1"/>
        <v>8</v>
      </c>
      <c r="P24" s="499">
        <v>0</v>
      </c>
    </row>
    <row r="25" spans="1:16" s="58" customFormat="1">
      <c r="A25" s="59">
        <v>21</v>
      </c>
      <c r="B25" s="60" t="s">
        <v>70</v>
      </c>
      <c r="C25" s="60" t="s">
        <v>253</v>
      </c>
      <c r="D25" s="61" t="s">
        <v>211</v>
      </c>
      <c r="E25" s="61" t="s">
        <v>212</v>
      </c>
      <c r="F25" s="79">
        <v>45535</v>
      </c>
      <c r="G25" s="62" t="s">
        <v>251</v>
      </c>
      <c r="H25" s="59" t="s">
        <v>255</v>
      </c>
      <c r="I25" s="61" t="s">
        <v>210</v>
      </c>
      <c r="J25" s="504">
        <v>594.12</v>
      </c>
      <c r="K25" s="493">
        <v>2.792E-2</v>
      </c>
      <c r="L25" s="78">
        <f t="shared" si="2"/>
        <v>16.587830400000001</v>
      </c>
      <c r="M25" s="59"/>
      <c r="N25" s="63">
        <f t="shared" si="0"/>
        <v>2024</v>
      </c>
      <c r="O25" s="63">
        <f t="shared" si="1"/>
        <v>8</v>
      </c>
      <c r="P25" s="499">
        <v>0</v>
      </c>
    </row>
    <row r="26" spans="1:16" s="58" customFormat="1">
      <c r="A26" s="59">
        <v>22</v>
      </c>
      <c r="B26" s="60" t="s">
        <v>70</v>
      </c>
      <c r="C26" s="60" t="s">
        <v>256</v>
      </c>
      <c r="D26" s="61" t="s">
        <v>218</v>
      </c>
      <c r="E26" s="61" t="s">
        <v>207</v>
      </c>
      <c r="F26" s="79">
        <v>45565</v>
      </c>
      <c r="G26" s="62" t="s">
        <v>251</v>
      </c>
      <c r="H26" s="61" t="s">
        <v>257</v>
      </c>
      <c r="I26" s="61" t="s">
        <v>210</v>
      </c>
      <c r="J26" s="504">
        <v>10224.39</v>
      </c>
      <c r="K26" s="494">
        <v>2.6460000000000001E-2</v>
      </c>
      <c r="L26" s="78">
        <f t="shared" si="2"/>
        <v>270.53735940000001</v>
      </c>
      <c r="M26" s="59"/>
      <c r="N26" s="63">
        <f t="shared" si="0"/>
        <v>2024</v>
      </c>
      <c r="O26" s="63">
        <f t="shared" si="1"/>
        <v>9</v>
      </c>
      <c r="P26" s="499">
        <v>0</v>
      </c>
    </row>
    <row r="27" spans="1:16" s="58" customFormat="1">
      <c r="A27" s="59">
        <v>23</v>
      </c>
      <c r="B27" s="60" t="s">
        <v>70</v>
      </c>
      <c r="C27" s="60" t="s">
        <v>256</v>
      </c>
      <c r="D27" s="61" t="s">
        <v>258</v>
      </c>
      <c r="E27" s="61" t="s">
        <v>215</v>
      </c>
      <c r="F27" s="79">
        <v>45565</v>
      </c>
      <c r="G27" s="62" t="s">
        <v>251</v>
      </c>
      <c r="H27" s="59" t="s">
        <v>259</v>
      </c>
      <c r="I27" s="61" t="s">
        <v>210</v>
      </c>
      <c r="J27" s="504">
        <v>27856.03</v>
      </c>
      <c r="K27" s="494">
        <v>2.6460000000000001E-2</v>
      </c>
      <c r="L27" s="78">
        <f t="shared" si="2"/>
        <v>737.07055379999997</v>
      </c>
      <c r="M27" s="59"/>
      <c r="N27" s="63">
        <f t="shared" si="0"/>
        <v>2024</v>
      </c>
      <c r="O27" s="63">
        <f t="shared" si="1"/>
        <v>9</v>
      </c>
      <c r="P27" s="499">
        <v>0</v>
      </c>
    </row>
    <row r="28" spans="1:16" s="58" customFormat="1">
      <c r="A28" s="59">
        <v>24</v>
      </c>
      <c r="B28" s="60" t="s">
        <v>70</v>
      </c>
      <c r="C28" s="60" t="s">
        <v>256</v>
      </c>
      <c r="D28" s="61" t="s">
        <v>222</v>
      </c>
      <c r="E28" s="61" t="s">
        <v>212</v>
      </c>
      <c r="F28" s="79">
        <v>45565</v>
      </c>
      <c r="G28" s="62" t="s">
        <v>251</v>
      </c>
      <c r="H28" s="61" t="s">
        <v>260</v>
      </c>
      <c r="I28" s="61" t="s">
        <v>210</v>
      </c>
      <c r="J28" s="504">
        <v>1992.03</v>
      </c>
      <c r="K28" s="494">
        <v>2.6460000000000001E-2</v>
      </c>
      <c r="L28" s="78">
        <f t="shared" si="2"/>
        <v>52.709113800000004</v>
      </c>
      <c r="M28" s="59"/>
      <c r="N28" s="63">
        <f t="shared" si="0"/>
        <v>2024</v>
      </c>
      <c r="O28" s="63">
        <f t="shared" si="1"/>
        <v>9</v>
      </c>
      <c r="P28" s="499">
        <v>0</v>
      </c>
    </row>
    <row r="29" spans="1:16" s="58" customFormat="1">
      <c r="A29" s="59">
        <v>25</v>
      </c>
      <c r="B29" s="60" t="s">
        <v>70</v>
      </c>
      <c r="C29" s="60" t="s">
        <v>256</v>
      </c>
      <c r="D29" s="61" t="s">
        <v>224</v>
      </c>
      <c r="E29" s="61" t="s">
        <v>225</v>
      </c>
      <c r="F29" s="79">
        <v>45581</v>
      </c>
      <c r="G29" s="62" t="s">
        <v>251</v>
      </c>
      <c r="H29" s="59" t="s">
        <v>261</v>
      </c>
      <c r="I29" s="61" t="s">
        <v>210</v>
      </c>
      <c r="J29" s="504">
        <v>-42.31</v>
      </c>
      <c r="K29" s="494">
        <v>2.622E-2</v>
      </c>
      <c r="L29" s="78">
        <f t="shared" si="2"/>
        <v>-1.1093682</v>
      </c>
      <c r="M29" s="59"/>
      <c r="N29" s="63">
        <f t="shared" si="0"/>
        <v>2024</v>
      </c>
      <c r="O29" s="63">
        <f t="shared" si="1"/>
        <v>10</v>
      </c>
      <c r="P29" s="499">
        <v>0</v>
      </c>
    </row>
    <row r="30" spans="1:16" s="58" customFormat="1">
      <c r="A30" s="59">
        <v>26</v>
      </c>
      <c r="B30" s="60" t="s">
        <v>70</v>
      </c>
      <c r="C30" s="60" t="s">
        <v>249</v>
      </c>
      <c r="D30" s="61" t="s">
        <v>228</v>
      </c>
      <c r="E30" s="61" t="s">
        <v>207</v>
      </c>
      <c r="F30" s="79">
        <v>45596</v>
      </c>
      <c r="G30" s="62" t="s">
        <v>251</v>
      </c>
      <c r="H30" s="59" t="s">
        <v>262</v>
      </c>
      <c r="I30" s="61" t="s">
        <v>210</v>
      </c>
      <c r="J30" s="504">
        <v>10172.75</v>
      </c>
      <c r="K30" s="494">
        <v>2.622E-2</v>
      </c>
      <c r="L30" s="78">
        <f t="shared" si="2"/>
        <v>266.72950500000002</v>
      </c>
      <c r="M30" s="59"/>
      <c r="N30" s="63">
        <f t="shared" si="0"/>
        <v>2024</v>
      </c>
      <c r="O30" s="63">
        <f t="shared" si="1"/>
        <v>10</v>
      </c>
      <c r="P30" s="499">
        <v>0</v>
      </c>
    </row>
    <row r="31" spans="1:16" s="58" customFormat="1">
      <c r="A31" s="59">
        <v>27</v>
      </c>
      <c r="B31" s="60" t="s">
        <v>70</v>
      </c>
      <c r="C31" s="60" t="s">
        <v>249</v>
      </c>
      <c r="D31" s="61" t="s">
        <v>230</v>
      </c>
      <c r="E31" s="61" t="s">
        <v>212</v>
      </c>
      <c r="F31" s="79">
        <v>45596</v>
      </c>
      <c r="G31" s="62" t="s">
        <v>251</v>
      </c>
      <c r="H31" s="61" t="s">
        <v>263</v>
      </c>
      <c r="I31" s="61" t="s">
        <v>210</v>
      </c>
      <c r="J31" s="504">
        <v>3480.96</v>
      </c>
      <c r="K31" s="494">
        <v>2.622E-2</v>
      </c>
      <c r="L31" s="78">
        <f t="shared" si="2"/>
        <v>91.270771199999999</v>
      </c>
      <c r="M31" s="59"/>
      <c r="N31" s="63">
        <f t="shared" si="0"/>
        <v>2024</v>
      </c>
      <c r="O31" s="63">
        <f t="shared" si="1"/>
        <v>10</v>
      </c>
      <c r="P31" s="499">
        <v>0</v>
      </c>
    </row>
    <row r="32" spans="1:16" s="58" customFormat="1">
      <c r="A32" s="59">
        <v>19</v>
      </c>
      <c r="B32" s="60" t="s">
        <v>70</v>
      </c>
      <c r="C32" s="60" t="s">
        <v>253</v>
      </c>
      <c r="D32" s="61" t="s">
        <v>264</v>
      </c>
      <c r="E32" s="61" t="s">
        <v>215</v>
      </c>
      <c r="F32" s="79">
        <v>45535</v>
      </c>
      <c r="G32" s="62" t="s">
        <v>251</v>
      </c>
      <c r="H32" s="59" t="s">
        <v>265</v>
      </c>
      <c r="I32" s="61" t="s">
        <v>210</v>
      </c>
      <c r="J32" s="504">
        <v>8307.94</v>
      </c>
      <c r="K32" s="494">
        <v>2.792E-2</v>
      </c>
      <c r="L32" s="78">
        <f t="shared" si="2"/>
        <v>231.95768480000001</v>
      </c>
      <c r="M32" s="59"/>
      <c r="N32" s="63">
        <f t="shared" si="0"/>
        <v>2024</v>
      </c>
      <c r="O32" s="63">
        <f t="shared" si="1"/>
        <v>8</v>
      </c>
      <c r="P32" s="499">
        <v>0</v>
      </c>
    </row>
    <row r="33" spans="1:16" s="58" customFormat="1">
      <c r="A33" s="59">
        <v>29</v>
      </c>
      <c r="B33" s="60" t="s">
        <v>70</v>
      </c>
      <c r="C33" s="60" t="s">
        <v>249</v>
      </c>
      <c r="D33" s="61" t="s">
        <v>228</v>
      </c>
      <c r="E33" s="61" t="s">
        <v>225</v>
      </c>
      <c r="F33" s="79">
        <v>45616</v>
      </c>
      <c r="G33" s="62" t="s">
        <v>251</v>
      </c>
      <c r="H33" s="59" t="s">
        <v>266</v>
      </c>
      <c r="I33" s="61" t="s">
        <v>210</v>
      </c>
      <c r="J33" s="504">
        <v>-45.95</v>
      </c>
      <c r="K33" s="494">
        <v>2.6960000000000001E-2</v>
      </c>
      <c r="L33" s="78">
        <f t="shared" si="2"/>
        <v>-1.2388120000000002</v>
      </c>
      <c r="M33" s="59"/>
      <c r="N33" s="63">
        <f t="shared" si="0"/>
        <v>2024</v>
      </c>
      <c r="O33" s="63">
        <f t="shared" si="1"/>
        <v>11</v>
      </c>
      <c r="P33" s="499">
        <v>0</v>
      </c>
    </row>
    <row r="34" spans="1:16" s="58" customFormat="1">
      <c r="A34" s="59">
        <v>30</v>
      </c>
      <c r="B34" s="60" t="s">
        <v>59</v>
      </c>
      <c r="C34" s="60" t="s">
        <v>267</v>
      </c>
      <c r="D34" s="61" t="s">
        <v>222</v>
      </c>
      <c r="E34" s="61" t="s">
        <v>212</v>
      </c>
      <c r="F34" s="79">
        <v>45565</v>
      </c>
      <c r="G34" s="62" t="s">
        <v>268</v>
      </c>
      <c r="H34" s="59" t="s">
        <v>269</v>
      </c>
      <c r="I34" s="61" t="s">
        <v>210</v>
      </c>
      <c r="J34" s="504">
        <v>6196.79</v>
      </c>
      <c r="K34" s="494">
        <v>2.6460000000000001E-2</v>
      </c>
      <c r="L34" s="78">
        <f t="shared" si="2"/>
        <v>163.9670634</v>
      </c>
      <c r="M34" s="59"/>
      <c r="N34" s="63">
        <f t="shared" si="0"/>
        <v>2024</v>
      </c>
      <c r="O34" s="63">
        <f t="shared" si="1"/>
        <v>9</v>
      </c>
      <c r="P34" s="499">
        <v>0</v>
      </c>
    </row>
    <row r="35" spans="1:16" s="58" customFormat="1">
      <c r="A35" s="59">
        <v>31</v>
      </c>
      <c r="B35" s="60" t="s">
        <v>59</v>
      </c>
      <c r="C35" s="60" t="s">
        <v>267</v>
      </c>
      <c r="D35" s="61" t="s">
        <v>270</v>
      </c>
      <c r="E35" s="61" t="s">
        <v>215</v>
      </c>
      <c r="F35" s="79">
        <v>45565</v>
      </c>
      <c r="G35" s="62" t="s">
        <v>268</v>
      </c>
      <c r="H35" s="59" t="s">
        <v>271</v>
      </c>
      <c r="I35" s="61" t="s">
        <v>210</v>
      </c>
      <c r="J35" s="504">
        <v>32066.28</v>
      </c>
      <c r="K35" s="494">
        <v>2.6460000000000001E-2</v>
      </c>
      <c r="L35" s="78">
        <f t="shared" si="2"/>
        <v>848.47376880000002</v>
      </c>
      <c r="M35" s="59"/>
      <c r="N35" s="63">
        <f t="shared" si="0"/>
        <v>2024</v>
      </c>
      <c r="O35" s="63">
        <f t="shared" si="1"/>
        <v>9</v>
      </c>
      <c r="P35" s="499">
        <v>0</v>
      </c>
    </row>
    <row r="36" spans="1:16" s="58" customFormat="1">
      <c r="A36" s="59">
        <v>32</v>
      </c>
      <c r="B36" s="60" t="s">
        <v>59</v>
      </c>
      <c r="C36" s="60" t="s">
        <v>267</v>
      </c>
      <c r="D36" s="61" t="s">
        <v>218</v>
      </c>
      <c r="E36" s="61" t="s">
        <v>207</v>
      </c>
      <c r="F36" s="79">
        <v>45565</v>
      </c>
      <c r="G36" s="62" t="s">
        <v>268</v>
      </c>
      <c r="H36" s="59" t="s">
        <v>272</v>
      </c>
      <c r="I36" s="61" t="s">
        <v>210</v>
      </c>
      <c r="J36" s="504">
        <v>13466.64</v>
      </c>
      <c r="K36" s="494">
        <v>2.6460000000000001E-2</v>
      </c>
      <c r="L36" s="78">
        <f t="shared" si="2"/>
        <v>356.32729439999997</v>
      </c>
      <c r="M36" s="59"/>
      <c r="N36" s="63">
        <f t="shared" si="0"/>
        <v>2024</v>
      </c>
      <c r="O36" s="63">
        <f t="shared" si="1"/>
        <v>9</v>
      </c>
      <c r="P36" s="499">
        <v>0</v>
      </c>
    </row>
    <row r="37" spans="1:16" s="58" customFormat="1">
      <c r="A37" s="59">
        <v>33</v>
      </c>
      <c r="B37" s="60" t="s">
        <v>59</v>
      </c>
      <c r="C37" s="60" t="s">
        <v>267</v>
      </c>
      <c r="D37" s="61" t="s">
        <v>224</v>
      </c>
      <c r="E37" s="61" t="s">
        <v>225</v>
      </c>
      <c r="F37" s="79">
        <v>45581</v>
      </c>
      <c r="G37" s="62" t="s">
        <v>268</v>
      </c>
      <c r="H37" s="61" t="s">
        <v>273</v>
      </c>
      <c r="I37" s="61" t="s">
        <v>210</v>
      </c>
      <c r="J37" s="504">
        <v>-55.72</v>
      </c>
      <c r="K37" s="494">
        <v>2.622E-2</v>
      </c>
      <c r="L37" s="78">
        <f t="shared" si="2"/>
        <v>-1.4609783999999999</v>
      </c>
      <c r="M37" s="59"/>
      <c r="N37" s="63">
        <f t="shared" si="0"/>
        <v>2024</v>
      </c>
      <c r="O37" s="63">
        <f t="shared" si="1"/>
        <v>10</v>
      </c>
      <c r="P37" s="499">
        <v>0</v>
      </c>
    </row>
    <row r="38" spans="1:16" s="58" customFormat="1">
      <c r="A38" s="59">
        <v>34</v>
      </c>
      <c r="B38" s="60" t="s">
        <v>59</v>
      </c>
      <c r="C38" s="60" t="s">
        <v>274</v>
      </c>
      <c r="D38" s="61" t="s">
        <v>228</v>
      </c>
      <c r="E38" s="61" t="s">
        <v>207</v>
      </c>
      <c r="F38" s="79">
        <v>45596</v>
      </c>
      <c r="G38" s="62" t="s">
        <v>268</v>
      </c>
      <c r="H38" s="59" t="s">
        <v>275</v>
      </c>
      <c r="I38" s="61" t="s">
        <v>210</v>
      </c>
      <c r="J38" s="504">
        <v>13415</v>
      </c>
      <c r="K38" s="494">
        <v>2.622E-2</v>
      </c>
      <c r="L38" s="78">
        <f t="shared" si="2"/>
        <v>351.74130000000002</v>
      </c>
      <c r="M38" s="59"/>
      <c r="N38" s="63">
        <f t="shared" si="0"/>
        <v>2024</v>
      </c>
      <c r="O38" s="63">
        <f t="shared" si="1"/>
        <v>10</v>
      </c>
      <c r="P38" s="499">
        <v>0</v>
      </c>
    </row>
    <row r="39" spans="1:16" s="58" customFormat="1">
      <c r="A39" s="59">
        <v>35</v>
      </c>
      <c r="B39" s="60" t="s">
        <v>59</v>
      </c>
      <c r="C39" s="60" t="s">
        <v>274</v>
      </c>
      <c r="D39" s="61" t="s">
        <v>276</v>
      </c>
      <c r="E39" s="61" t="s">
        <v>215</v>
      </c>
      <c r="F39" s="79">
        <v>45596</v>
      </c>
      <c r="G39" s="62" t="s">
        <v>268</v>
      </c>
      <c r="H39" s="59" t="s">
        <v>277</v>
      </c>
      <c r="I39" s="61" t="s">
        <v>210</v>
      </c>
      <c r="J39" s="504">
        <v>32127.33</v>
      </c>
      <c r="K39" s="494">
        <v>2.622E-2</v>
      </c>
      <c r="L39" s="78">
        <f t="shared" si="2"/>
        <v>842.37859260000005</v>
      </c>
      <c r="M39" s="59"/>
      <c r="N39" s="63">
        <f t="shared" si="0"/>
        <v>2024</v>
      </c>
      <c r="O39" s="63">
        <f t="shared" si="1"/>
        <v>10</v>
      </c>
      <c r="P39" s="499">
        <v>0</v>
      </c>
    </row>
    <row r="40" spans="1:16" s="58" customFormat="1">
      <c r="A40" s="59">
        <v>36</v>
      </c>
      <c r="B40" s="60" t="s">
        <v>59</v>
      </c>
      <c r="C40" s="60" t="s">
        <v>274</v>
      </c>
      <c r="D40" s="61" t="s">
        <v>230</v>
      </c>
      <c r="E40" s="61" t="s">
        <v>212</v>
      </c>
      <c r="F40" s="79">
        <v>45596</v>
      </c>
      <c r="G40" s="62" t="s">
        <v>268</v>
      </c>
      <c r="H40" s="59" t="s">
        <v>278</v>
      </c>
      <c r="I40" s="61" t="s">
        <v>210</v>
      </c>
      <c r="J40" s="504">
        <v>6159.4</v>
      </c>
      <c r="K40" s="494">
        <v>2.622E-2</v>
      </c>
      <c r="L40" s="78">
        <f t="shared" si="2"/>
        <v>161.49946799999998</v>
      </c>
      <c r="M40" s="59"/>
      <c r="N40" s="63">
        <f t="shared" si="0"/>
        <v>2024</v>
      </c>
      <c r="O40" s="63">
        <f t="shared" si="1"/>
        <v>10</v>
      </c>
      <c r="P40" s="499">
        <v>0</v>
      </c>
    </row>
    <row r="41" spans="1:16" s="58" customFormat="1">
      <c r="A41" s="59">
        <v>37</v>
      </c>
      <c r="B41" s="60" t="s">
        <v>59</v>
      </c>
      <c r="C41" s="60" t="s">
        <v>274</v>
      </c>
      <c r="D41" s="61" t="s">
        <v>228</v>
      </c>
      <c r="E41" s="61" t="s">
        <v>225</v>
      </c>
      <c r="F41" s="79">
        <v>45616</v>
      </c>
      <c r="G41" s="62" t="s">
        <v>268</v>
      </c>
      <c r="H41" s="59" t="s">
        <v>279</v>
      </c>
      <c r="I41" s="61" t="s">
        <v>210</v>
      </c>
      <c r="J41" s="504">
        <v>-36.36</v>
      </c>
      <c r="K41" s="494">
        <v>2.6960000000000001E-2</v>
      </c>
      <c r="L41" s="78">
        <f t="shared" si="2"/>
        <v>-0.98026560000000007</v>
      </c>
      <c r="M41" s="59"/>
      <c r="N41" s="63">
        <f t="shared" si="0"/>
        <v>2024</v>
      </c>
      <c r="O41" s="63">
        <f t="shared" si="1"/>
        <v>11</v>
      </c>
      <c r="P41" s="499">
        <v>0</v>
      </c>
    </row>
    <row r="42" spans="1:16" s="58" customFormat="1">
      <c r="A42" s="59">
        <v>38</v>
      </c>
      <c r="B42" s="60" t="s">
        <v>69</v>
      </c>
      <c r="C42" s="60" t="s">
        <v>280</v>
      </c>
      <c r="D42" s="61" t="s">
        <v>218</v>
      </c>
      <c r="E42" s="61" t="s">
        <v>207</v>
      </c>
      <c r="F42" s="79">
        <v>45565</v>
      </c>
      <c r="G42" s="62" t="s">
        <v>281</v>
      </c>
      <c r="H42" s="59" t="s">
        <v>282</v>
      </c>
      <c r="I42" s="61" t="s">
        <v>210</v>
      </c>
      <c r="J42" s="504">
        <v>7493.14</v>
      </c>
      <c r="K42" s="494">
        <v>2.6460000000000001E-2</v>
      </c>
      <c r="L42" s="78">
        <f t="shared" si="2"/>
        <v>198.26848440000001</v>
      </c>
      <c r="M42" s="59"/>
      <c r="N42" s="63">
        <f t="shared" si="0"/>
        <v>2024</v>
      </c>
      <c r="O42" s="63">
        <f t="shared" si="1"/>
        <v>9</v>
      </c>
      <c r="P42" s="499">
        <v>0</v>
      </c>
    </row>
    <row r="43" spans="1:16" s="58" customFormat="1">
      <c r="A43" s="59">
        <v>39</v>
      </c>
      <c r="B43" s="60" t="s">
        <v>69</v>
      </c>
      <c r="C43" s="60" t="s">
        <v>280</v>
      </c>
      <c r="D43" s="61" t="s">
        <v>283</v>
      </c>
      <c r="E43" s="61" t="s">
        <v>284</v>
      </c>
      <c r="F43" s="79">
        <v>45565</v>
      </c>
      <c r="G43" s="62" t="s">
        <v>281</v>
      </c>
      <c r="H43" s="61" t="s">
        <v>285</v>
      </c>
      <c r="I43" s="61" t="s">
        <v>210</v>
      </c>
      <c r="J43" s="504">
        <v>686.19</v>
      </c>
      <c r="K43" s="494">
        <v>2.6460000000000001E-2</v>
      </c>
      <c r="L43" s="78">
        <f t="shared" si="2"/>
        <v>18.156587400000003</v>
      </c>
      <c r="M43" s="59"/>
      <c r="N43" s="63">
        <f t="shared" si="0"/>
        <v>2024</v>
      </c>
      <c r="O43" s="63">
        <f t="shared" si="1"/>
        <v>9</v>
      </c>
      <c r="P43" s="499">
        <v>0</v>
      </c>
    </row>
    <row r="44" spans="1:16" s="58" customFormat="1">
      <c r="A44" s="59">
        <v>40</v>
      </c>
      <c r="B44" s="60" t="s">
        <v>69</v>
      </c>
      <c r="C44" s="60" t="s">
        <v>280</v>
      </c>
      <c r="D44" s="61" t="s">
        <v>222</v>
      </c>
      <c r="E44" s="61" t="s">
        <v>212</v>
      </c>
      <c r="F44" s="79">
        <v>45565</v>
      </c>
      <c r="G44" s="62" t="s">
        <v>281</v>
      </c>
      <c r="H44" s="59" t="s">
        <v>286</v>
      </c>
      <c r="I44" s="61" t="s">
        <v>210</v>
      </c>
      <c r="J44" s="504">
        <v>4184.1099999999997</v>
      </c>
      <c r="K44" s="494">
        <v>2.6460000000000001E-2</v>
      </c>
      <c r="L44" s="78">
        <f t="shared" si="2"/>
        <v>110.7115506</v>
      </c>
      <c r="M44" s="59"/>
      <c r="N44" s="63">
        <f t="shared" si="0"/>
        <v>2024</v>
      </c>
      <c r="O44" s="63">
        <f t="shared" si="1"/>
        <v>9</v>
      </c>
      <c r="P44" s="499">
        <v>0</v>
      </c>
    </row>
    <row r="45" spans="1:16" s="58" customFormat="1">
      <c r="A45" s="59">
        <v>41</v>
      </c>
      <c r="B45" s="60" t="s">
        <v>69</v>
      </c>
      <c r="C45" s="60" t="s">
        <v>280</v>
      </c>
      <c r="D45" s="61" t="s">
        <v>287</v>
      </c>
      <c r="E45" s="61" t="s">
        <v>215</v>
      </c>
      <c r="F45" s="79">
        <v>45565</v>
      </c>
      <c r="G45" s="62" t="s">
        <v>281</v>
      </c>
      <c r="H45" s="59" t="s">
        <v>288</v>
      </c>
      <c r="I45" s="61" t="s">
        <v>210</v>
      </c>
      <c r="J45" s="504">
        <v>15733.94</v>
      </c>
      <c r="K45" s="494">
        <v>2.6460000000000001E-2</v>
      </c>
      <c r="L45" s="78">
        <f t="shared" si="2"/>
        <v>416.32005240000001</v>
      </c>
      <c r="M45" s="59"/>
      <c r="N45" s="63">
        <f t="shared" si="0"/>
        <v>2024</v>
      </c>
      <c r="O45" s="63">
        <f t="shared" si="1"/>
        <v>9</v>
      </c>
      <c r="P45" s="499">
        <v>0</v>
      </c>
    </row>
    <row r="46" spans="1:16" s="58" customFormat="1">
      <c r="A46" s="59">
        <v>42</v>
      </c>
      <c r="B46" s="60" t="s">
        <v>69</v>
      </c>
      <c r="C46" s="60" t="s">
        <v>280</v>
      </c>
      <c r="D46" s="61" t="s">
        <v>224</v>
      </c>
      <c r="E46" s="61" t="s">
        <v>225</v>
      </c>
      <c r="F46" s="79">
        <v>45581</v>
      </c>
      <c r="G46" s="62" t="s">
        <v>281</v>
      </c>
      <c r="H46" s="59" t="s">
        <v>289</v>
      </c>
      <c r="I46" s="61" t="s">
        <v>210</v>
      </c>
      <c r="J46" s="504">
        <v>-31.01</v>
      </c>
      <c r="K46" s="494">
        <v>2.622E-2</v>
      </c>
      <c r="L46" s="78">
        <f t="shared" si="2"/>
        <v>-0.81308220000000009</v>
      </c>
      <c r="M46" s="59"/>
      <c r="N46" s="63">
        <f t="shared" si="0"/>
        <v>2024</v>
      </c>
      <c r="O46" s="63">
        <f t="shared" si="1"/>
        <v>10</v>
      </c>
      <c r="P46" s="499">
        <v>0</v>
      </c>
    </row>
    <row r="47" spans="1:16" s="58" customFormat="1">
      <c r="A47" s="59">
        <v>43</v>
      </c>
      <c r="B47" s="60" t="s">
        <v>69</v>
      </c>
      <c r="C47" s="60" t="s">
        <v>290</v>
      </c>
      <c r="D47" s="61" t="s">
        <v>228</v>
      </c>
      <c r="E47" s="61" t="s">
        <v>207</v>
      </c>
      <c r="F47" s="79">
        <v>45596</v>
      </c>
      <c r="G47" s="62" t="s">
        <v>281</v>
      </c>
      <c r="H47" s="59" t="s">
        <v>291</v>
      </c>
      <c r="I47" s="61" t="s">
        <v>210</v>
      </c>
      <c r="J47" s="504">
        <v>5761.39</v>
      </c>
      <c r="K47" s="494">
        <v>2.622E-2</v>
      </c>
      <c r="L47" s="78">
        <f t="shared" si="2"/>
        <v>151.06364580000002</v>
      </c>
      <c r="M47" s="59"/>
      <c r="N47" s="63">
        <f t="shared" si="0"/>
        <v>2024</v>
      </c>
      <c r="O47" s="63">
        <f t="shared" si="1"/>
        <v>10</v>
      </c>
      <c r="P47" s="499">
        <v>0</v>
      </c>
    </row>
    <row r="48" spans="1:16" s="58" customFormat="1">
      <c r="A48" s="59">
        <v>44</v>
      </c>
      <c r="B48" s="60" t="s">
        <v>69</v>
      </c>
      <c r="C48" s="60" t="s">
        <v>290</v>
      </c>
      <c r="D48" s="61" t="s">
        <v>230</v>
      </c>
      <c r="E48" s="61" t="s">
        <v>212</v>
      </c>
      <c r="F48" s="79">
        <v>45596</v>
      </c>
      <c r="G48" s="62" t="s">
        <v>281</v>
      </c>
      <c r="H48" s="59" t="s">
        <v>292</v>
      </c>
      <c r="I48" s="61" t="s">
        <v>210</v>
      </c>
      <c r="J48" s="504">
        <v>3144.69</v>
      </c>
      <c r="K48" s="494">
        <v>2.622E-2</v>
      </c>
      <c r="L48" s="78">
        <f t="shared" si="2"/>
        <v>82.453771799999998</v>
      </c>
      <c r="M48" s="59"/>
      <c r="N48" s="63">
        <f t="shared" si="0"/>
        <v>2024</v>
      </c>
      <c r="O48" s="63">
        <f t="shared" si="1"/>
        <v>10</v>
      </c>
      <c r="P48" s="499">
        <v>0</v>
      </c>
    </row>
    <row r="49" spans="1:16" s="58" customFormat="1">
      <c r="A49" s="59">
        <v>45</v>
      </c>
      <c r="B49" s="60" t="s">
        <v>69</v>
      </c>
      <c r="C49" s="60" t="s">
        <v>290</v>
      </c>
      <c r="D49" s="61" t="s">
        <v>293</v>
      </c>
      <c r="E49" s="61" t="s">
        <v>215</v>
      </c>
      <c r="F49" s="79">
        <v>45596</v>
      </c>
      <c r="G49" s="62" t="s">
        <v>281</v>
      </c>
      <c r="H49" s="59" t="s">
        <v>294</v>
      </c>
      <c r="I49" s="61" t="s">
        <v>210</v>
      </c>
      <c r="J49" s="504">
        <v>12674.08</v>
      </c>
      <c r="K49" s="494">
        <v>2.622E-2</v>
      </c>
      <c r="L49" s="78">
        <f t="shared" si="2"/>
        <v>332.3143776</v>
      </c>
      <c r="M49" s="59"/>
      <c r="N49" s="63">
        <f t="shared" si="0"/>
        <v>2024</v>
      </c>
      <c r="O49" s="63">
        <f t="shared" si="1"/>
        <v>10</v>
      </c>
      <c r="P49" s="499">
        <v>0</v>
      </c>
    </row>
    <row r="50" spans="1:16" s="58" customFormat="1">
      <c r="A50" s="59">
        <v>46</v>
      </c>
      <c r="B50" s="60" t="s">
        <v>69</v>
      </c>
      <c r="C50" s="60" t="s">
        <v>290</v>
      </c>
      <c r="D50" s="61" t="s">
        <v>228</v>
      </c>
      <c r="E50" s="61" t="s">
        <v>225</v>
      </c>
      <c r="F50" s="79">
        <v>45616</v>
      </c>
      <c r="G50" s="62" t="s">
        <v>281</v>
      </c>
      <c r="H50" s="61" t="s">
        <v>295</v>
      </c>
      <c r="I50" s="61" t="s">
        <v>210</v>
      </c>
      <c r="J50" s="504">
        <v>-26.02</v>
      </c>
      <c r="K50" s="494">
        <v>2.6960000000000001E-2</v>
      </c>
      <c r="L50" s="78">
        <f t="shared" si="2"/>
        <v>-0.70149919999999999</v>
      </c>
      <c r="M50" s="59"/>
      <c r="N50" s="63">
        <f t="shared" si="0"/>
        <v>2024</v>
      </c>
      <c r="O50" s="63">
        <f t="shared" si="1"/>
        <v>11</v>
      </c>
      <c r="P50" s="499">
        <v>0</v>
      </c>
    </row>
    <row r="51" spans="1:16" s="58" customFormat="1">
      <c r="A51" s="59">
        <v>47</v>
      </c>
      <c r="B51" s="60" t="s">
        <v>69</v>
      </c>
      <c r="C51" s="60" t="s">
        <v>296</v>
      </c>
      <c r="D51" s="61" t="s">
        <v>297</v>
      </c>
      <c r="E51" s="61" t="s">
        <v>215</v>
      </c>
      <c r="F51" s="79">
        <v>45626</v>
      </c>
      <c r="G51" s="62" t="s">
        <v>281</v>
      </c>
      <c r="H51" s="59" t="s">
        <v>298</v>
      </c>
      <c r="I51" s="61" t="s">
        <v>210</v>
      </c>
      <c r="J51" s="504">
        <v>7622.34</v>
      </c>
      <c r="K51" s="494">
        <v>2.6960000000000001E-2</v>
      </c>
      <c r="L51" s="78">
        <f t="shared" si="2"/>
        <v>205.49828640000001</v>
      </c>
      <c r="M51" s="59"/>
      <c r="N51" s="63">
        <f t="shared" si="0"/>
        <v>2024</v>
      </c>
      <c r="O51" s="63">
        <f t="shared" si="1"/>
        <v>11</v>
      </c>
      <c r="P51" s="499">
        <v>0</v>
      </c>
    </row>
    <row r="52" spans="1:16" s="58" customFormat="1">
      <c r="A52" s="59">
        <v>48</v>
      </c>
      <c r="B52" s="60" t="s">
        <v>69</v>
      </c>
      <c r="C52" s="60" t="s">
        <v>296</v>
      </c>
      <c r="D52" s="61" t="s">
        <v>238</v>
      </c>
      <c r="E52" s="61" t="s">
        <v>207</v>
      </c>
      <c r="F52" s="79">
        <v>45626</v>
      </c>
      <c r="G52" s="62" t="s">
        <v>281</v>
      </c>
      <c r="H52" s="61" t="s">
        <v>299</v>
      </c>
      <c r="I52" s="61" t="s">
        <v>210</v>
      </c>
      <c r="J52" s="504">
        <v>3262.88</v>
      </c>
      <c r="K52" s="494">
        <v>2.6960000000000001E-2</v>
      </c>
      <c r="L52" s="78">
        <f t="shared" si="2"/>
        <v>87.967244800000003</v>
      </c>
      <c r="M52" s="59"/>
      <c r="N52" s="63">
        <f t="shared" si="0"/>
        <v>2024</v>
      </c>
      <c r="O52" s="63">
        <f t="shared" si="1"/>
        <v>11</v>
      </c>
      <c r="P52" s="499">
        <v>0</v>
      </c>
    </row>
    <row r="53" spans="1:16" s="58" customFormat="1">
      <c r="A53" s="59">
        <v>49</v>
      </c>
      <c r="B53" s="60" t="s">
        <v>69</v>
      </c>
      <c r="C53" s="60" t="s">
        <v>296</v>
      </c>
      <c r="D53" s="61" t="s">
        <v>236</v>
      </c>
      <c r="E53" s="61" t="s">
        <v>212</v>
      </c>
      <c r="F53" s="79">
        <v>45626</v>
      </c>
      <c r="G53" s="62" t="s">
        <v>281</v>
      </c>
      <c r="H53" s="59" t="s">
        <v>300</v>
      </c>
      <c r="I53" s="61" t="s">
        <v>210</v>
      </c>
      <c r="J53" s="504">
        <v>1373.07</v>
      </c>
      <c r="K53" s="494">
        <v>2.6960000000000001E-2</v>
      </c>
      <c r="L53" s="78">
        <f t="shared" si="2"/>
        <v>37.017967200000001</v>
      </c>
      <c r="M53" s="59"/>
      <c r="N53" s="63">
        <f t="shared" si="0"/>
        <v>2024</v>
      </c>
      <c r="O53" s="63">
        <f t="shared" si="1"/>
        <v>11</v>
      </c>
      <c r="P53" s="499">
        <v>0</v>
      </c>
    </row>
    <row r="54" spans="1:16" s="58" customFormat="1">
      <c r="A54" s="59">
        <v>50</v>
      </c>
      <c r="B54" s="60" t="s">
        <v>69</v>
      </c>
      <c r="C54" s="60" t="s">
        <v>296</v>
      </c>
      <c r="D54" s="61" t="s">
        <v>238</v>
      </c>
      <c r="E54" s="61" t="s">
        <v>225</v>
      </c>
      <c r="F54" s="79">
        <v>45638</v>
      </c>
      <c r="G54" s="62" t="s">
        <v>281</v>
      </c>
      <c r="H54" s="69" t="s">
        <v>301</v>
      </c>
      <c r="I54" s="61" t="s">
        <v>210</v>
      </c>
      <c r="J54" s="504">
        <v>-14.31</v>
      </c>
      <c r="K54" s="491">
        <v>2.741E-2</v>
      </c>
      <c r="L54" s="78">
        <f t="shared" si="2"/>
        <v>-0.39223710000000001</v>
      </c>
      <c r="M54" s="59"/>
      <c r="N54" s="63">
        <f t="shared" si="0"/>
        <v>2024</v>
      </c>
      <c r="O54" s="63">
        <f t="shared" si="1"/>
        <v>12</v>
      </c>
      <c r="P54" s="499">
        <v>0</v>
      </c>
    </row>
    <row r="55" spans="1:16" s="58" customFormat="1">
      <c r="A55" s="59">
        <v>51</v>
      </c>
      <c r="B55" s="60" t="s">
        <v>69</v>
      </c>
      <c r="C55" s="60" t="s">
        <v>302</v>
      </c>
      <c r="D55" s="61" t="s">
        <v>242</v>
      </c>
      <c r="E55" s="61" t="s">
        <v>207</v>
      </c>
      <c r="F55" s="79">
        <v>45657</v>
      </c>
      <c r="G55" s="62" t="s">
        <v>281</v>
      </c>
      <c r="H55" s="61" t="s">
        <v>303</v>
      </c>
      <c r="I55" s="61" t="s">
        <v>210</v>
      </c>
      <c r="J55" s="504">
        <v>1167.5999999999999</v>
      </c>
      <c r="K55" s="491">
        <v>2.741E-2</v>
      </c>
      <c r="L55" s="78">
        <f t="shared" si="2"/>
        <v>32.003915999999997</v>
      </c>
      <c r="M55" s="59"/>
      <c r="N55" s="63">
        <f t="shared" si="0"/>
        <v>2024</v>
      </c>
      <c r="O55" s="63">
        <f t="shared" si="1"/>
        <v>12</v>
      </c>
      <c r="P55" s="499">
        <v>0</v>
      </c>
    </row>
    <row r="56" spans="1:16" s="58" customFormat="1">
      <c r="A56" s="59">
        <v>52</v>
      </c>
      <c r="B56" s="60" t="s">
        <v>69</v>
      </c>
      <c r="C56" s="60" t="s">
        <v>302</v>
      </c>
      <c r="D56" s="61" t="s">
        <v>304</v>
      </c>
      <c r="E56" s="61" t="s">
        <v>215</v>
      </c>
      <c r="F56" s="79">
        <v>45657</v>
      </c>
      <c r="G56" s="62" t="s">
        <v>281</v>
      </c>
      <c r="H56" s="59" t="s">
        <v>305</v>
      </c>
      <c r="I56" s="61" t="s">
        <v>210</v>
      </c>
      <c r="J56" s="504">
        <v>2729.59</v>
      </c>
      <c r="K56" s="491">
        <v>2.741E-2</v>
      </c>
      <c r="L56" s="78">
        <f t="shared" si="2"/>
        <v>74.818061900000004</v>
      </c>
      <c r="M56" s="59"/>
      <c r="N56" s="63">
        <f t="shared" si="0"/>
        <v>2024</v>
      </c>
      <c r="O56" s="63">
        <f t="shared" si="1"/>
        <v>12</v>
      </c>
      <c r="P56" s="499">
        <v>0</v>
      </c>
    </row>
    <row r="57" spans="1:16" s="58" customFormat="1" ht="16.149999999999999">
      <c r="A57" s="59">
        <v>53</v>
      </c>
      <c r="B57" s="60" t="s">
        <v>69</v>
      </c>
      <c r="C57" s="60" t="s">
        <v>302</v>
      </c>
      <c r="D57" s="68" t="s">
        <v>245</v>
      </c>
      <c r="E57" s="61" t="s">
        <v>212</v>
      </c>
      <c r="F57" s="79">
        <v>45657</v>
      </c>
      <c r="G57" s="62" t="s">
        <v>281</v>
      </c>
      <c r="H57" s="61" t="s">
        <v>306</v>
      </c>
      <c r="I57" s="61" t="s">
        <v>210</v>
      </c>
      <c r="J57" s="504">
        <v>490.05</v>
      </c>
      <c r="K57" s="491">
        <v>2.741E-2</v>
      </c>
      <c r="L57" s="78">
        <f t="shared" si="2"/>
        <v>13.432270500000001</v>
      </c>
      <c r="M57" s="59"/>
      <c r="N57" s="63">
        <f t="shared" si="0"/>
        <v>2024</v>
      </c>
      <c r="O57" s="63">
        <f t="shared" si="1"/>
        <v>12</v>
      </c>
      <c r="P57" s="499">
        <v>0</v>
      </c>
    </row>
    <row r="58" spans="1:16" s="58" customFormat="1" ht="22.9">
      <c r="A58" s="59">
        <v>54</v>
      </c>
      <c r="B58" s="60" t="s">
        <v>76</v>
      </c>
      <c r="C58" s="60" t="s">
        <v>307</v>
      </c>
      <c r="D58" s="61" t="s">
        <v>308</v>
      </c>
      <c r="E58" s="59" t="s">
        <v>309</v>
      </c>
      <c r="F58" s="79">
        <v>45562</v>
      </c>
      <c r="G58" s="62" t="s">
        <v>310</v>
      </c>
      <c r="H58" s="62" t="s">
        <v>311</v>
      </c>
      <c r="I58" s="61" t="s">
        <v>312</v>
      </c>
      <c r="J58" s="504">
        <v>6.28</v>
      </c>
      <c r="K58" s="494">
        <v>0.90188000000000001</v>
      </c>
      <c r="L58" s="78">
        <f t="shared" si="2"/>
        <v>5.6638064000000004</v>
      </c>
      <c r="M58" s="59"/>
      <c r="N58" s="63">
        <f t="shared" si="0"/>
        <v>2024</v>
      </c>
      <c r="O58" s="63">
        <f t="shared" si="1"/>
        <v>9</v>
      </c>
      <c r="P58" s="499">
        <v>0</v>
      </c>
    </row>
    <row r="59" spans="1:16" s="58" customFormat="1">
      <c r="A59" s="59">
        <v>55</v>
      </c>
      <c r="B59" s="60" t="s">
        <v>76</v>
      </c>
      <c r="C59" s="60" t="s">
        <v>313</v>
      </c>
      <c r="D59" s="61" t="s">
        <v>308</v>
      </c>
      <c r="E59" s="61" t="s">
        <v>215</v>
      </c>
      <c r="F59" s="79">
        <v>45562</v>
      </c>
      <c r="G59" s="62" t="s">
        <v>314</v>
      </c>
      <c r="H59" s="59" t="s">
        <v>315</v>
      </c>
      <c r="I59" s="61" t="s">
        <v>312</v>
      </c>
      <c r="J59" s="504">
        <v>628.33000000000004</v>
      </c>
      <c r="K59" s="494">
        <v>0.90188000000000001</v>
      </c>
      <c r="L59" s="78">
        <f t="shared" si="2"/>
        <v>566.6782604</v>
      </c>
      <c r="M59" s="59"/>
      <c r="N59" s="63">
        <f t="shared" si="0"/>
        <v>2024</v>
      </c>
      <c r="O59" s="63">
        <f t="shared" si="1"/>
        <v>9</v>
      </c>
      <c r="P59" s="499">
        <v>0</v>
      </c>
    </row>
    <row r="60" spans="1:16" s="58" customFormat="1">
      <c r="A60" s="59">
        <v>56</v>
      </c>
      <c r="B60" s="60" t="s">
        <v>76</v>
      </c>
      <c r="C60" s="60" t="s">
        <v>316</v>
      </c>
      <c r="D60" s="61" t="s">
        <v>308</v>
      </c>
      <c r="E60" s="61" t="s">
        <v>215</v>
      </c>
      <c r="F60" s="79">
        <v>45596</v>
      </c>
      <c r="G60" s="62" t="s">
        <v>314</v>
      </c>
      <c r="H60" s="59" t="s">
        <v>317</v>
      </c>
      <c r="I60" s="61" t="s">
        <v>312</v>
      </c>
      <c r="J60" s="504">
        <v>650</v>
      </c>
      <c r="K60" s="494">
        <v>0.89622000000000002</v>
      </c>
      <c r="L60" s="78">
        <f t="shared" si="2"/>
        <v>582.54300000000001</v>
      </c>
      <c r="M60" s="59"/>
      <c r="N60" s="63">
        <f t="shared" si="0"/>
        <v>2024</v>
      </c>
      <c r="O60" s="63">
        <f t="shared" si="1"/>
        <v>10</v>
      </c>
      <c r="P60" s="499">
        <v>0</v>
      </c>
    </row>
    <row r="61" spans="1:16" s="58" customFormat="1">
      <c r="A61" s="59">
        <v>57</v>
      </c>
      <c r="B61" s="60" t="s">
        <v>76</v>
      </c>
      <c r="C61" s="60" t="s">
        <v>318</v>
      </c>
      <c r="D61" s="61" t="s">
        <v>308</v>
      </c>
      <c r="E61" s="59" t="s">
        <v>309</v>
      </c>
      <c r="F61" s="79">
        <v>45596</v>
      </c>
      <c r="G61" s="62" t="s">
        <v>310</v>
      </c>
      <c r="H61" s="59" t="s">
        <v>319</v>
      </c>
      <c r="I61" s="61" t="s">
        <v>312</v>
      </c>
      <c r="J61" s="504">
        <v>6.5</v>
      </c>
      <c r="K61" s="494">
        <v>0.89622000000000002</v>
      </c>
      <c r="L61" s="78">
        <f t="shared" si="2"/>
        <v>5.8254299999999999</v>
      </c>
      <c r="M61" s="59"/>
      <c r="N61" s="63">
        <f t="shared" si="0"/>
        <v>2024</v>
      </c>
      <c r="O61" s="63">
        <f t="shared" si="1"/>
        <v>10</v>
      </c>
      <c r="P61" s="499">
        <v>0</v>
      </c>
    </row>
    <row r="62" spans="1:16" s="58" customFormat="1">
      <c r="A62" s="59">
        <v>58</v>
      </c>
      <c r="B62" s="60" t="s">
        <v>76</v>
      </c>
      <c r="C62" s="60" t="s">
        <v>320</v>
      </c>
      <c r="D62" s="61" t="s">
        <v>308</v>
      </c>
      <c r="E62" s="59" t="s">
        <v>309</v>
      </c>
      <c r="F62" s="79">
        <v>45624</v>
      </c>
      <c r="G62" s="62" t="s">
        <v>310</v>
      </c>
      <c r="H62" s="59" t="s">
        <v>321</v>
      </c>
      <c r="I62" s="61" t="s">
        <v>312</v>
      </c>
      <c r="J62" s="504">
        <v>6.5</v>
      </c>
      <c r="K62" s="494">
        <v>0.92464000000000002</v>
      </c>
      <c r="L62" s="78">
        <f t="shared" si="2"/>
        <v>6.0101599999999999</v>
      </c>
      <c r="M62" s="59"/>
      <c r="N62" s="63">
        <f t="shared" si="0"/>
        <v>2024</v>
      </c>
      <c r="O62" s="63">
        <f t="shared" si="1"/>
        <v>11</v>
      </c>
      <c r="P62" s="499">
        <v>0</v>
      </c>
    </row>
    <row r="63" spans="1:16" s="58" customFormat="1">
      <c r="A63" s="59">
        <v>59</v>
      </c>
      <c r="B63" s="60" t="s">
        <v>76</v>
      </c>
      <c r="C63" s="60" t="s">
        <v>322</v>
      </c>
      <c r="D63" s="61" t="s">
        <v>308</v>
      </c>
      <c r="E63" s="61" t="s">
        <v>215</v>
      </c>
      <c r="F63" s="79">
        <v>45626</v>
      </c>
      <c r="G63" s="62" t="s">
        <v>314</v>
      </c>
      <c r="H63" s="59" t="s">
        <v>323</v>
      </c>
      <c r="I63" s="61" t="s">
        <v>312</v>
      </c>
      <c r="J63" s="504">
        <v>650</v>
      </c>
      <c r="K63" s="494">
        <v>0.92464000000000002</v>
      </c>
      <c r="L63" s="78">
        <f t="shared" si="2"/>
        <v>601.01599999999996</v>
      </c>
      <c r="M63" s="59"/>
      <c r="N63" s="63">
        <f t="shared" si="0"/>
        <v>2024</v>
      </c>
      <c r="O63" s="63">
        <f t="shared" si="1"/>
        <v>11</v>
      </c>
      <c r="P63" s="499">
        <v>0</v>
      </c>
    </row>
    <row r="64" spans="1:16" s="58" customFormat="1">
      <c r="A64" s="59">
        <v>60</v>
      </c>
      <c r="B64" s="60" t="s">
        <v>76</v>
      </c>
      <c r="C64" s="60" t="s">
        <v>324</v>
      </c>
      <c r="D64" s="61" t="s">
        <v>308</v>
      </c>
      <c r="E64" s="61" t="s">
        <v>325</v>
      </c>
      <c r="F64" s="79">
        <v>45652</v>
      </c>
      <c r="G64" s="62" t="s">
        <v>310</v>
      </c>
      <c r="H64" s="59" t="s">
        <v>326</v>
      </c>
      <c r="I64" s="61" t="s">
        <v>312</v>
      </c>
      <c r="J64" s="504">
        <v>6.5</v>
      </c>
      <c r="K64" s="491">
        <v>0.94859000000000004</v>
      </c>
      <c r="L64" s="78">
        <f t="shared" si="2"/>
        <v>6.1658350000000004</v>
      </c>
      <c r="M64" s="59"/>
      <c r="N64" s="63">
        <f t="shared" si="0"/>
        <v>2024</v>
      </c>
      <c r="O64" s="63">
        <f t="shared" si="1"/>
        <v>12</v>
      </c>
      <c r="P64" s="499">
        <v>0</v>
      </c>
    </row>
    <row r="65" spans="1:16" s="58" customFormat="1">
      <c r="A65" s="59">
        <v>61</v>
      </c>
      <c r="B65" s="60" t="s">
        <v>76</v>
      </c>
      <c r="C65" s="60" t="s">
        <v>327</v>
      </c>
      <c r="D65" s="61" t="s">
        <v>308</v>
      </c>
      <c r="E65" s="61" t="s">
        <v>215</v>
      </c>
      <c r="F65" s="79">
        <v>45652</v>
      </c>
      <c r="G65" s="62" t="s">
        <v>314</v>
      </c>
      <c r="H65" s="59" t="s">
        <v>328</v>
      </c>
      <c r="I65" s="61" t="s">
        <v>312</v>
      </c>
      <c r="J65" s="504">
        <v>650</v>
      </c>
      <c r="K65" s="491">
        <v>0.94859000000000004</v>
      </c>
      <c r="L65" s="78">
        <f t="shared" si="2"/>
        <v>616.58350000000007</v>
      </c>
      <c r="M65" s="59"/>
      <c r="N65" s="63">
        <f t="shared" si="0"/>
        <v>2024</v>
      </c>
      <c r="O65" s="63">
        <f t="shared" si="1"/>
        <v>12</v>
      </c>
      <c r="P65" s="499">
        <v>0</v>
      </c>
    </row>
    <row r="66" spans="1:16" s="58" customFormat="1">
      <c r="A66" s="59">
        <v>62</v>
      </c>
      <c r="B66" s="60" t="s">
        <v>55</v>
      </c>
      <c r="C66" s="60" t="s">
        <v>329</v>
      </c>
      <c r="D66" s="61" t="s">
        <v>308</v>
      </c>
      <c r="E66" s="61" t="s">
        <v>215</v>
      </c>
      <c r="F66" s="79">
        <v>45562</v>
      </c>
      <c r="G66" s="62" t="s">
        <v>330</v>
      </c>
      <c r="H66" s="59" t="s">
        <v>331</v>
      </c>
      <c r="I66" s="61" t="s">
        <v>312</v>
      </c>
      <c r="J66" s="504">
        <v>150</v>
      </c>
      <c r="K66" s="494">
        <v>0.90188000000000001</v>
      </c>
      <c r="L66" s="78">
        <f t="shared" si="2"/>
        <v>135.28200000000001</v>
      </c>
      <c r="M66" s="59"/>
      <c r="N66" s="63">
        <f t="shared" si="0"/>
        <v>2024</v>
      </c>
      <c r="O66" s="63">
        <f t="shared" si="1"/>
        <v>9</v>
      </c>
      <c r="P66" s="499">
        <v>0</v>
      </c>
    </row>
    <row r="67" spans="1:16" s="58" customFormat="1" ht="22.9">
      <c r="A67" s="59">
        <v>63</v>
      </c>
      <c r="B67" s="60" t="s">
        <v>55</v>
      </c>
      <c r="C67" s="60" t="s">
        <v>307</v>
      </c>
      <c r="D67" s="61" t="s">
        <v>308</v>
      </c>
      <c r="E67" s="59" t="s">
        <v>309</v>
      </c>
      <c r="F67" s="79">
        <v>45562</v>
      </c>
      <c r="G67" s="62" t="s">
        <v>310</v>
      </c>
      <c r="H67" s="62" t="s">
        <v>332</v>
      </c>
      <c r="I67" s="61" t="s">
        <v>312</v>
      </c>
      <c r="J67" s="504">
        <v>1.5</v>
      </c>
      <c r="K67" s="494">
        <v>0.90188000000000001</v>
      </c>
      <c r="L67" s="78">
        <f t="shared" si="2"/>
        <v>1.3528199999999999</v>
      </c>
      <c r="M67" s="59"/>
      <c r="N67" s="63">
        <f t="shared" si="0"/>
        <v>2024</v>
      </c>
      <c r="O67" s="63">
        <f t="shared" si="1"/>
        <v>9</v>
      </c>
      <c r="P67" s="499">
        <v>0</v>
      </c>
    </row>
    <row r="68" spans="1:16" s="58" customFormat="1">
      <c r="A68" s="59">
        <v>64</v>
      </c>
      <c r="B68" s="60" t="s">
        <v>55</v>
      </c>
      <c r="C68" s="60" t="s">
        <v>333</v>
      </c>
      <c r="D68" s="61" t="s">
        <v>308</v>
      </c>
      <c r="E68" s="61" t="s">
        <v>215</v>
      </c>
      <c r="F68" s="79">
        <v>45596</v>
      </c>
      <c r="G68" s="62" t="s">
        <v>330</v>
      </c>
      <c r="H68" s="59" t="s">
        <v>334</v>
      </c>
      <c r="I68" s="61" t="s">
        <v>312</v>
      </c>
      <c r="J68" s="504">
        <v>500</v>
      </c>
      <c r="K68" s="492">
        <v>0.89622000000000002</v>
      </c>
      <c r="L68" s="78">
        <f t="shared" si="2"/>
        <v>448.11</v>
      </c>
      <c r="M68" s="59"/>
      <c r="N68" s="63">
        <f t="shared" si="0"/>
        <v>2024</v>
      </c>
      <c r="O68" s="63">
        <f t="shared" si="1"/>
        <v>10</v>
      </c>
      <c r="P68" s="499">
        <v>0</v>
      </c>
    </row>
    <row r="69" spans="1:16" s="58" customFormat="1">
      <c r="A69" s="59">
        <v>65</v>
      </c>
      <c r="B69" s="60" t="s">
        <v>55</v>
      </c>
      <c r="C69" s="60" t="s">
        <v>318</v>
      </c>
      <c r="D69" s="61" t="s">
        <v>308</v>
      </c>
      <c r="E69" s="59" t="s">
        <v>309</v>
      </c>
      <c r="F69" s="79">
        <v>45596</v>
      </c>
      <c r="G69" s="62" t="s">
        <v>310</v>
      </c>
      <c r="H69" s="59" t="s">
        <v>335</v>
      </c>
      <c r="I69" s="61" t="s">
        <v>312</v>
      </c>
      <c r="J69" s="504">
        <v>5</v>
      </c>
      <c r="K69" s="492">
        <v>0.89622000000000002</v>
      </c>
      <c r="L69" s="78">
        <f t="shared" ref="L69:L132" si="3">K69*J69</f>
        <v>4.4810999999999996</v>
      </c>
      <c r="M69" s="59"/>
      <c r="N69" s="63">
        <f t="shared" ref="N69:N132" si="4">YEAR(F69)</f>
        <v>2024</v>
      </c>
      <c r="O69" s="63">
        <f t="shared" ref="O69:O132" si="5">MONTH(F69)</f>
        <v>10</v>
      </c>
      <c r="P69" s="499">
        <v>0</v>
      </c>
    </row>
    <row r="70" spans="1:16" s="58" customFormat="1">
      <c r="A70" s="59">
        <v>66</v>
      </c>
      <c r="B70" s="60" t="s">
        <v>55</v>
      </c>
      <c r="C70" s="60" t="s">
        <v>320</v>
      </c>
      <c r="D70" s="61" t="s">
        <v>308</v>
      </c>
      <c r="E70" s="59" t="s">
        <v>309</v>
      </c>
      <c r="F70" s="79">
        <v>45624</v>
      </c>
      <c r="G70" s="62" t="s">
        <v>310</v>
      </c>
      <c r="H70" s="59" t="s">
        <v>336</v>
      </c>
      <c r="I70" s="61" t="s">
        <v>312</v>
      </c>
      <c r="J70" s="504">
        <v>2</v>
      </c>
      <c r="K70" s="494">
        <v>0.92464000000000002</v>
      </c>
      <c r="L70" s="78">
        <f t="shared" si="3"/>
        <v>1.84928</v>
      </c>
      <c r="M70" s="59"/>
      <c r="N70" s="63">
        <f t="shared" si="4"/>
        <v>2024</v>
      </c>
      <c r="O70" s="63">
        <f t="shared" si="5"/>
        <v>11</v>
      </c>
      <c r="P70" s="499">
        <v>0</v>
      </c>
    </row>
    <row r="71" spans="1:16" s="58" customFormat="1">
      <c r="A71" s="59">
        <v>67</v>
      </c>
      <c r="B71" s="60" t="s">
        <v>55</v>
      </c>
      <c r="C71" s="60" t="s">
        <v>337</v>
      </c>
      <c r="D71" s="61" t="s">
        <v>308</v>
      </c>
      <c r="E71" s="61" t="s">
        <v>215</v>
      </c>
      <c r="F71" s="79">
        <v>45626</v>
      </c>
      <c r="G71" s="62" t="s">
        <v>330</v>
      </c>
      <c r="H71" s="59" t="s">
        <v>338</v>
      </c>
      <c r="I71" s="61" t="s">
        <v>312</v>
      </c>
      <c r="J71" s="504">
        <v>200</v>
      </c>
      <c r="K71" s="494">
        <v>0.92464000000000002</v>
      </c>
      <c r="L71" s="78">
        <f t="shared" si="3"/>
        <v>184.928</v>
      </c>
      <c r="M71" s="59"/>
      <c r="N71" s="63">
        <f t="shared" si="4"/>
        <v>2024</v>
      </c>
      <c r="O71" s="63">
        <f t="shared" si="5"/>
        <v>11</v>
      </c>
      <c r="P71" s="499">
        <v>0</v>
      </c>
    </row>
    <row r="72" spans="1:16" s="58" customFormat="1">
      <c r="A72" s="59">
        <v>68</v>
      </c>
      <c r="B72" s="60" t="s">
        <v>78</v>
      </c>
      <c r="C72" s="60" t="s">
        <v>307</v>
      </c>
      <c r="D72" s="61" t="s">
        <v>308</v>
      </c>
      <c r="E72" s="59" t="s">
        <v>309</v>
      </c>
      <c r="F72" s="79">
        <v>45562</v>
      </c>
      <c r="G72" s="62" t="s">
        <v>310</v>
      </c>
      <c r="H72" s="59" t="s">
        <v>339</v>
      </c>
      <c r="I72" s="61" t="s">
        <v>312</v>
      </c>
      <c r="J72" s="504">
        <v>0.17</v>
      </c>
      <c r="K72" s="494">
        <v>0.90188000000000001</v>
      </c>
      <c r="L72" s="78">
        <f t="shared" si="3"/>
        <v>0.1533196</v>
      </c>
      <c r="M72" s="59"/>
      <c r="N72" s="63">
        <f t="shared" si="4"/>
        <v>2024</v>
      </c>
      <c r="O72" s="63">
        <f t="shared" si="5"/>
        <v>9</v>
      </c>
      <c r="P72" s="499">
        <v>0</v>
      </c>
    </row>
    <row r="73" spans="1:16" s="58" customFormat="1">
      <c r="A73" s="59">
        <v>69</v>
      </c>
      <c r="B73" s="60" t="s">
        <v>78</v>
      </c>
      <c r="C73" s="60" t="s">
        <v>340</v>
      </c>
      <c r="D73" s="61" t="s">
        <v>308</v>
      </c>
      <c r="E73" s="61" t="s">
        <v>215</v>
      </c>
      <c r="F73" s="79">
        <v>45562</v>
      </c>
      <c r="G73" s="62" t="s">
        <v>341</v>
      </c>
      <c r="H73" s="59" t="s">
        <v>342</v>
      </c>
      <c r="I73" s="61" t="s">
        <v>312</v>
      </c>
      <c r="J73" s="504">
        <v>16.670000000000002</v>
      </c>
      <c r="K73" s="494">
        <v>0.90188000000000001</v>
      </c>
      <c r="L73" s="78">
        <f t="shared" si="3"/>
        <v>15.034339600000001</v>
      </c>
      <c r="M73" s="59"/>
      <c r="N73" s="63">
        <f t="shared" si="4"/>
        <v>2024</v>
      </c>
      <c r="O73" s="63">
        <f t="shared" si="5"/>
        <v>9</v>
      </c>
      <c r="P73" s="499">
        <v>0</v>
      </c>
    </row>
    <row r="74" spans="1:16" s="58" customFormat="1">
      <c r="A74" s="59">
        <v>70</v>
      </c>
      <c r="B74" s="60" t="s">
        <v>82</v>
      </c>
      <c r="C74" s="60" t="s">
        <v>318</v>
      </c>
      <c r="D74" s="61" t="s">
        <v>308</v>
      </c>
      <c r="E74" s="59" t="s">
        <v>309</v>
      </c>
      <c r="F74" s="79">
        <v>45596</v>
      </c>
      <c r="G74" s="62" t="s">
        <v>310</v>
      </c>
      <c r="H74" s="59" t="s">
        <v>343</v>
      </c>
      <c r="I74" s="61" t="s">
        <v>312</v>
      </c>
      <c r="J74" s="504">
        <v>6.5</v>
      </c>
      <c r="K74" s="494">
        <v>0.89622000000000002</v>
      </c>
      <c r="L74" s="78">
        <f t="shared" si="3"/>
        <v>5.8254299999999999</v>
      </c>
      <c r="M74" s="59"/>
      <c r="N74" s="63">
        <f t="shared" si="4"/>
        <v>2024</v>
      </c>
      <c r="O74" s="63">
        <f t="shared" si="5"/>
        <v>10</v>
      </c>
      <c r="P74" s="499">
        <v>0</v>
      </c>
    </row>
    <row r="75" spans="1:16" s="58" customFormat="1">
      <c r="A75" s="59">
        <v>71</v>
      </c>
      <c r="B75" s="60" t="s">
        <v>82</v>
      </c>
      <c r="C75" s="60" t="s">
        <v>344</v>
      </c>
      <c r="D75" s="61" t="s">
        <v>308</v>
      </c>
      <c r="E75" s="61" t="s">
        <v>215</v>
      </c>
      <c r="F75" s="79">
        <v>45596</v>
      </c>
      <c r="G75" s="62" t="s">
        <v>345</v>
      </c>
      <c r="H75" s="59" t="s">
        <v>346</v>
      </c>
      <c r="I75" s="61" t="s">
        <v>312</v>
      </c>
      <c r="J75" s="504">
        <v>650</v>
      </c>
      <c r="K75" s="494">
        <v>0.89622000000000002</v>
      </c>
      <c r="L75" s="78">
        <f t="shared" si="3"/>
        <v>582.54300000000001</v>
      </c>
      <c r="M75" s="59"/>
      <c r="N75" s="63">
        <f t="shared" si="4"/>
        <v>2024</v>
      </c>
      <c r="O75" s="63">
        <f t="shared" si="5"/>
        <v>10</v>
      </c>
      <c r="P75" s="499">
        <v>0</v>
      </c>
    </row>
    <row r="76" spans="1:16" s="58" customFormat="1">
      <c r="A76" s="59">
        <v>72</v>
      </c>
      <c r="B76" s="60" t="s">
        <v>82</v>
      </c>
      <c r="C76" s="60" t="s">
        <v>320</v>
      </c>
      <c r="D76" s="61" t="s">
        <v>308</v>
      </c>
      <c r="E76" s="59" t="s">
        <v>309</v>
      </c>
      <c r="F76" s="79">
        <v>45624</v>
      </c>
      <c r="G76" s="62" t="s">
        <v>310</v>
      </c>
      <c r="H76" s="59" t="s">
        <v>347</v>
      </c>
      <c r="I76" s="61" t="s">
        <v>312</v>
      </c>
      <c r="J76" s="504">
        <v>6.5</v>
      </c>
      <c r="K76" s="494">
        <v>0.92464000000000002</v>
      </c>
      <c r="L76" s="78">
        <f t="shared" si="3"/>
        <v>6.0101599999999999</v>
      </c>
      <c r="M76" s="59"/>
      <c r="N76" s="63">
        <f t="shared" si="4"/>
        <v>2024</v>
      </c>
      <c r="O76" s="63">
        <f t="shared" si="5"/>
        <v>11</v>
      </c>
      <c r="P76" s="499">
        <v>0</v>
      </c>
    </row>
    <row r="77" spans="1:16" s="58" customFormat="1">
      <c r="A77" s="59">
        <v>73</v>
      </c>
      <c r="B77" s="60" t="s">
        <v>82</v>
      </c>
      <c r="C77" s="60" t="s">
        <v>348</v>
      </c>
      <c r="D77" s="61" t="s">
        <v>308</v>
      </c>
      <c r="E77" s="61" t="s">
        <v>215</v>
      </c>
      <c r="F77" s="79">
        <v>45626</v>
      </c>
      <c r="G77" s="62" t="s">
        <v>345</v>
      </c>
      <c r="H77" s="59" t="s">
        <v>349</v>
      </c>
      <c r="I77" s="61" t="s">
        <v>312</v>
      </c>
      <c r="J77" s="504">
        <v>650</v>
      </c>
      <c r="K77" s="494">
        <v>0.92464000000000002</v>
      </c>
      <c r="L77" s="78">
        <f t="shared" si="3"/>
        <v>601.01599999999996</v>
      </c>
      <c r="M77" s="59"/>
      <c r="N77" s="63">
        <f t="shared" si="4"/>
        <v>2024</v>
      </c>
      <c r="O77" s="63">
        <f t="shared" si="5"/>
        <v>11</v>
      </c>
      <c r="P77" s="499">
        <v>0</v>
      </c>
    </row>
    <row r="78" spans="1:16" s="58" customFormat="1">
      <c r="A78" s="59">
        <v>74</v>
      </c>
      <c r="B78" s="60" t="s">
        <v>82</v>
      </c>
      <c r="C78" s="60" t="s">
        <v>350</v>
      </c>
      <c r="D78" s="61" t="s">
        <v>308</v>
      </c>
      <c r="E78" s="61" t="s">
        <v>215</v>
      </c>
      <c r="F78" s="79">
        <v>45652</v>
      </c>
      <c r="G78" s="62" t="s">
        <v>345</v>
      </c>
      <c r="H78" s="59" t="s">
        <v>351</v>
      </c>
      <c r="I78" s="61" t="s">
        <v>312</v>
      </c>
      <c r="J78" s="504">
        <v>650</v>
      </c>
      <c r="K78" s="491">
        <v>0.94859000000000004</v>
      </c>
      <c r="L78" s="78">
        <f t="shared" si="3"/>
        <v>616.58350000000007</v>
      </c>
      <c r="M78" s="59"/>
      <c r="N78" s="63">
        <f t="shared" si="4"/>
        <v>2024</v>
      </c>
      <c r="O78" s="63">
        <f t="shared" si="5"/>
        <v>12</v>
      </c>
      <c r="P78" s="499">
        <v>0</v>
      </c>
    </row>
    <row r="79" spans="1:16" s="58" customFormat="1">
      <c r="A79" s="59">
        <v>75</v>
      </c>
      <c r="B79" s="60" t="s">
        <v>82</v>
      </c>
      <c r="C79" s="60" t="s">
        <v>324</v>
      </c>
      <c r="D79" s="61" t="s">
        <v>308</v>
      </c>
      <c r="E79" s="61" t="s">
        <v>325</v>
      </c>
      <c r="F79" s="79">
        <v>45652</v>
      </c>
      <c r="G79" s="62" t="s">
        <v>310</v>
      </c>
      <c r="H79" s="59" t="s">
        <v>352</v>
      </c>
      <c r="I79" s="61" t="s">
        <v>312</v>
      </c>
      <c r="J79" s="504">
        <v>6.5</v>
      </c>
      <c r="K79" s="491">
        <v>0.94859000000000004</v>
      </c>
      <c r="L79" s="78">
        <f t="shared" si="3"/>
        <v>6.1658350000000004</v>
      </c>
      <c r="M79" s="59"/>
      <c r="N79" s="63">
        <f t="shared" si="4"/>
        <v>2024</v>
      </c>
      <c r="O79" s="63">
        <f t="shared" si="5"/>
        <v>12</v>
      </c>
      <c r="P79" s="499">
        <v>0</v>
      </c>
    </row>
    <row r="80" spans="1:16" s="58" customFormat="1">
      <c r="A80" s="59">
        <v>76</v>
      </c>
      <c r="B80" s="60" t="s">
        <v>84</v>
      </c>
      <c r="C80" s="60" t="s">
        <v>320</v>
      </c>
      <c r="D80" s="61" t="s">
        <v>308</v>
      </c>
      <c r="E80" s="59" t="s">
        <v>309</v>
      </c>
      <c r="F80" s="79">
        <v>45624</v>
      </c>
      <c r="G80" s="62" t="s">
        <v>310</v>
      </c>
      <c r="H80" s="59" t="s">
        <v>353</v>
      </c>
      <c r="I80" s="61" t="s">
        <v>312</v>
      </c>
      <c r="J80" s="504">
        <v>2.33</v>
      </c>
      <c r="K80" s="494">
        <v>0.92464000000000002</v>
      </c>
      <c r="L80" s="78">
        <f t="shared" si="3"/>
        <v>2.1544112000000002</v>
      </c>
      <c r="M80" s="59"/>
      <c r="N80" s="63">
        <f t="shared" si="4"/>
        <v>2024</v>
      </c>
      <c r="O80" s="63">
        <f t="shared" si="5"/>
        <v>11</v>
      </c>
      <c r="P80" s="499">
        <v>0</v>
      </c>
    </row>
    <row r="81" spans="1:16" s="58" customFormat="1">
      <c r="A81" s="59">
        <v>77</v>
      </c>
      <c r="B81" s="60" t="s">
        <v>84</v>
      </c>
      <c r="C81" s="60" t="s">
        <v>354</v>
      </c>
      <c r="D81" s="61" t="s">
        <v>308</v>
      </c>
      <c r="E81" s="61" t="s">
        <v>215</v>
      </c>
      <c r="F81" s="79">
        <v>45626</v>
      </c>
      <c r="G81" s="62" t="s">
        <v>355</v>
      </c>
      <c r="H81" s="59" t="s">
        <v>356</v>
      </c>
      <c r="I81" s="61" t="s">
        <v>312</v>
      </c>
      <c r="J81" s="504">
        <v>2303.33</v>
      </c>
      <c r="K81" s="494">
        <v>0.92464000000000002</v>
      </c>
      <c r="L81" s="78">
        <f t="shared" si="3"/>
        <v>2129.7510511999999</v>
      </c>
      <c r="M81" s="59"/>
      <c r="N81" s="63">
        <f t="shared" si="4"/>
        <v>2024</v>
      </c>
      <c r="O81" s="63">
        <f t="shared" si="5"/>
        <v>11</v>
      </c>
      <c r="P81" s="499">
        <v>1</v>
      </c>
    </row>
    <row r="82" spans="1:16" s="58" customFormat="1">
      <c r="A82" s="59">
        <v>78</v>
      </c>
      <c r="B82" s="60" t="s">
        <v>84</v>
      </c>
      <c r="C82" s="60" t="s">
        <v>357</v>
      </c>
      <c r="D82" s="61" t="s">
        <v>308</v>
      </c>
      <c r="E82" s="61" t="s">
        <v>215</v>
      </c>
      <c r="F82" s="79">
        <v>45652</v>
      </c>
      <c r="G82" s="62" t="s">
        <v>355</v>
      </c>
      <c r="H82" s="59" t="s">
        <v>358</v>
      </c>
      <c r="I82" s="61" t="s">
        <v>312</v>
      </c>
      <c r="J82" s="504">
        <v>500</v>
      </c>
      <c r="K82" s="491">
        <v>0.94859000000000004</v>
      </c>
      <c r="L82" s="78">
        <f t="shared" si="3"/>
        <v>474.29500000000002</v>
      </c>
      <c r="M82" s="59"/>
      <c r="N82" s="63">
        <f t="shared" si="4"/>
        <v>2024</v>
      </c>
      <c r="O82" s="63">
        <f t="shared" si="5"/>
        <v>12</v>
      </c>
      <c r="P82" s="499">
        <v>0</v>
      </c>
    </row>
    <row r="83" spans="1:16" s="58" customFormat="1">
      <c r="A83" s="59">
        <v>79</v>
      </c>
      <c r="B83" s="60" t="s">
        <v>84</v>
      </c>
      <c r="C83" s="60" t="s">
        <v>324</v>
      </c>
      <c r="D83" s="61" t="s">
        <v>308</v>
      </c>
      <c r="E83" s="61" t="s">
        <v>325</v>
      </c>
      <c r="F83" s="79">
        <v>45652</v>
      </c>
      <c r="G83" s="62" t="s">
        <v>310</v>
      </c>
      <c r="H83" s="59" t="s">
        <v>359</v>
      </c>
      <c r="I83" s="61" t="s">
        <v>312</v>
      </c>
      <c r="J83" s="504">
        <v>5</v>
      </c>
      <c r="K83" s="491">
        <v>0.94859000000000004</v>
      </c>
      <c r="L83" s="78">
        <f t="shared" si="3"/>
        <v>4.7429500000000004</v>
      </c>
      <c r="M83" s="59"/>
      <c r="N83" s="63">
        <f t="shared" si="4"/>
        <v>2024</v>
      </c>
      <c r="O83" s="63">
        <f t="shared" si="5"/>
        <v>12</v>
      </c>
      <c r="P83" s="499">
        <v>0</v>
      </c>
    </row>
    <row r="84" spans="1:16" s="58" customFormat="1" ht="22.9">
      <c r="A84" s="59">
        <v>80</v>
      </c>
      <c r="B84" s="62" t="s">
        <v>87</v>
      </c>
      <c r="C84" s="62" t="s">
        <v>307</v>
      </c>
      <c r="D84" s="61" t="s">
        <v>308</v>
      </c>
      <c r="E84" s="59" t="s">
        <v>309</v>
      </c>
      <c r="F84" s="79">
        <v>45562</v>
      </c>
      <c r="G84" s="62" t="s">
        <v>310</v>
      </c>
      <c r="H84" s="62" t="s">
        <v>360</v>
      </c>
      <c r="I84" s="61" t="s">
        <v>312</v>
      </c>
      <c r="J84" s="504">
        <v>1.05</v>
      </c>
      <c r="K84" s="494">
        <v>0.90188000000000001</v>
      </c>
      <c r="L84" s="78">
        <f t="shared" si="3"/>
        <v>0.94697400000000009</v>
      </c>
      <c r="M84" s="59"/>
      <c r="N84" s="63">
        <f t="shared" si="4"/>
        <v>2024</v>
      </c>
      <c r="O84" s="63">
        <f t="shared" si="5"/>
        <v>9</v>
      </c>
      <c r="P84" s="499">
        <v>0</v>
      </c>
    </row>
    <row r="85" spans="1:16" s="58" customFormat="1">
      <c r="A85" s="59">
        <v>81</v>
      </c>
      <c r="B85" s="62" t="s">
        <v>87</v>
      </c>
      <c r="C85" s="62" t="s">
        <v>307</v>
      </c>
      <c r="D85" s="61" t="s">
        <v>308</v>
      </c>
      <c r="E85" s="59" t="s">
        <v>309</v>
      </c>
      <c r="F85" s="79">
        <v>45562</v>
      </c>
      <c r="G85" s="62" t="s">
        <v>310</v>
      </c>
      <c r="H85" s="59" t="s">
        <v>361</v>
      </c>
      <c r="I85" s="61" t="s">
        <v>312</v>
      </c>
      <c r="J85" s="504">
        <v>1.05</v>
      </c>
      <c r="K85" s="494">
        <v>0.90188000000000001</v>
      </c>
      <c r="L85" s="78">
        <f t="shared" si="3"/>
        <v>0.94697400000000009</v>
      </c>
      <c r="M85" s="59"/>
      <c r="N85" s="63">
        <f t="shared" si="4"/>
        <v>2024</v>
      </c>
      <c r="O85" s="63">
        <f t="shared" si="5"/>
        <v>9</v>
      </c>
      <c r="P85" s="499">
        <v>0</v>
      </c>
    </row>
    <row r="86" spans="1:16" s="58" customFormat="1" ht="22.9">
      <c r="A86" s="59">
        <v>82</v>
      </c>
      <c r="B86" s="62" t="s">
        <v>87</v>
      </c>
      <c r="C86" s="62" t="s">
        <v>307</v>
      </c>
      <c r="D86" s="61" t="s">
        <v>308</v>
      </c>
      <c r="E86" s="59" t="s">
        <v>309</v>
      </c>
      <c r="F86" s="79">
        <v>45562</v>
      </c>
      <c r="G86" s="62" t="s">
        <v>310</v>
      </c>
      <c r="H86" s="62" t="s">
        <v>362</v>
      </c>
      <c r="I86" s="61" t="s">
        <v>312</v>
      </c>
      <c r="J86" s="504">
        <v>1.52</v>
      </c>
      <c r="K86" s="494">
        <v>0.90188000000000001</v>
      </c>
      <c r="L86" s="78">
        <f t="shared" si="3"/>
        <v>1.3708576000000001</v>
      </c>
      <c r="M86" s="59"/>
      <c r="N86" s="63">
        <f t="shared" si="4"/>
        <v>2024</v>
      </c>
      <c r="O86" s="63">
        <f t="shared" si="5"/>
        <v>9</v>
      </c>
      <c r="P86" s="499">
        <v>0</v>
      </c>
    </row>
    <row r="87" spans="1:16" s="58" customFormat="1">
      <c r="A87" s="59">
        <v>83</v>
      </c>
      <c r="B87" s="62" t="s">
        <v>87</v>
      </c>
      <c r="C87" s="60" t="s">
        <v>307</v>
      </c>
      <c r="D87" s="61" t="s">
        <v>308</v>
      </c>
      <c r="E87" s="59" t="s">
        <v>309</v>
      </c>
      <c r="F87" s="79">
        <v>45562</v>
      </c>
      <c r="G87" s="62" t="s">
        <v>310</v>
      </c>
      <c r="H87" s="59" t="s">
        <v>363</v>
      </c>
      <c r="I87" s="61" t="s">
        <v>312</v>
      </c>
      <c r="J87" s="504">
        <v>1.4</v>
      </c>
      <c r="K87" s="494">
        <v>0.90188000000000001</v>
      </c>
      <c r="L87" s="78">
        <f t="shared" si="3"/>
        <v>1.262632</v>
      </c>
      <c r="M87" s="59"/>
      <c r="N87" s="63">
        <f t="shared" si="4"/>
        <v>2024</v>
      </c>
      <c r="O87" s="63">
        <f t="shared" si="5"/>
        <v>9</v>
      </c>
      <c r="P87" s="499">
        <v>0</v>
      </c>
    </row>
    <row r="88" spans="1:16" s="58" customFormat="1">
      <c r="A88" s="59">
        <v>84</v>
      </c>
      <c r="B88" s="62" t="s">
        <v>87</v>
      </c>
      <c r="C88" s="62" t="s">
        <v>364</v>
      </c>
      <c r="D88" s="61" t="s">
        <v>308</v>
      </c>
      <c r="E88" s="61" t="s">
        <v>215</v>
      </c>
      <c r="F88" s="79">
        <v>45562</v>
      </c>
      <c r="G88" s="62" t="s">
        <v>365</v>
      </c>
      <c r="H88" s="59" t="s">
        <v>366</v>
      </c>
      <c r="I88" s="61" t="s">
        <v>312</v>
      </c>
      <c r="J88" s="504">
        <v>105</v>
      </c>
      <c r="K88" s="494">
        <v>0.90188000000000001</v>
      </c>
      <c r="L88" s="78">
        <f t="shared" si="3"/>
        <v>94.697400000000002</v>
      </c>
      <c r="M88" s="59"/>
      <c r="N88" s="63">
        <f t="shared" si="4"/>
        <v>2024</v>
      </c>
      <c r="O88" s="63">
        <f t="shared" si="5"/>
        <v>9</v>
      </c>
      <c r="P88" s="499">
        <v>0</v>
      </c>
    </row>
    <row r="89" spans="1:16" s="58" customFormat="1">
      <c r="A89" s="59">
        <v>85</v>
      </c>
      <c r="B89" s="62" t="s">
        <v>87</v>
      </c>
      <c r="C89" s="62" t="s">
        <v>367</v>
      </c>
      <c r="D89" s="61" t="s">
        <v>308</v>
      </c>
      <c r="E89" s="61" t="s">
        <v>215</v>
      </c>
      <c r="F89" s="79">
        <v>45562</v>
      </c>
      <c r="G89" s="62" t="s">
        <v>368</v>
      </c>
      <c r="H89" s="59" t="s">
        <v>369</v>
      </c>
      <c r="I89" s="61" t="s">
        <v>312</v>
      </c>
      <c r="J89" s="504">
        <v>105</v>
      </c>
      <c r="K89" s="494">
        <v>0.90188000000000001</v>
      </c>
      <c r="L89" s="78">
        <f t="shared" si="3"/>
        <v>94.697400000000002</v>
      </c>
      <c r="M89" s="59"/>
      <c r="N89" s="63">
        <f t="shared" si="4"/>
        <v>2024</v>
      </c>
      <c r="O89" s="63">
        <f t="shared" si="5"/>
        <v>9</v>
      </c>
      <c r="P89" s="499">
        <v>0</v>
      </c>
    </row>
    <row r="90" spans="1:16" s="58" customFormat="1">
      <c r="A90" s="59">
        <v>86</v>
      </c>
      <c r="B90" s="62" t="s">
        <v>87</v>
      </c>
      <c r="C90" s="60" t="s">
        <v>370</v>
      </c>
      <c r="D90" s="61" t="s">
        <v>308</v>
      </c>
      <c r="E90" s="61" t="s">
        <v>215</v>
      </c>
      <c r="F90" s="79">
        <v>45562</v>
      </c>
      <c r="G90" s="62" t="s">
        <v>371</v>
      </c>
      <c r="H90" s="59" t="s">
        <v>372</v>
      </c>
      <c r="I90" s="61" t="s">
        <v>312</v>
      </c>
      <c r="J90" s="504">
        <v>140</v>
      </c>
      <c r="K90" s="494">
        <v>0.90188000000000001</v>
      </c>
      <c r="L90" s="78">
        <f t="shared" si="3"/>
        <v>126.2632</v>
      </c>
      <c r="M90" s="59"/>
      <c r="N90" s="63">
        <f t="shared" si="4"/>
        <v>2024</v>
      </c>
      <c r="O90" s="63">
        <f t="shared" si="5"/>
        <v>9</v>
      </c>
      <c r="P90" s="499">
        <v>0</v>
      </c>
    </row>
    <row r="91" spans="1:16" s="58" customFormat="1">
      <c r="A91" s="59">
        <v>87</v>
      </c>
      <c r="B91" s="62" t="s">
        <v>87</v>
      </c>
      <c r="C91" s="60" t="s">
        <v>373</v>
      </c>
      <c r="D91" s="61" t="s">
        <v>308</v>
      </c>
      <c r="E91" s="61" t="s">
        <v>215</v>
      </c>
      <c r="F91" s="79">
        <v>45562</v>
      </c>
      <c r="G91" s="62" t="s">
        <v>374</v>
      </c>
      <c r="H91" s="59" t="s">
        <v>375</v>
      </c>
      <c r="I91" s="61" t="s">
        <v>312</v>
      </c>
      <c r="J91" s="504">
        <v>151.66999999999999</v>
      </c>
      <c r="K91" s="494">
        <v>0.90188000000000001</v>
      </c>
      <c r="L91" s="78">
        <f t="shared" si="3"/>
        <v>136.78813959999999</v>
      </c>
      <c r="M91" s="59"/>
      <c r="N91" s="63">
        <f t="shared" si="4"/>
        <v>2024</v>
      </c>
      <c r="O91" s="63">
        <f t="shared" si="5"/>
        <v>9</v>
      </c>
      <c r="P91" s="499">
        <v>0</v>
      </c>
    </row>
    <row r="92" spans="1:16" s="58" customFormat="1">
      <c r="A92" s="59">
        <v>88</v>
      </c>
      <c r="B92" s="62" t="s">
        <v>87</v>
      </c>
      <c r="C92" s="62" t="s">
        <v>318</v>
      </c>
      <c r="D92" s="61" t="s">
        <v>308</v>
      </c>
      <c r="E92" s="59" t="s">
        <v>309</v>
      </c>
      <c r="F92" s="79">
        <v>45596</v>
      </c>
      <c r="G92" s="62" t="s">
        <v>310</v>
      </c>
      <c r="H92" s="59" t="s">
        <v>376</v>
      </c>
      <c r="I92" s="61" t="s">
        <v>312</v>
      </c>
      <c r="J92" s="504">
        <v>3.5</v>
      </c>
      <c r="K92" s="494">
        <v>0.89622000000000002</v>
      </c>
      <c r="L92" s="78">
        <f t="shared" si="3"/>
        <v>3.1367700000000003</v>
      </c>
      <c r="M92" s="59"/>
      <c r="N92" s="63">
        <f t="shared" si="4"/>
        <v>2024</v>
      </c>
      <c r="O92" s="63">
        <f t="shared" si="5"/>
        <v>10</v>
      </c>
      <c r="P92" s="499">
        <v>0</v>
      </c>
    </row>
    <row r="93" spans="1:16" s="58" customFormat="1">
      <c r="A93" s="59">
        <v>89</v>
      </c>
      <c r="B93" s="62" t="s">
        <v>87</v>
      </c>
      <c r="C93" s="60" t="s">
        <v>318</v>
      </c>
      <c r="D93" s="61" t="s">
        <v>308</v>
      </c>
      <c r="E93" s="59" t="s">
        <v>309</v>
      </c>
      <c r="F93" s="79">
        <v>45596</v>
      </c>
      <c r="G93" s="62" t="s">
        <v>310</v>
      </c>
      <c r="H93" s="59" t="s">
        <v>377</v>
      </c>
      <c r="I93" s="61" t="s">
        <v>312</v>
      </c>
      <c r="J93" s="504">
        <v>3.5</v>
      </c>
      <c r="K93" s="494">
        <v>0.89622000000000002</v>
      </c>
      <c r="L93" s="78">
        <f t="shared" si="3"/>
        <v>3.1367700000000003</v>
      </c>
      <c r="M93" s="59"/>
      <c r="N93" s="63">
        <f t="shared" si="4"/>
        <v>2024</v>
      </c>
      <c r="O93" s="63">
        <f t="shared" si="5"/>
        <v>10</v>
      </c>
      <c r="P93" s="499">
        <v>0</v>
      </c>
    </row>
    <row r="94" spans="1:16" s="58" customFormat="1" ht="22.9">
      <c r="A94" s="59">
        <v>90</v>
      </c>
      <c r="B94" s="62" t="s">
        <v>87</v>
      </c>
      <c r="C94" s="62" t="s">
        <v>318</v>
      </c>
      <c r="D94" s="61" t="s">
        <v>308</v>
      </c>
      <c r="E94" s="59" t="s">
        <v>309</v>
      </c>
      <c r="F94" s="79">
        <v>45596</v>
      </c>
      <c r="G94" s="62" t="s">
        <v>310</v>
      </c>
      <c r="H94" s="62" t="s">
        <v>378</v>
      </c>
      <c r="I94" s="61" t="s">
        <v>312</v>
      </c>
      <c r="J94" s="504">
        <v>0.93</v>
      </c>
      <c r="K94" s="494">
        <v>0.89622000000000002</v>
      </c>
      <c r="L94" s="78">
        <f t="shared" si="3"/>
        <v>0.83348460000000002</v>
      </c>
      <c r="M94" s="59"/>
      <c r="N94" s="63">
        <f t="shared" si="4"/>
        <v>2024</v>
      </c>
      <c r="O94" s="63">
        <f t="shared" si="5"/>
        <v>10</v>
      </c>
      <c r="P94" s="499">
        <v>0</v>
      </c>
    </row>
    <row r="95" spans="1:16" s="58" customFormat="1">
      <c r="A95" s="59">
        <v>91</v>
      </c>
      <c r="B95" s="62" t="s">
        <v>87</v>
      </c>
      <c r="C95" s="62" t="s">
        <v>379</v>
      </c>
      <c r="D95" s="61" t="s">
        <v>308</v>
      </c>
      <c r="E95" s="61" t="s">
        <v>215</v>
      </c>
      <c r="F95" s="79">
        <v>45596</v>
      </c>
      <c r="G95" s="62" t="s">
        <v>374</v>
      </c>
      <c r="H95" s="59" t="s">
        <v>380</v>
      </c>
      <c r="I95" s="61" t="s">
        <v>312</v>
      </c>
      <c r="J95" s="504">
        <v>350</v>
      </c>
      <c r="K95" s="494">
        <v>0.89622000000000002</v>
      </c>
      <c r="L95" s="78">
        <f t="shared" si="3"/>
        <v>313.67700000000002</v>
      </c>
      <c r="M95" s="59"/>
      <c r="N95" s="63">
        <f t="shared" si="4"/>
        <v>2024</v>
      </c>
      <c r="O95" s="63">
        <f t="shared" si="5"/>
        <v>10</v>
      </c>
      <c r="P95" s="499">
        <v>0</v>
      </c>
    </row>
    <row r="96" spans="1:16" s="58" customFormat="1">
      <c r="A96" s="59">
        <v>92</v>
      </c>
      <c r="B96" s="62" t="s">
        <v>87</v>
      </c>
      <c r="C96" s="62" t="s">
        <v>381</v>
      </c>
      <c r="D96" s="61" t="s">
        <v>308</v>
      </c>
      <c r="E96" s="61" t="s">
        <v>215</v>
      </c>
      <c r="F96" s="79">
        <v>45596</v>
      </c>
      <c r="G96" s="62" t="s">
        <v>365</v>
      </c>
      <c r="H96" s="59" t="s">
        <v>382</v>
      </c>
      <c r="I96" s="61" t="s">
        <v>312</v>
      </c>
      <c r="J96" s="504">
        <v>338.33</v>
      </c>
      <c r="K96" s="494">
        <v>0.89622000000000002</v>
      </c>
      <c r="L96" s="78">
        <f t="shared" si="3"/>
        <v>303.21811259999998</v>
      </c>
      <c r="M96" s="59"/>
      <c r="N96" s="63">
        <f t="shared" si="4"/>
        <v>2024</v>
      </c>
      <c r="O96" s="63">
        <f t="shared" si="5"/>
        <v>10</v>
      </c>
      <c r="P96" s="499">
        <v>0</v>
      </c>
    </row>
    <row r="97" spans="1:16" s="58" customFormat="1">
      <c r="A97" s="59">
        <v>93</v>
      </c>
      <c r="B97" s="62" t="s">
        <v>87</v>
      </c>
      <c r="C97" s="62" t="s">
        <v>383</v>
      </c>
      <c r="D97" s="61" t="s">
        <v>308</v>
      </c>
      <c r="E97" s="61" t="s">
        <v>215</v>
      </c>
      <c r="F97" s="79">
        <v>45596</v>
      </c>
      <c r="G97" s="62" t="s">
        <v>371</v>
      </c>
      <c r="H97" s="59" t="s">
        <v>384</v>
      </c>
      <c r="I97" s="61" t="s">
        <v>312</v>
      </c>
      <c r="J97" s="504">
        <v>350</v>
      </c>
      <c r="K97" s="494">
        <v>0.89622000000000002</v>
      </c>
      <c r="L97" s="78">
        <f t="shared" si="3"/>
        <v>313.67700000000002</v>
      </c>
      <c r="M97" s="59"/>
      <c r="N97" s="63">
        <f t="shared" si="4"/>
        <v>2024</v>
      </c>
      <c r="O97" s="63">
        <f t="shared" si="5"/>
        <v>10</v>
      </c>
      <c r="P97" s="499">
        <v>0</v>
      </c>
    </row>
    <row r="98" spans="1:16" s="58" customFormat="1">
      <c r="A98" s="59">
        <v>94</v>
      </c>
      <c r="B98" s="62" t="s">
        <v>87</v>
      </c>
      <c r="C98" s="60" t="s">
        <v>318</v>
      </c>
      <c r="D98" s="61" t="s">
        <v>308</v>
      </c>
      <c r="E98" s="59" t="s">
        <v>309</v>
      </c>
      <c r="F98" s="79">
        <v>45596</v>
      </c>
      <c r="G98" s="62" t="s">
        <v>310</v>
      </c>
      <c r="H98" s="59" t="s">
        <v>385</v>
      </c>
      <c r="I98" s="61" t="s">
        <v>312</v>
      </c>
      <c r="J98" s="504">
        <v>3.38</v>
      </c>
      <c r="K98" s="494">
        <v>0.89622000000000002</v>
      </c>
      <c r="L98" s="78">
        <f t="shared" si="3"/>
        <v>3.0292235999999999</v>
      </c>
      <c r="M98" s="59"/>
      <c r="N98" s="63">
        <f t="shared" si="4"/>
        <v>2024</v>
      </c>
      <c r="O98" s="63">
        <f t="shared" si="5"/>
        <v>10</v>
      </c>
      <c r="P98" s="499">
        <v>0</v>
      </c>
    </row>
    <row r="99" spans="1:16" s="58" customFormat="1">
      <c r="A99" s="59">
        <v>95</v>
      </c>
      <c r="B99" s="62" t="s">
        <v>87</v>
      </c>
      <c r="C99" s="60" t="s">
        <v>386</v>
      </c>
      <c r="D99" s="61" t="s">
        <v>308</v>
      </c>
      <c r="E99" s="61" t="s">
        <v>215</v>
      </c>
      <c r="F99" s="79">
        <v>45596</v>
      </c>
      <c r="G99" s="62" t="s">
        <v>368</v>
      </c>
      <c r="H99" s="59" t="s">
        <v>387</v>
      </c>
      <c r="I99" s="61" t="s">
        <v>312</v>
      </c>
      <c r="J99" s="504">
        <v>93.33</v>
      </c>
      <c r="K99" s="494">
        <v>0.89622000000000002</v>
      </c>
      <c r="L99" s="78">
        <f t="shared" si="3"/>
        <v>83.644212600000003</v>
      </c>
      <c r="M99" s="59"/>
      <c r="N99" s="63">
        <f t="shared" si="4"/>
        <v>2024</v>
      </c>
      <c r="O99" s="63">
        <f t="shared" si="5"/>
        <v>10</v>
      </c>
      <c r="P99" s="499">
        <v>0</v>
      </c>
    </row>
    <row r="100" spans="1:16" s="58" customFormat="1">
      <c r="A100" s="59">
        <v>96</v>
      </c>
      <c r="B100" s="62" t="s">
        <v>87</v>
      </c>
      <c r="C100" s="62" t="s">
        <v>320</v>
      </c>
      <c r="D100" s="61" t="s">
        <v>308</v>
      </c>
      <c r="E100" s="59" t="s">
        <v>309</v>
      </c>
      <c r="F100" s="79">
        <v>45624</v>
      </c>
      <c r="G100" s="62" t="s">
        <v>310</v>
      </c>
      <c r="H100" s="59" t="s">
        <v>388</v>
      </c>
      <c r="I100" s="61" t="s">
        <v>312</v>
      </c>
      <c r="J100" s="504">
        <v>3.5</v>
      </c>
      <c r="K100" s="494">
        <v>0.92464000000000002</v>
      </c>
      <c r="L100" s="78">
        <f t="shared" si="3"/>
        <v>3.23624</v>
      </c>
      <c r="M100" s="59"/>
      <c r="N100" s="63">
        <f t="shared" si="4"/>
        <v>2024</v>
      </c>
      <c r="O100" s="63">
        <f t="shared" si="5"/>
        <v>11</v>
      </c>
      <c r="P100" s="499">
        <v>0</v>
      </c>
    </row>
    <row r="101" spans="1:16" s="58" customFormat="1">
      <c r="A101" s="59">
        <v>97</v>
      </c>
      <c r="B101" s="62" t="s">
        <v>87</v>
      </c>
      <c r="C101" s="62" t="s">
        <v>320</v>
      </c>
      <c r="D101" s="61" t="s">
        <v>308</v>
      </c>
      <c r="E101" s="59" t="s">
        <v>309</v>
      </c>
      <c r="F101" s="79">
        <v>45624</v>
      </c>
      <c r="G101" s="62" t="s">
        <v>310</v>
      </c>
      <c r="H101" s="59" t="s">
        <v>389</v>
      </c>
      <c r="I101" s="61" t="s">
        <v>312</v>
      </c>
      <c r="J101" s="504">
        <v>3.5</v>
      </c>
      <c r="K101" s="494">
        <v>0.92464000000000002</v>
      </c>
      <c r="L101" s="78">
        <f t="shared" si="3"/>
        <v>3.23624</v>
      </c>
      <c r="M101" s="59"/>
      <c r="N101" s="63">
        <f t="shared" si="4"/>
        <v>2024</v>
      </c>
      <c r="O101" s="63">
        <f t="shared" si="5"/>
        <v>11</v>
      </c>
      <c r="P101" s="499">
        <v>0</v>
      </c>
    </row>
    <row r="102" spans="1:16" s="58" customFormat="1">
      <c r="A102" s="59">
        <v>98</v>
      </c>
      <c r="B102" s="62" t="s">
        <v>87</v>
      </c>
      <c r="C102" s="62" t="s">
        <v>320</v>
      </c>
      <c r="D102" s="61" t="s">
        <v>308</v>
      </c>
      <c r="E102" s="59" t="s">
        <v>309</v>
      </c>
      <c r="F102" s="79">
        <v>45624</v>
      </c>
      <c r="G102" s="62" t="s">
        <v>310</v>
      </c>
      <c r="H102" s="59" t="s">
        <v>390</v>
      </c>
      <c r="I102" s="61" t="s">
        <v>312</v>
      </c>
      <c r="J102" s="504">
        <v>3.5</v>
      </c>
      <c r="K102" s="494">
        <v>0.92464000000000002</v>
      </c>
      <c r="L102" s="78">
        <f t="shared" si="3"/>
        <v>3.23624</v>
      </c>
      <c r="M102" s="59"/>
      <c r="N102" s="63">
        <f t="shared" si="4"/>
        <v>2024</v>
      </c>
      <c r="O102" s="63">
        <f t="shared" si="5"/>
        <v>11</v>
      </c>
      <c r="P102" s="499">
        <v>0</v>
      </c>
    </row>
    <row r="103" spans="1:16" s="58" customFormat="1">
      <c r="A103" s="59">
        <v>99</v>
      </c>
      <c r="B103" s="62" t="s">
        <v>87</v>
      </c>
      <c r="C103" s="62" t="s">
        <v>391</v>
      </c>
      <c r="D103" s="61" t="s">
        <v>308</v>
      </c>
      <c r="E103" s="61" t="s">
        <v>215</v>
      </c>
      <c r="F103" s="79">
        <v>45626</v>
      </c>
      <c r="G103" s="62" t="s">
        <v>374</v>
      </c>
      <c r="H103" s="59" t="s">
        <v>392</v>
      </c>
      <c r="I103" s="61" t="s">
        <v>312</v>
      </c>
      <c r="J103" s="504">
        <v>350</v>
      </c>
      <c r="K103" s="494">
        <v>0.92464000000000002</v>
      </c>
      <c r="L103" s="78">
        <f t="shared" si="3"/>
        <v>323.62400000000002</v>
      </c>
      <c r="M103" s="59"/>
      <c r="N103" s="63">
        <f t="shared" si="4"/>
        <v>2024</v>
      </c>
      <c r="O103" s="63">
        <f t="shared" si="5"/>
        <v>11</v>
      </c>
      <c r="P103" s="499">
        <v>0</v>
      </c>
    </row>
    <row r="104" spans="1:16" s="58" customFormat="1">
      <c r="A104" s="59">
        <v>100</v>
      </c>
      <c r="B104" s="62" t="s">
        <v>87</v>
      </c>
      <c r="C104" s="62" t="s">
        <v>393</v>
      </c>
      <c r="D104" s="61" t="s">
        <v>308</v>
      </c>
      <c r="E104" s="61" t="s">
        <v>215</v>
      </c>
      <c r="F104" s="79">
        <v>45626</v>
      </c>
      <c r="G104" s="62" t="s">
        <v>371</v>
      </c>
      <c r="H104" s="59" t="s">
        <v>394</v>
      </c>
      <c r="I104" s="61" t="s">
        <v>312</v>
      </c>
      <c r="J104" s="504">
        <v>350</v>
      </c>
      <c r="K104" s="494">
        <v>0.92464000000000002</v>
      </c>
      <c r="L104" s="78">
        <f t="shared" si="3"/>
        <v>323.62400000000002</v>
      </c>
      <c r="M104" s="59"/>
      <c r="N104" s="63">
        <f t="shared" si="4"/>
        <v>2024</v>
      </c>
      <c r="O104" s="63">
        <f t="shared" si="5"/>
        <v>11</v>
      </c>
      <c r="P104" s="499">
        <v>0</v>
      </c>
    </row>
    <row r="105" spans="1:16" s="58" customFormat="1">
      <c r="A105" s="59">
        <v>101</v>
      </c>
      <c r="B105" s="62" t="s">
        <v>87</v>
      </c>
      <c r="C105" s="62" t="s">
        <v>395</v>
      </c>
      <c r="D105" s="61" t="s">
        <v>308</v>
      </c>
      <c r="E105" s="61" t="s">
        <v>215</v>
      </c>
      <c r="F105" s="79">
        <v>45626</v>
      </c>
      <c r="G105" s="62" t="s">
        <v>365</v>
      </c>
      <c r="H105" s="59" t="s">
        <v>396</v>
      </c>
      <c r="I105" s="61" t="s">
        <v>312</v>
      </c>
      <c r="J105" s="504">
        <v>350</v>
      </c>
      <c r="K105" s="494">
        <v>0.92464000000000002</v>
      </c>
      <c r="L105" s="78">
        <f t="shared" si="3"/>
        <v>323.62400000000002</v>
      </c>
      <c r="M105" s="59"/>
      <c r="N105" s="63">
        <f t="shared" si="4"/>
        <v>2024</v>
      </c>
      <c r="O105" s="63">
        <f t="shared" si="5"/>
        <v>11</v>
      </c>
      <c r="P105" s="499">
        <v>0</v>
      </c>
    </row>
    <row r="106" spans="1:16" s="58" customFormat="1">
      <c r="A106" s="59">
        <v>102</v>
      </c>
      <c r="B106" s="62" t="s">
        <v>87</v>
      </c>
      <c r="C106" s="62" t="s">
        <v>397</v>
      </c>
      <c r="D106" s="61" t="s">
        <v>308</v>
      </c>
      <c r="E106" s="61" t="s">
        <v>215</v>
      </c>
      <c r="F106" s="79">
        <v>45652</v>
      </c>
      <c r="G106" s="62" t="s">
        <v>398</v>
      </c>
      <c r="H106" s="59" t="s">
        <v>399</v>
      </c>
      <c r="I106" s="61" t="s">
        <v>312</v>
      </c>
      <c r="J106" s="504">
        <v>350</v>
      </c>
      <c r="K106" s="491">
        <v>0.94859000000000004</v>
      </c>
      <c r="L106" s="78">
        <f t="shared" si="3"/>
        <v>332.00650000000002</v>
      </c>
      <c r="M106" s="59"/>
      <c r="N106" s="63">
        <f t="shared" si="4"/>
        <v>2024</v>
      </c>
      <c r="O106" s="63">
        <f t="shared" si="5"/>
        <v>12</v>
      </c>
      <c r="P106" s="499">
        <v>0</v>
      </c>
    </row>
    <row r="107" spans="1:16" s="58" customFormat="1">
      <c r="A107" s="59">
        <v>103</v>
      </c>
      <c r="B107" s="62" t="s">
        <v>87</v>
      </c>
      <c r="C107" s="62" t="s">
        <v>400</v>
      </c>
      <c r="D107" s="61" t="s">
        <v>308</v>
      </c>
      <c r="E107" s="61" t="s">
        <v>215</v>
      </c>
      <c r="F107" s="79">
        <v>45652</v>
      </c>
      <c r="G107" s="62" t="s">
        <v>374</v>
      </c>
      <c r="H107" s="59" t="s">
        <v>401</v>
      </c>
      <c r="I107" s="61" t="s">
        <v>312</v>
      </c>
      <c r="J107" s="504">
        <v>350</v>
      </c>
      <c r="K107" s="491">
        <v>0.94859000000000004</v>
      </c>
      <c r="L107" s="78">
        <f t="shared" si="3"/>
        <v>332.00650000000002</v>
      </c>
      <c r="M107" s="59"/>
      <c r="N107" s="63">
        <f t="shared" si="4"/>
        <v>2024</v>
      </c>
      <c r="O107" s="63">
        <f t="shared" si="5"/>
        <v>12</v>
      </c>
      <c r="P107" s="499">
        <v>0</v>
      </c>
    </row>
    <row r="108" spans="1:16" s="58" customFormat="1">
      <c r="A108" s="59">
        <v>104</v>
      </c>
      <c r="B108" s="62" t="s">
        <v>87</v>
      </c>
      <c r="C108" s="62" t="s">
        <v>402</v>
      </c>
      <c r="D108" s="61" t="s">
        <v>308</v>
      </c>
      <c r="E108" s="61" t="s">
        <v>215</v>
      </c>
      <c r="F108" s="79">
        <v>45652</v>
      </c>
      <c r="G108" s="62" t="s">
        <v>371</v>
      </c>
      <c r="H108" s="59" t="s">
        <v>403</v>
      </c>
      <c r="I108" s="61" t="s">
        <v>312</v>
      </c>
      <c r="J108" s="504">
        <v>350</v>
      </c>
      <c r="K108" s="491">
        <v>0.94859000000000004</v>
      </c>
      <c r="L108" s="78">
        <f t="shared" si="3"/>
        <v>332.00650000000002</v>
      </c>
      <c r="M108" s="59"/>
      <c r="N108" s="63">
        <f t="shared" si="4"/>
        <v>2024</v>
      </c>
      <c r="O108" s="63">
        <f t="shared" si="5"/>
        <v>12</v>
      </c>
      <c r="P108" s="499">
        <v>0</v>
      </c>
    </row>
    <row r="109" spans="1:16" s="58" customFormat="1">
      <c r="A109" s="59">
        <v>105</v>
      </c>
      <c r="B109" s="62" t="s">
        <v>87</v>
      </c>
      <c r="C109" s="62" t="s">
        <v>404</v>
      </c>
      <c r="D109" s="61" t="s">
        <v>308</v>
      </c>
      <c r="E109" s="61" t="s">
        <v>215</v>
      </c>
      <c r="F109" s="79">
        <v>45652</v>
      </c>
      <c r="G109" s="62" t="s">
        <v>365</v>
      </c>
      <c r="H109" s="59" t="s">
        <v>405</v>
      </c>
      <c r="I109" s="61" t="s">
        <v>312</v>
      </c>
      <c r="J109" s="504">
        <v>350</v>
      </c>
      <c r="K109" s="491">
        <v>0.94859000000000004</v>
      </c>
      <c r="L109" s="78">
        <f t="shared" si="3"/>
        <v>332.00650000000002</v>
      </c>
      <c r="M109" s="59"/>
      <c r="N109" s="63">
        <f t="shared" si="4"/>
        <v>2024</v>
      </c>
      <c r="O109" s="63">
        <f t="shared" si="5"/>
        <v>12</v>
      </c>
      <c r="P109" s="499">
        <v>0</v>
      </c>
    </row>
    <row r="110" spans="1:16" s="58" customFormat="1">
      <c r="A110" s="59">
        <v>106</v>
      </c>
      <c r="B110" s="62" t="s">
        <v>87</v>
      </c>
      <c r="C110" s="62" t="s">
        <v>324</v>
      </c>
      <c r="D110" s="61" t="s">
        <v>308</v>
      </c>
      <c r="E110" s="61" t="s">
        <v>325</v>
      </c>
      <c r="F110" s="79">
        <v>45652</v>
      </c>
      <c r="G110" s="62" t="s">
        <v>310</v>
      </c>
      <c r="H110" s="59" t="s">
        <v>406</v>
      </c>
      <c r="I110" s="61" t="s">
        <v>312</v>
      </c>
      <c r="J110" s="504">
        <v>3.5</v>
      </c>
      <c r="K110" s="491">
        <v>0.94859000000000004</v>
      </c>
      <c r="L110" s="78">
        <f t="shared" si="3"/>
        <v>3.320065</v>
      </c>
      <c r="M110" s="59"/>
      <c r="N110" s="63">
        <f t="shared" si="4"/>
        <v>2024</v>
      </c>
      <c r="O110" s="63">
        <f t="shared" si="5"/>
        <v>12</v>
      </c>
      <c r="P110" s="499">
        <v>0</v>
      </c>
    </row>
    <row r="111" spans="1:16" s="58" customFormat="1">
      <c r="A111" s="59">
        <v>107</v>
      </c>
      <c r="B111" s="62" t="s">
        <v>87</v>
      </c>
      <c r="C111" s="62" t="s">
        <v>324</v>
      </c>
      <c r="D111" s="61" t="s">
        <v>308</v>
      </c>
      <c r="E111" s="61" t="s">
        <v>325</v>
      </c>
      <c r="F111" s="79">
        <v>45652</v>
      </c>
      <c r="G111" s="62" t="s">
        <v>310</v>
      </c>
      <c r="H111" s="59" t="s">
        <v>407</v>
      </c>
      <c r="I111" s="61" t="s">
        <v>312</v>
      </c>
      <c r="J111" s="504">
        <v>3.5</v>
      </c>
      <c r="K111" s="491">
        <v>0.94859000000000004</v>
      </c>
      <c r="L111" s="78">
        <f t="shared" si="3"/>
        <v>3.320065</v>
      </c>
      <c r="M111" s="59"/>
      <c r="N111" s="63">
        <f t="shared" si="4"/>
        <v>2024</v>
      </c>
      <c r="O111" s="63">
        <f t="shared" si="5"/>
        <v>12</v>
      </c>
      <c r="P111" s="499">
        <v>0</v>
      </c>
    </row>
    <row r="112" spans="1:16" s="58" customFormat="1">
      <c r="A112" s="59">
        <v>108</v>
      </c>
      <c r="B112" s="62" t="s">
        <v>87</v>
      </c>
      <c r="C112" s="62" t="s">
        <v>324</v>
      </c>
      <c r="D112" s="61" t="s">
        <v>308</v>
      </c>
      <c r="E112" s="61" t="s">
        <v>325</v>
      </c>
      <c r="F112" s="79">
        <v>45652</v>
      </c>
      <c r="G112" s="62" t="s">
        <v>310</v>
      </c>
      <c r="H112" s="59" t="s">
        <v>408</v>
      </c>
      <c r="I112" s="61" t="s">
        <v>312</v>
      </c>
      <c r="J112" s="504">
        <v>3.5</v>
      </c>
      <c r="K112" s="491">
        <v>0.94859000000000004</v>
      </c>
      <c r="L112" s="78">
        <f t="shared" si="3"/>
        <v>3.320065</v>
      </c>
      <c r="M112" s="59"/>
      <c r="N112" s="63">
        <f t="shared" si="4"/>
        <v>2024</v>
      </c>
      <c r="O112" s="63">
        <f t="shared" si="5"/>
        <v>12</v>
      </c>
      <c r="P112" s="499">
        <v>0</v>
      </c>
    </row>
    <row r="113" spans="1:16" s="58" customFormat="1">
      <c r="A113" s="59">
        <v>109</v>
      </c>
      <c r="B113" s="62" t="s">
        <v>87</v>
      </c>
      <c r="C113" s="60" t="s">
        <v>324</v>
      </c>
      <c r="D113" s="61" t="s">
        <v>308</v>
      </c>
      <c r="E113" s="61" t="s">
        <v>325</v>
      </c>
      <c r="F113" s="79">
        <v>45652</v>
      </c>
      <c r="G113" s="62" t="s">
        <v>310</v>
      </c>
      <c r="H113" s="59" t="s">
        <v>409</v>
      </c>
      <c r="I113" s="61" t="s">
        <v>312</v>
      </c>
      <c r="J113" s="504">
        <v>3.5</v>
      </c>
      <c r="K113" s="491">
        <v>0.94859000000000004</v>
      </c>
      <c r="L113" s="78">
        <f t="shared" si="3"/>
        <v>3.320065</v>
      </c>
      <c r="M113" s="59"/>
      <c r="N113" s="63">
        <f t="shared" si="4"/>
        <v>2024</v>
      </c>
      <c r="O113" s="63">
        <f t="shared" si="5"/>
        <v>12</v>
      </c>
      <c r="P113" s="499">
        <v>0</v>
      </c>
    </row>
    <row r="114" spans="1:16" s="58" customFormat="1">
      <c r="A114" s="59">
        <v>110</v>
      </c>
      <c r="B114" s="60" t="s">
        <v>89</v>
      </c>
      <c r="C114" s="60" t="s">
        <v>410</v>
      </c>
      <c r="D114" s="61" t="s">
        <v>308</v>
      </c>
      <c r="E114" s="61" t="s">
        <v>215</v>
      </c>
      <c r="F114" s="79">
        <v>45596</v>
      </c>
      <c r="G114" s="62" t="s">
        <v>411</v>
      </c>
      <c r="H114" s="59" t="s">
        <v>412</v>
      </c>
      <c r="I114" s="61" t="s">
        <v>312</v>
      </c>
      <c r="J114" s="504">
        <v>186.67</v>
      </c>
      <c r="K114" s="494">
        <v>0.89622000000000002</v>
      </c>
      <c r="L114" s="78">
        <f t="shared" si="3"/>
        <v>167.29738739999999</v>
      </c>
      <c r="M114" s="59"/>
      <c r="N114" s="63">
        <f t="shared" si="4"/>
        <v>2024</v>
      </c>
      <c r="O114" s="63">
        <f t="shared" si="5"/>
        <v>10</v>
      </c>
      <c r="P114" s="499">
        <v>0</v>
      </c>
    </row>
    <row r="115" spans="1:16" s="58" customFormat="1" ht="22.9">
      <c r="A115" s="59">
        <v>111</v>
      </c>
      <c r="B115" s="60" t="s">
        <v>89</v>
      </c>
      <c r="C115" s="60" t="s">
        <v>318</v>
      </c>
      <c r="D115" s="61" t="s">
        <v>308</v>
      </c>
      <c r="E115" s="59" t="s">
        <v>309</v>
      </c>
      <c r="F115" s="79">
        <v>45596</v>
      </c>
      <c r="G115" s="62" t="s">
        <v>310</v>
      </c>
      <c r="H115" s="60" t="s">
        <v>413</v>
      </c>
      <c r="I115" s="61" t="s">
        <v>312</v>
      </c>
      <c r="J115" s="504">
        <v>2.68</v>
      </c>
      <c r="K115" s="494">
        <v>0.89622000000000002</v>
      </c>
      <c r="L115" s="78">
        <f t="shared" si="3"/>
        <v>2.4018696000000004</v>
      </c>
      <c r="M115" s="59"/>
      <c r="N115" s="63">
        <f t="shared" si="4"/>
        <v>2024</v>
      </c>
      <c r="O115" s="63">
        <f t="shared" si="5"/>
        <v>10</v>
      </c>
      <c r="P115" s="499">
        <v>0</v>
      </c>
    </row>
    <row r="116" spans="1:16" s="58" customFormat="1" ht="22.9">
      <c r="A116" s="59">
        <v>112</v>
      </c>
      <c r="B116" s="60" t="s">
        <v>89</v>
      </c>
      <c r="C116" s="60" t="s">
        <v>318</v>
      </c>
      <c r="D116" s="61" t="s">
        <v>308</v>
      </c>
      <c r="E116" s="59" t="s">
        <v>309</v>
      </c>
      <c r="F116" s="79">
        <v>45596</v>
      </c>
      <c r="G116" s="62" t="s">
        <v>310</v>
      </c>
      <c r="H116" s="62" t="s">
        <v>414</v>
      </c>
      <c r="I116" s="61" t="s">
        <v>312</v>
      </c>
      <c r="J116" s="504">
        <v>1.87</v>
      </c>
      <c r="K116" s="494">
        <v>0.89622000000000002</v>
      </c>
      <c r="L116" s="78">
        <f t="shared" si="3"/>
        <v>1.6759314000000001</v>
      </c>
      <c r="M116" s="59"/>
      <c r="N116" s="63">
        <f t="shared" si="4"/>
        <v>2024</v>
      </c>
      <c r="O116" s="63">
        <f t="shared" si="5"/>
        <v>10</v>
      </c>
      <c r="P116" s="499">
        <v>0</v>
      </c>
    </row>
    <row r="117" spans="1:16" s="58" customFormat="1">
      <c r="A117" s="59">
        <v>113</v>
      </c>
      <c r="B117" s="60" t="s">
        <v>89</v>
      </c>
      <c r="C117" s="60" t="s">
        <v>318</v>
      </c>
      <c r="D117" s="61" t="s">
        <v>308</v>
      </c>
      <c r="E117" s="59" t="s">
        <v>309</v>
      </c>
      <c r="F117" s="79">
        <v>45596</v>
      </c>
      <c r="G117" s="62" t="s">
        <v>310</v>
      </c>
      <c r="H117" s="59" t="s">
        <v>415</v>
      </c>
      <c r="I117" s="61" t="s">
        <v>312</v>
      </c>
      <c r="J117" s="504">
        <v>0.58330000000000004</v>
      </c>
      <c r="K117" s="494">
        <v>0.89622000000000002</v>
      </c>
      <c r="L117" s="78">
        <f t="shared" si="3"/>
        <v>0.52276512600000002</v>
      </c>
      <c r="M117" s="59"/>
      <c r="N117" s="63">
        <f t="shared" si="4"/>
        <v>2024</v>
      </c>
      <c r="O117" s="63">
        <f t="shared" si="5"/>
        <v>10</v>
      </c>
      <c r="P117" s="499">
        <v>0</v>
      </c>
    </row>
    <row r="118" spans="1:16" s="58" customFormat="1">
      <c r="A118" s="59">
        <v>114</v>
      </c>
      <c r="B118" s="60" t="s">
        <v>89</v>
      </c>
      <c r="C118" s="60" t="s">
        <v>416</v>
      </c>
      <c r="D118" s="61" t="s">
        <v>308</v>
      </c>
      <c r="E118" s="61" t="s">
        <v>215</v>
      </c>
      <c r="F118" s="79">
        <v>45596</v>
      </c>
      <c r="G118" s="62" t="s">
        <v>417</v>
      </c>
      <c r="H118" s="59" t="s">
        <v>418</v>
      </c>
      <c r="I118" s="61" t="s">
        <v>312</v>
      </c>
      <c r="J118" s="504">
        <v>58.33</v>
      </c>
      <c r="K118" s="494">
        <v>0.89622000000000002</v>
      </c>
      <c r="L118" s="78">
        <f t="shared" si="3"/>
        <v>52.276512599999997</v>
      </c>
      <c r="M118" s="59"/>
      <c r="N118" s="63">
        <f t="shared" si="4"/>
        <v>2024</v>
      </c>
      <c r="O118" s="63">
        <f t="shared" si="5"/>
        <v>10</v>
      </c>
      <c r="P118" s="499">
        <v>0</v>
      </c>
    </row>
    <row r="119" spans="1:16" s="58" customFormat="1">
      <c r="A119" s="59">
        <v>115</v>
      </c>
      <c r="B119" s="60" t="s">
        <v>89</v>
      </c>
      <c r="C119" s="60" t="s">
        <v>419</v>
      </c>
      <c r="D119" s="61" t="s">
        <v>308</v>
      </c>
      <c r="E119" s="61" t="s">
        <v>215</v>
      </c>
      <c r="F119" s="79">
        <v>45596</v>
      </c>
      <c r="G119" s="60" t="s">
        <v>420</v>
      </c>
      <c r="H119" s="59" t="s">
        <v>421</v>
      </c>
      <c r="I119" s="61" t="s">
        <v>312</v>
      </c>
      <c r="J119" s="504">
        <v>268.33</v>
      </c>
      <c r="K119" s="494">
        <v>0.89622000000000002</v>
      </c>
      <c r="L119" s="78">
        <f t="shared" si="3"/>
        <v>240.48271259999999</v>
      </c>
      <c r="M119" s="59"/>
      <c r="N119" s="63">
        <f t="shared" si="4"/>
        <v>2024</v>
      </c>
      <c r="O119" s="63">
        <f t="shared" si="5"/>
        <v>10</v>
      </c>
      <c r="P119" s="499">
        <v>0</v>
      </c>
    </row>
    <row r="120" spans="1:16" s="58" customFormat="1" ht="22.9">
      <c r="A120" s="59">
        <v>116</v>
      </c>
      <c r="B120" s="60" t="s">
        <v>89</v>
      </c>
      <c r="C120" s="60" t="s">
        <v>320</v>
      </c>
      <c r="D120" s="61" t="s">
        <v>308</v>
      </c>
      <c r="E120" s="59" t="s">
        <v>309</v>
      </c>
      <c r="F120" s="79">
        <v>45624</v>
      </c>
      <c r="G120" s="62" t="s">
        <v>310</v>
      </c>
      <c r="H120" s="62" t="s">
        <v>422</v>
      </c>
      <c r="I120" s="61" t="s">
        <v>312</v>
      </c>
      <c r="J120" s="504">
        <v>3.27</v>
      </c>
      <c r="K120" s="491">
        <v>0.92464000000000002</v>
      </c>
      <c r="L120" s="78">
        <f t="shared" si="3"/>
        <v>3.0235728000000002</v>
      </c>
      <c r="M120" s="59"/>
      <c r="N120" s="63">
        <f t="shared" si="4"/>
        <v>2024</v>
      </c>
      <c r="O120" s="63">
        <f t="shared" si="5"/>
        <v>11</v>
      </c>
      <c r="P120" s="499">
        <v>0</v>
      </c>
    </row>
    <row r="121" spans="1:16" s="58" customFormat="1">
      <c r="A121" s="59">
        <v>117</v>
      </c>
      <c r="B121" s="60" t="s">
        <v>89</v>
      </c>
      <c r="C121" s="60" t="s">
        <v>320</v>
      </c>
      <c r="D121" s="61" t="s">
        <v>308</v>
      </c>
      <c r="E121" s="59" t="s">
        <v>309</v>
      </c>
      <c r="F121" s="79">
        <v>45624</v>
      </c>
      <c r="G121" s="62" t="s">
        <v>310</v>
      </c>
      <c r="H121" s="59" t="s">
        <v>423</v>
      </c>
      <c r="I121" s="61" t="s">
        <v>312</v>
      </c>
      <c r="J121" s="504">
        <v>3.5</v>
      </c>
      <c r="K121" s="491">
        <v>0.92464000000000002</v>
      </c>
      <c r="L121" s="78">
        <f t="shared" si="3"/>
        <v>3.23624</v>
      </c>
      <c r="M121" s="59"/>
      <c r="N121" s="63">
        <f t="shared" si="4"/>
        <v>2024</v>
      </c>
      <c r="O121" s="63">
        <f t="shared" si="5"/>
        <v>11</v>
      </c>
      <c r="P121" s="499">
        <v>0</v>
      </c>
    </row>
    <row r="122" spans="1:16" s="58" customFormat="1">
      <c r="A122" s="59">
        <v>118</v>
      </c>
      <c r="B122" s="60" t="s">
        <v>89</v>
      </c>
      <c r="C122" s="60" t="s">
        <v>320</v>
      </c>
      <c r="D122" s="61" t="s">
        <v>308</v>
      </c>
      <c r="E122" s="59" t="s">
        <v>309</v>
      </c>
      <c r="F122" s="79">
        <v>45624</v>
      </c>
      <c r="G122" s="62" t="s">
        <v>310</v>
      </c>
      <c r="H122" s="59" t="s">
        <v>424</v>
      </c>
      <c r="I122" s="61" t="s">
        <v>312</v>
      </c>
      <c r="J122" s="504">
        <v>3.5</v>
      </c>
      <c r="K122" s="491">
        <v>0.92464000000000002</v>
      </c>
      <c r="L122" s="78">
        <f t="shared" si="3"/>
        <v>3.23624</v>
      </c>
      <c r="M122" s="59"/>
      <c r="N122" s="63">
        <f t="shared" si="4"/>
        <v>2024</v>
      </c>
      <c r="O122" s="63">
        <f t="shared" si="5"/>
        <v>11</v>
      </c>
      <c r="P122" s="499">
        <v>0</v>
      </c>
    </row>
    <row r="123" spans="1:16" s="58" customFormat="1" ht="22.9">
      <c r="A123" s="59">
        <v>119</v>
      </c>
      <c r="B123" s="60" t="s">
        <v>89</v>
      </c>
      <c r="C123" s="60" t="s">
        <v>320</v>
      </c>
      <c r="D123" s="61" t="s">
        <v>308</v>
      </c>
      <c r="E123" s="59" t="s">
        <v>309</v>
      </c>
      <c r="F123" s="79">
        <v>45624</v>
      </c>
      <c r="G123" s="62" t="s">
        <v>310</v>
      </c>
      <c r="H123" s="62" t="s">
        <v>425</v>
      </c>
      <c r="I123" s="61" t="s">
        <v>312</v>
      </c>
      <c r="J123" s="504">
        <v>3.27</v>
      </c>
      <c r="K123" s="491">
        <v>0.92464000000000002</v>
      </c>
      <c r="L123" s="78">
        <f t="shared" si="3"/>
        <v>3.0235728000000002</v>
      </c>
      <c r="M123" s="59"/>
      <c r="N123" s="63">
        <f t="shared" si="4"/>
        <v>2024</v>
      </c>
      <c r="O123" s="63">
        <f t="shared" si="5"/>
        <v>11</v>
      </c>
      <c r="P123" s="499">
        <v>0</v>
      </c>
    </row>
    <row r="124" spans="1:16" s="58" customFormat="1">
      <c r="A124" s="59">
        <v>120</v>
      </c>
      <c r="B124" s="60" t="s">
        <v>89</v>
      </c>
      <c r="C124" s="60" t="s">
        <v>426</v>
      </c>
      <c r="D124" s="61" t="s">
        <v>308</v>
      </c>
      <c r="E124" s="61" t="s">
        <v>215</v>
      </c>
      <c r="F124" s="79">
        <v>45626</v>
      </c>
      <c r="G124" s="62" t="s">
        <v>420</v>
      </c>
      <c r="H124" s="59" t="s">
        <v>427</v>
      </c>
      <c r="I124" s="61" t="s">
        <v>312</v>
      </c>
      <c r="J124" s="504">
        <v>350</v>
      </c>
      <c r="K124" s="491">
        <v>0.92464000000000002</v>
      </c>
      <c r="L124" s="78">
        <f t="shared" si="3"/>
        <v>323.62400000000002</v>
      </c>
      <c r="M124" s="59"/>
      <c r="N124" s="63">
        <f t="shared" si="4"/>
        <v>2024</v>
      </c>
      <c r="O124" s="63">
        <f t="shared" si="5"/>
        <v>11</v>
      </c>
      <c r="P124" s="499">
        <v>0</v>
      </c>
    </row>
    <row r="125" spans="1:16" s="58" customFormat="1">
      <c r="A125" s="59">
        <v>121</v>
      </c>
      <c r="B125" s="60" t="s">
        <v>89</v>
      </c>
      <c r="C125" s="60" t="s">
        <v>428</v>
      </c>
      <c r="D125" s="61" t="s">
        <v>308</v>
      </c>
      <c r="E125" s="61" t="s">
        <v>215</v>
      </c>
      <c r="F125" s="79">
        <v>45626</v>
      </c>
      <c r="G125" s="62" t="s">
        <v>411</v>
      </c>
      <c r="H125" s="59" t="s">
        <v>429</v>
      </c>
      <c r="I125" s="61" t="s">
        <v>312</v>
      </c>
      <c r="J125" s="504">
        <v>326.67</v>
      </c>
      <c r="K125" s="491">
        <v>0.92464000000000002</v>
      </c>
      <c r="L125" s="78">
        <f t="shared" si="3"/>
        <v>302.0521488</v>
      </c>
      <c r="M125" s="59"/>
      <c r="N125" s="63">
        <f t="shared" si="4"/>
        <v>2024</v>
      </c>
      <c r="O125" s="63">
        <f t="shared" si="5"/>
        <v>11</v>
      </c>
      <c r="P125" s="499">
        <v>0</v>
      </c>
    </row>
    <row r="126" spans="1:16" s="58" customFormat="1">
      <c r="A126" s="59">
        <v>122</v>
      </c>
      <c r="B126" s="60" t="s">
        <v>89</v>
      </c>
      <c r="C126" s="60" t="s">
        <v>430</v>
      </c>
      <c r="D126" s="61" t="s">
        <v>308</v>
      </c>
      <c r="E126" s="61" t="s">
        <v>215</v>
      </c>
      <c r="F126" s="79">
        <v>45626</v>
      </c>
      <c r="G126" s="62" t="s">
        <v>417</v>
      </c>
      <c r="H126" s="59" t="s">
        <v>431</v>
      </c>
      <c r="I126" s="61" t="s">
        <v>312</v>
      </c>
      <c r="J126" s="504">
        <v>350</v>
      </c>
      <c r="K126" s="491">
        <v>0.92464000000000002</v>
      </c>
      <c r="L126" s="78">
        <f t="shared" si="3"/>
        <v>323.62400000000002</v>
      </c>
      <c r="M126" s="59"/>
      <c r="N126" s="63">
        <f t="shared" si="4"/>
        <v>2024</v>
      </c>
      <c r="O126" s="63">
        <f t="shared" si="5"/>
        <v>11</v>
      </c>
      <c r="P126" s="499">
        <v>0</v>
      </c>
    </row>
    <row r="127" spans="1:16" s="58" customFormat="1">
      <c r="A127" s="59">
        <v>123</v>
      </c>
      <c r="B127" s="60" t="s">
        <v>89</v>
      </c>
      <c r="C127" s="60" t="s">
        <v>432</v>
      </c>
      <c r="D127" s="61" t="s">
        <v>308</v>
      </c>
      <c r="E127" s="61" t="s">
        <v>215</v>
      </c>
      <c r="F127" s="79">
        <v>45626</v>
      </c>
      <c r="G127" s="62" t="s">
        <v>433</v>
      </c>
      <c r="H127" s="59" t="s">
        <v>434</v>
      </c>
      <c r="I127" s="61" t="s">
        <v>312</v>
      </c>
      <c r="J127" s="504">
        <v>326.67</v>
      </c>
      <c r="K127" s="491">
        <v>0.92464000000000002</v>
      </c>
      <c r="L127" s="78">
        <f t="shared" si="3"/>
        <v>302.0521488</v>
      </c>
      <c r="M127" s="59"/>
      <c r="N127" s="63">
        <f t="shared" si="4"/>
        <v>2024</v>
      </c>
      <c r="O127" s="63">
        <f t="shared" si="5"/>
        <v>11</v>
      </c>
      <c r="P127" s="499">
        <v>0</v>
      </c>
    </row>
    <row r="128" spans="1:16" s="58" customFormat="1">
      <c r="A128" s="59">
        <v>124</v>
      </c>
      <c r="B128" s="60" t="s">
        <v>89</v>
      </c>
      <c r="C128" s="60" t="s">
        <v>435</v>
      </c>
      <c r="D128" s="61" t="s">
        <v>308</v>
      </c>
      <c r="E128" s="61" t="s">
        <v>215</v>
      </c>
      <c r="F128" s="79">
        <v>45652</v>
      </c>
      <c r="G128" s="62" t="s">
        <v>417</v>
      </c>
      <c r="H128" s="59" t="s">
        <v>436</v>
      </c>
      <c r="I128" s="61" t="s">
        <v>312</v>
      </c>
      <c r="J128" s="504">
        <v>350</v>
      </c>
      <c r="K128" s="491">
        <v>0.94859000000000004</v>
      </c>
      <c r="L128" s="78">
        <f t="shared" si="3"/>
        <v>332.00650000000002</v>
      </c>
      <c r="M128" s="59"/>
      <c r="N128" s="63">
        <f t="shared" si="4"/>
        <v>2024</v>
      </c>
      <c r="O128" s="63">
        <f t="shared" si="5"/>
        <v>12</v>
      </c>
      <c r="P128" s="499">
        <v>0</v>
      </c>
    </row>
    <row r="129" spans="1:16" s="58" customFormat="1">
      <c r="A129" s="59">
        <v>125</v>
      </c>
      <c r="B129" s="60" t="s">
        <v>89</v>
      </c>
      <c r="C129" s="60" t="s">
        <v>324</v>
      </c>
      <c r="D129" s="61" t="s">
        <v>308</v>
      </c>
      <c r="E129" s="61" t="s">
        <v>325</v>
      </c>
      <c r="F129" s="79">
        <v>45652</v>
      </c>
      <c r="G129" s="62" t="s">
        <v>310</v>
      </c>
      <c r="H129" s="59" t="s">
        <v>437</v>
      </c>
      <c r="I129" s="61" t="s">
        <v>312</v>
      </c>
      <c r="J129" s="504">
        <v>3.5</v>
      </c>
      <c r="K129" s="491">
        <v>0.94859000000000004</v>
      </c>
      <c r="L129" s="78">
        <f t="shared" si="3"/>
        <v>3.320065</v>
      </c>
      <c r="M129" s="59"/>
      <c r="N129" s="63">
        <f t="shared" si="4"/>
        <v>2024</v>
      </c>
      <c r="O129" s="63">
        <f t="shared" si="5"/>
        <v>12</v>
      </c>
      <c r="P129" s="499">
        <v>0</v>
      </c>
    </row>
    <row r="130" spans="1:16" s="58" customFormat="1">
      <c r="A130" s="59">
        <v>126</v>
      </c>
      <c r="B130" s="60" t="s">
        <v>89</v>
      </c>
      <c r="C130" s="60" t="s">
        <v>324</v>
      </c>
      <c r="D130" s="61" t="s">
        <v>308</v>
      </c>
      <c r="E130" s="61" t="s">
        <v>325</v>
      </c>
      <c r="F130" s="79">
        <v>45652</v>
      </c>
      <c r="G130" s="62" t="s">
        <v>310</v>
      </c>
      <c r="H130" s="59" t="s">
        <v>438</v>
      </c>
      <c r="I130" s="61" t="s">
        <v>312</v>
      </c>
      <c r="J130" s="504">
        <v>3.5</v>
      </c>
      <c r="K130" s="491">
        <v>0.94859000000000004</v>
      </c>
      <c r="L130" s="78">
        <f t="shared" si="3"/>
        <v>3.320065</v>
      </c>
      <c r="M130" s="59"/>
      <c r="N130" s="63">
        <f t="shared" si="4"/>
        <v>2024</v>
      </c>
      <c r="O130" s="63">
        <f t="shared" si="5"/>
        <v>12</v>
      </c>
      <c r="P130" s="499">
        <v>0</v>
      </c>
    </row>
    <row r="131" spans="1:16" s="58" customFormat="1">
      <c r="A131" s="59">
        <v>127</v>
      </c>
      <c r="B131" s="60" t="s">
        <v>89</v>
      </c>
      <c r="C131" s="60" t="s">
        <v>324</v>
      </c>
      <c r="D131" s="61" t="s">
        <v>308</v>
      </c>
      <c r="E131" s="61" t="s">
        <v>325</v>
      </c>
      <c r="F131" s="79">
        <v>45652</v>
      </c>
      <c r="G131" s="62" t="s">
        <v>310</v>
      </c>
      <c r="H131" s="59" t="s">
        <v>439</v>
      </c>
      <c r="I131" s="61" t="s">
        <v>312</v>
      </c>
      <c r="J131" s="504">
        <v>3.5</v>
      </c>
      <c r="K131" s="491">
        <v>0.94859000000000004</v>
      </c>
      <c r="L131" s="78">
        <f t="shared" si="3"/>
        <v>3.320065</v>
      </c>
      <c r="M131" s="59"/>
      <c r="N131" s="63">
        <f t="shared" si="4"/>
        <v>2024</v>
      </c>
      <c r="O131" s="63">
        <f t="shared" si="5"/>
        <v>12</v>
      </c>
      <c r="P131" s="499">
        <v>0</v>
      </c>
    </row>
    <row r="132" spans="1:16" s="58" customFormat="1">
      <c r="A132" s="59">
        <v>128</v>
      </c>
      <c r="B132" s="60" t="s">
        <v>89</v>
      </c>
      <c r="C132" s="60" t="s">
        <v>440</v>
      </c>
      <c r="D132" s="61" t="s">
        <v>308</v>
      </c>
      <c r="E132" s="61" t="s">
        <v>215</v>
      </c>
      <c r="F132" s="79">
        <v>45652</v>
      </c>
      <c r="G132" s="62" t="s">
        <v>411</v>
      </c>
      <c r="H132" s="59" t="s">
        <v>441</v>
      </c>
      <c r="I132" s="61" t="s">
        <v>312</v>
      </c>
      <c r="J132" s="504">
        <v>350</v>
      </c>
      <c r="K132" s="491">
        <v>0.94859000000000004</v>
      </c>
      <c r="L132" s="78">
        <f t="shared" si="3"/>
        <v>332.00650000000002</v>
      </c>
      <c r="M132" s="59"/>
      <c r="N132" s="63">
        <f t="shared" si="4"/>
        <v>2024</v>
      </c>
      <c r="O132" s="63">
        <f t="shared" si="5"/>
        <v>12</v>
      </c>
      <c r="P132" s="499">
        <v>0</v>
      </c>
    </row>
    <row r="133" spans="1:16" s="58" customFormat="1">
      <c r="A133" s="59">
        <v>129</v>
      </c>
      <c r="B133" s="60" t="s">
        <v>89</v>
      </c>
      <c r="C133" s="60" t="s">
        <v>442</v>
      </c>
      <c r="D133" s="61" t="s">
        <v>308</v>
      </c>
      <c r="E133" s="61" t="s">
        <v>215</v>
      </c>
      <c r="F133" s="79">
        <v>45652</v>
      </c>
      <c r="G133" s="62" t="s">
        <v>420</v>
      </c>
      <c r="H133" s="59" t="s">
        <v>443</v>
      </c>
      <c r="I133" s="61" t="s">
        <v>312</v>
      </c>
      <c r="J133" s="504">
        <v>350</v>
      </c>
      <c r="K133" s="491">
        <v>0.94859000000000004</v>
      </c>
      <c r="L133" s="78">
        <f t="shared" ref="L133:L196" si="6">K133*J133</f>
        <v>332.00650000000002</v>
      </c>
      <c r="M133" s="59"/>
      <c r="N133" s="63">
        <f t="shared" ref="N133:N196" si="7">YEAR(F133)</f>
        <v>2024</v>
      </c>
      <c r="O133" s="63">
        <f t="shared" ref="O133:O196" si="8">MONTH(F133)</f>
        <v>12</v>
      </c>
      <c r="P133" s="499">
        <v>0</v>
      </c>
    </row>
    <row r="134" spans="1:16" s="58" customFormat="1">
      <c r="A134" s="59">
        <v>130</v>
      </c>
      <c r="B134" s="60" t="s">
        <v>89</v>
      </c>
      <c r="C134" s="60" t="s">
        <v>444</v>
      </c>
      <c r="D134" s="61" t="s">
        <v>308</v>
      </c>
      <c r="E134" s="61" t="s">
        <v>215</v>
      </c>
      <c r="F134" s="79">
        <v>45652</v>
      </c>
      <c r="G134" s="62" t="s">
        <v>433</v>
      </c>
      <c r="H134" s="59" t="s">
        <v>445</v>
      </c>
      <c r="I134" s="61" t="s">
        <v>312</v>
      </c>
      <c r="J134" s="504">
        <v>338.33</v>
      </c>
      <c r="K134" s="491">
        <v>0.94859000000000004</v>
      </c>
      <c r="L134" s="78">
        <f t="shared" si="6"/>
        <v>320.93645470000001</v>
      </c>
      <c r="M134" s="59"/>
      <c r="N134" s="63">
        <f t="shared" si="7"/>
        <v>2024</v>
      </c>
      <c r="O134" s="63">
        <f t="shared" si="8"/>
        <v>12</v>
      </c>
      <c r="P134" s="499">
        <v>0</v>
      </c>
    </row>
    <row r="135" spans="1:16" s="58" customFormat="1">
      <c r="A135" s="59">
        <v>131</v>
      </c>
      <c r="B135" s="60" t="s">
        <v>89</v>
      </c>
      <c r="C135" s="60" t="s">
        <v>324</v>
      </c>
      <c r="D135" s="61" t="s">
        <v>308</v>
      </c>
      <c r="E135" s="61" t="s">
        <v>325</v>
      </c>
      <c r="F135" s="79">
        <v>45652</v>
      </c>
      <c r="G135" s="62" t="s">
        <v>310</v>
      </c>
      <c r="H135" s="59" t="s">
        <v>446</v>
      </c>
      <c r="I135" s="61" t="s">
        <v>312</v>
      </c>
      <c r="J135" s="504">
        <v>3.38</v>
      </c>
      <c r="K135" s="491">
        <v>0.94859000000000004</v>
      </c>
      <c r="L135" s="78">
        <f t="shared" si="6"/>
        <v>3.2062341999999999</v>
      </c>
      <c r="M135" s="59"/>
      <c r="N135" s="63">
        <f t="shared" si="7"/>
        <v>2024</v>
      </c>
      <c r="O135" s="63">
        <f t="shared" si="8"/>
        <v>12</v>
      </c>
      <c r="P135" s="499">
        <v>0</v>
      </c>
    </row>
    <row r="136" spans="1:16" s="58" customFormat="1" ht="22.9">
      <c r="A136" s="59">
        <v>132</v>
      </c>
      <c r="B136" s="60" t="s">
        <v>91</v>
      </c>
      <c r="C136" s="60" t="s">
        <v>307</v>
      </c>
      <c r="D136" s="61" t="s">
        <v>308</v>
      </c>
      <c r="E136" s="59" t="s">
        <v>309</v>
      </c>
      <c r="F136" s="79">
        <v>45562</v>
      </c>
      <c r="G136" s="62" t="s">
        <v>310</v>
      </c>
      <c r="H136" s="62" t="s">
        <v>447</v>
      </c>
      <c r="I136" s="61" t="s">
        <v>312</v>
      </c>
      <c r="J136" s="504">
        <v>4.83</v>
      </c>
      <c r="K136" s="494">
        <v>0.90188000000000001</v>
      </c>
      <c r="L136" s="78">
        <f t="shared" si="6"/>
        <v>4.3560803999999997</v>
      </c>
      <c r="M136" s="59"/>
      <c r="N136" s="63">
        <f t="shared" si="7"/>
        <v>2024</v>
      </c>
      <c r="O136" s="63">
        <f t="shared" si="8"/>
        <v>9</v>
      </c>
      <c r="P136" s="499">
        <v>0</v>
      </c>
    </row>
    <row r="137" spans="1:16" s="58" customFormat="1">
      <c r="A137" s="59">
        <v>133</v>
      </c>
      <c r="B137" s="60" t="s">
        <v>91</v>
      </c>
      <c r="C137" s="60" t="s">
        <v>448</v>
      </c>
      <c r="D137" s="61" t="s">
        <v>308</v>
      </c>
      <c r="E137" s="61" t="s">
        <v>215</v>
      </c>
      <c r="F137" s="79">
        <v>45562</v>
      </c>
      <c r="G137" s="62" t="s">
        <v>449</v>
      </c>
      <c r="H137" s="59" t="s">
        <v>450</v>
      </c>
      <c r="I137" s="61" t="s">
        <v>312</v>
      </c>
      <c r="J137" s="504">
        <v>483.33</v>
      </c>
      <c r="K137" s="494">
        <v>0.90188000000000001</v>
      </c>
      <c r="L137" s="78">
        <f t="shared" si="6"/>
        <v>435.90566039999999</v>
      </c>
      <c r="M137" s="59"/>
      <c r="N137" s="63">
        <f t="shared" si="7"/>
        <v>2024</v>
      </c>
      <c r="O137" s="63">
        <f t="shared" si="8"/>
        <v>9</v>
      </c>
      <c r="P137" s="499">
        <v>0</v>
      </c>
    </row>
    <row r="138" spans="1:16" s="58" customFormat="1">
      <c r="A138" s="59">
        <v>134</v>
      </c>
      <c r="B138" s="60" t="s">
        <v>91</v>
      </c>
      <c r="C138" s="60" t="s">
        <v>318</v>
      </c>
      <c r="D138" s="61" t="s">
        <v>308</v>
      </c>
      <c r="E138" s="59" t="s">
        <v>309</v>
      </c>
      <c r="F138" s="79">
        <v>45596</v>
      </c>
      <c r="G138" s="62" t="s">
        <v>310</v>
      </c>
      <c r="H138" s="59" t="s">
        <v>451</v>
      </c>
      <c r="I138" s="61" t="s">
        <v>312</v>
      </c>
      <c r="J138" s="504">
        <v>5</v>
      </c>
      <c r="K138" s="494">
        <v>0.89622000000000002</v>
      </c>
      <c r="L138" s="78">
        <f t="shared" si="6"/>
        <v>4.4810999999999996</v>
      </c>
      <c r="M138" s="59"/>
      <c r="N138" s="63">
        <f t="shared" si="7"/>
        <v>2024</v>
      </c>
      <c r="O138" s="63">
        <f t="shared" si="8"/>
        <v>10</v>
      </c>
      <c r="P138" s="499">
        <v>0</v>
      </c>
    </row>
    <row r="139" spans="1:16" s="58" customFormat="1">
      <c r="A139" s="59">
        <v>135</v>
      </c>
      <c r="B139" s="60" t="s">
        <v>91</v>
      </c>
      <c r="C139" s="60" t="s">
        <v>452</v>
      </c>
      <c r="D139" s="61" t="s">
        <v>308</v>
      </c>
      <c r="E139" s="61" t="s">
        <v>215</v>
      </c>
      <c r="F139" s="79">
        <v>45596</v>
      </c>
      <c r="G139" s="62" t="s">
        <v>449</v>
      </c>
      <c r="H139" s="59" t="s">
        <v>453</v>
      </c>
      <c r="I139" s="61" t="s">
        <v>312</v>
      </c>
      <c r="J139" s="504">
        <v>500</v>
      </c>
      <c r="K139" s="494">
        <v>0.89622000000000002</v>
      </c>
      <c r="L139" s="78">
        <f t="shared" si="6"/>
        <v>448.11</v>
      </c>
      <c r="M139" s="59"/>
      <c r="N139" s="63">
        <f t="shared" si="7"/>
        <v>2024</v>
      </c>
      <c r="O139" s="63">
        <f t="shared" si="8"/>
        <v>10</v>
      </c>
      <c r="P139" s="499">
        <v>0</v>
      </c>
    </row>
    <row r="140" spans="1:16" s="58" customFormat="1">
      <c r="A140" s="59">
        <v>136</v>
      </c>
      <c r="B140" s="60" t="s">
        <v>91</v>
      </c>
      <c r="C140" s="60" t="s">
        <v>320</v>
      </c>
      <c r="D140" s="61" t="s">
        <v>308</v>
      </c>
      <c r="E140" s="59" t="s">
        <v>309</v>
      </c>
      <c r="F140" s="79">
        <v>45624</v>
      </c>
      <c r="G140" s="62" t="s">
        <v>310</v>
      </c>
      <c r="H140" s="59" t="s">
        <v>454</v>
      </c>
      <c r="I140" s="61" t="s">
        <v>312</v>
      </c>
      <c r="J140" s="504">
        <v>5</v>
      </c>
      <c r="K140" s="494">
        <v>0.92464000000000002</v>
      </c>
      <c r="L140" s="78">
        <f t="shared" si="6"/>
        <v>4.6231999999999998</v>
      </c>
      <c r="M140" s="59"/>
      <c r="N140" s="63">
        <f t="shared" si="7"/>
        <v>2024</v>
      </c>
      <c r="O140" s="63">
        <f t="shared" si="8"/>
        <v>11</v>
      </c>
      <c r="P140" s="499">
        <v>0</v>
      </c>
    </row>
    <row r="141" spans="1:16" s="58" customFormat="1">
      <c r="A141" s="59">
        <v>137</v>
      </c>
      <c r="B141" s="60" t="s">
        <v>91</v>
      </c>
      <c r="C141" s="60" t="s">
        <v>455</v>
      </c>
      <c r="D141" s="61" t="s">
        <v>308</v>
      </c>
      <c r="E141" s="61" t="s">
        <v>215</v>
      </c>
      <c r="F141" s="79">
        <v>45626</v>
      </c>
      <c r="G141" s="62" t="s">
        <v>449</v>
      </c>
      <c r="H141" s="59" t="s">
        <v>456</v>
      </c>
      <c r="I141" s="61" t="s">
        <v>312</v>
      </c>
      <c r="J141" s="504">
        <v>500</v>
      </c>
      <c r="K141" s="494">
        <v>0.92464000000000002</v>
      </c>
      <c r="L141" s="78">
        <f t="shared" si="6"/>
        <v>462.32</v>
      </c>
      <c r="M141" s="59"/>
      <c r="N141" s="63">
        <f t="shared" si="7"/>
        <v>2024</v>
      </c>
      <c r="O141" s="63">
        <f t="shared" si="8"/>
        <v>11</v>
      </c>
      <c r="P141" s="499">
        <v>0</v>
      </c>
    </row>
    <row r="142" spans="1:16" s="58" customFormat="1">
      <c r="A142" s="59">
        <v>138</v>
      </c>
      <c r="B142" s="60" t="s">
        <v>91</v>
      </c>
      <c r="C142" s="60" t="s">
        <v>457</v>
      </c>
      <c r="D142" s="61" t="s">
        <v>308</v>
      </c>
      <c r="E142" s="61" t="s">
        <v>215</v>
      </c>
      <c r="F142" s="79">
        <v>45652</v>
      </c>
      <c r="G142" s="62" t="s">
        <v>449</v>
      </c>
      <c r="H142" s="59" t="s">
        <v>458</v>
      </c>
      <c r="I142" s="61" t="s">
        <v>312</v>
      </c>
      <c r="J142" s="504">
        <v>500</v>
      </c>
      <c r="K142" s="491">
        <v>0.94859000000000004</v>
      </c>
      <c r="L142" s="78">
        <f t="shared" si="6"/>
        <v>474.29500000000002</v>
      </c>
      <c r="M142" s="59"/>
      <c r="N142" s="63">
        <f t="shared" si="7"/>
        <v>2024</v>
      </c>
      <c r="O142" s="63">
        <f t="shared" si="8"/>
        <v>12</v>
      </c>
      <c r="P142" s="499">
        <v>0</v>
      </c>
    </row>
    <row r="143" spans="1:16" s="58" customFormat="1">
      <c r="A143" s="59">
        <v>139</v>
      </c>
      <c r="B143" s="60" t="s">
        <v>91</v>
      </c>
      <c r="C143" s="60" t="s">
        <v>324</v>
      </c>
      <c r="D143" s="61" t="s">
        <v>308</v>
      </c>
      <c r="E143" s="61" t="s">
        <v>325</v>
      </c>
      <c r="F143" s="79">
        <v>45652</v>
      </c>
      <c r="G143" s="62" t="s">
        <v>310</v>
      </c>
      <c r="H143" s="59" t="s">
        <v>459</v>
      </c>
      <c r="I143" s="61" t="s">
        <v>312</v>
      </c>
      <c r="J143" s="504">
        <v>5</v>
      </c>
      <c r="K143" s="491">
        <v>0.94859000000000004</v>
      </c>
      <c r="L143" s="78">
        <f t="shared" si="6"/>
        <v>4.7429500000000004</v>
      </c>
      <c r="M143" s="59"/>
      <c r="N143" s="63">
        <f t="shared" si="7"/>
        <v>2024</v>
      </c>
      <c r="O143" s="63">
        <f t="shared" si="8"/>
        <v>12</v>
      </c>
      <c r="P143" s="499">
        <v>0</v>
      </c>
    </row>
    <row r="144" spans="1:16" s="58" customFormat="1">
      <c r="A144" s="59">
        <v>140</v>
      </c>
      <c r="B144" s="60" t="s">
        <v>93</v>
      </c>
      <c r="C144" s="60" t="s">
        <v>460</v>
      </c>
      <c r="D144" s="61" t="s">
        <v>308</v>
      </c>
      <c r="E144" s="61" t="s">
        <v>215</v>
      </c>
      <c r="F144" s="79">
        <v>45596</v>
      </c>
      <c r="G144" s="62" t="s">
        <v>461</v>
      </c>
      <c r="H144" s="59" t="s">
        <v>462</v>
      </c>
      <c r="I144" s="61" t="s">
        <v>312</v>
      </c>
      <c r="J144" s="504">
        <v>1140.2</v>
      </c>
      <c r="K144" s="494">
        <v>2.622E-2</v>
      </c>
      <c r="L144" s="78">
        <f t="shared" si="6"/>
        <v>29.896044</v>
      </c>
      <c r="M144" s="59"/>
      <c r="N144" s="63">
        <f t="shared" si="7"/>
        <v>2024</v>
      </c>
      <c r="O144" s="63">
        <f t="shared" si="8"/>
        <v>10</v>
      </c>
      <c r="P144" s="499">
        <v>0</v>
      </c>
    </row>
    <row r="145" spans="1:16" s="58" customFormat="1">
      <c r="A145" s="59">
        <v>141</v>
      </c>
      <c r="B145" s="62" t="s">
        <v>93</v>
      </c>
      <c r="C145" s="60" t="s">
        <v>318</v>
      </c>
      <c r="D145" s="61" t="s">
        <v>308</v>
      </c>
      <c r="E145" s="59" t="s">
        <v>309</v>
      </c>
      <c r="F145" s="79">
        <v>45596</v>
      </c>
      <c r="G145" s="62" t="s">
        <v>310</v>
      </c>
      <c r="H145" s="59" t="s">
        <v>463</v>
      </c>
      <c r="I145" s="61" t="s">
        <v>312</v>
      </c>
      <c r="J145" s="504">
        <v>0.33329999999999999</v>
      </c>
      <c r="K145" s="494">
        <v>0.89622000000000002</v>
      </c>
      <c r="L145" s="78">
        <f t="shared" si="6"/>
        <v>0.29871012599999996</v>
      </c>
      <c r="M145" s="59"/>
      <c r="N145" s="63">
        <f t="shared" si="7"/>
        <v>2024</v>
      </c>
      <c r="O145" s="63">
        <f t="shared" si="8"/>
        <v>10</v>
      </c>
      <c r="P145" s="499">
        <v>0</v>
      </c>
    </row>
    <row r="146" spans="1:16" s="58" customFormat="1" ht="45.6">
      <c r="A146" s="59">
        <v>142</v>
      </c>
      <c r="B146" s="62" t="s">
        <v>93</v>
      </c>
      <c r="C146" s="60" t="s">
        <v>464</v>
      </c>
      <c r="D146" s="61" t="s">
        <v>308</v>
      </c>
      <c r="E146" s="59">
        <v>9502</v>
      </c>
      <c r="F146" s="79">
        <v>45597</v>
      </c>
      <c r="G146" s="62" t="s">
        <v>465</v>
      </c>
      <c r="H146" s="60" t="s">
        <v>466</v>
      </c>
      <c r="I146" s="61" t="s">
        <v>210</v>
      </c>
      <c r="J146" s="504">
        <v>26</v>
      </c>
      <c r="K146" s="494">
        <v>2.6960000000000001E-2</v>
      </c>
      <c r="L146" s="78">
        <f t="shared" si="6"/>
        <v>0.70096000000000003</v>
      </c>
      <c r="M146" s="59"/>
      <c r="N146" s="63">
        <f t="shared" si="7"/>
        <v>2024</v>
      </c>
      <c r="O146" s="63">
        <f t="shared" si="8"/>
        <v>11</v>
      </c>
      <c r="P146" s="499">
        <v>1</v>
      </c>
    </row>
    <row r="147" spans="1:16" s="58" customFormat="1">
      <c r="A147" s="59">
        <v>143</v>
      </c>
      <c r="B147" s="62" t="s">
        <v>93</v>
      </c>
      <c r="C147" s="62" t="s">
        <v>320</v>
      </c>
      <c r="D147" s="61" t="s">
        <v>308</v>
      </c>
      <c r="E147" s="59" t="s">
        <v>309</v>
      </c>
      <c r="F147" s="79">
        <v>45624</v>
      </c>
      <c r="G147" s="62" t="s">
        <v>310</v>
      </c>
      <c r="H147" s="59" t="s">
        <v>467</v>
      </c>
      <c r="I147" s="61" t="s">
        <v>312</v>
      </c>
      <c r="J147" s="504">
        <v>2</v>
      </c>
      <c r="K147" s="494">
        <v>0.92464000000000002</v>
      </c>
      <c r="L147" s="78">
        <f t="shared" si="6"/>
        <v>1.84928</v>
      </c>
      <c r="M147" s="59"/>
      <c r="N147" s="63">
        <f t="shared" si="7"/>
        <v>2024</v>
      </c>
      <c r="O147" s="63">
        <f t="shared" si="8"/>
        <v>11</v>
      </c>
      <c r="P147" s="499">
        <v>0</v>
      </c>
    </row>
    <row r="148" spans="1:16" s="58" customFormat="1">
      <c r="A148" s="59">
        <v>144</v>
      </c>
      <c r="B148" s="62" t="s">
        <v>93</v>
      </c>
      <c r="C148" s="62" t="s">
        <v>468</v>
      </c>
      <c r="D148" s="61" t="s">
        <v>308</v>
      </c>
      <c r="E148" s="61" t="s">
        <v>212</v>
      </c>
      <c r="F148" s="79">
        <v>45626</v>
      </c>
      <c r="G148" s="62" t="s">
        <v>268</v>
      </c>
      <c r="H148" s="59" t="s">
        <v>469</v>
      </c>
      <c r="I148" s="61" t="s">
        <v>210</v>
      </c>
      <c r="J148" s="504">
        <v>3098.39</v>
      </c>
      <c r="K148" s="494">
        <v>2.6960000000000001E-2</v>
      </c>
      <c r="L148" s="78">
        <f t="shared" si="6"/>
        <v>83.532594399999994</v>
      </c>
      <c r="M148" s="59"/>
      <c r="N148" s="63">
        <f t="shared" si="7"/>
        <v>2024</v>
      </c>
      <c r="O148" s="63">
        <f t="shared" si="8"/>
        <v>11</v>
      </c>
      <c r="P148" s="499">
        <v>0</v>
      </c>
    </row>
    <row r="149" spans="1:16" s="58" customFormat="1">
      <c r="A149" s="59">
        <v>145</v>
      </c>
      <c r="B149" s="62" t="s">
        <v>93</v>
      </c>
      <c r="C149" s="62" t="s">
        <v>470</v>
      </c>
      <c r="D149" s="61" t="s">
        <v>308</v>
      </c>
      <c r="E149" s="61" t="s">
        <v>215</v>
      </c>
      <c r="F149" s="79">
        <v>45626</v>
      </c>
      <c r="G149" s="62" t="s">
        <v>461</v>
      </c>
      <c r="H149" s="59" t="s">
        <v>471</v>
      </c>
      <c r="I149" s="61" t="s">
        <v>312</v>
      </c>
      <c r="J149" s="504">
        <v>200</v>
      </c>
      <c r="K149" s="495">
        <v>0.92464000000000002</v>
      </c>
      <c r="L149" s="78">
        <f t="shared" si="6"/>
        <v>184.928</v>
      </c>
      <c r="M149" s="59"/>
      <c r="N149" s="63">
        <f t="shared" si="7"/>
        <v>2024</v>
      </c>
      <c r="O149" s="63">
        <f t="shared" si="8"/>
        <v>11</v>
      </c>
      <c r="P149" s="499">
        <v>0</v>
      </c>
    </row>
    <row r="150" spans="1:16" s="58" customFormat="1">
      <c r="A150" s="59">
        <v>146</v>
      </c>
      <c r="B150" s="62" t="s">
        <v>93</v>
      </c>
      <c r="C150" s="62" t="s">
        <v>468</v>
      </c>
      <c r="D150" s="61" t="s">
        <v>308</v>
      </c>
      <c r="E150" s="61" t="s">
        <v>215</v>
      </c>
      <c r="F150" s="79">
        <v>45626</v>
      </c>
      <c r="G150" s="62" t="s">
        <v>268</v>
      </c>
      <c r="H150" s="59" t="s">
        <v>472</v>
      </c>
      <c r="I150" s="61" t="s">
        <v>210</v>
      </c>
      <c r="J150" s="504">
        <v>16033.14</v>
      </c>
      <c r="K150" s="494">
        <v>2.6960000000000001E-2</v>
      </c>
      <c r="L150" s="78">
        <f t="shared" si="6"/>
        <v>432.25345440000001</v>
      </c>
      <c r="M150" s="59"/>
      <c r="N150" s="63">
        <f t="shared" si="7"/>
        <v>2024</v>
      </c>
      <c r="O150" s="63">
        <f t="shared" si="8"/>
        <v>11</v>
      </c>
      <c r="P150" s="499">
        <v>0</v>
      </c>
    </row>
    <row r="151" spans="1:16" s="58" customFormat="1">
      <c r="A151" s="59">
        <v>147</v>
      </c>
      <c r="B151" s="62" t="s">
        <v>93</v>
      </c>
      <c r="C151" s="62" t="s">
        <v>468</v>
      </c>
      <c r="D151" s="61" t="s">
        <v>308</v>
      </c>
      <c r="E151" s="61" t="s">
        <v>207</v>
      </c>
      <c r="F151" s="79">
        <v>45626</v>
      </c>
      <c r="G151" s="62" t="s">
        <v>268</v>
      </c>
      <c r="H151" s="59" t="s">
        <v>473</v>
      </c>
      <c r="I151" s="61" t="s">
        <v>210</v>
      </c>
      <c r="J151" s="504">
        <v>6733.32</v>
      </c>
      <c r="K151" s="494">
        <v>2.6960000000000001E-2</v>
      </c>
      <c r="L151" s="78">
        <f t="shared" si="6"/>
        <v>181.53030720000001</v>
      </c>
      <c r="M151" s="59"/>
      <c r="N151" s="63">
        <f t="shared" si="7"/>
        <v>2024</v>
      </c>
      <c r="O151" s="63">
        <f t="shared" si="8"/>
        <v>11</v>
      </c>
      <c r="P151" s="499">
        <v>0</v>
      </c>
    </row>
    <row r="152" spans="1:16" s="58" customFormat="1">
      <c r="A152" s="59">
        <v>148</v>
      </c>
      <c r="B152" s="62" t="s">
        <v>93</v>
      </c>
      <c r="C152" s="62" t="s">
        <v>324</v>
      </c>
      <c r="D152" s="61" t="s">
        <v>308</v>
      </c>
      <c r="E152" s="61" t="s">
        <v>325</v>
      </c>
      <c r="F152" s="79">
        <v>45652</v>
      </c>
      <c r="G152" s="62" t="s">
        <v>310</v>
      </c>
      <c r="H152" s="59" t="s">
        <v>474</v>
      </c>
      <c r="I152" s="61" t="s">
        <v>312</v>
      </c>
      <c r="J152" s="504">
        <v>2</v>
      </c>
      <c r="K152" s="496">
        <v>0.94859000000000004</v>
      </c>
      <c r="L152" s="78">
        <f t="shared" si="6"/>
        <v>1.8971800000000001</v>
      </c>
      <c r="M152" s="59"/>
      <c r="N152" s="63">
        <f t="shared" si="7"/>
        <v>2024</v>
      </c>
      <c r="O152" s="63">
        <f t="shared" si="8"/>
        <v>12</v>
      </c>
      <c r="P152" s="499">
        <v>0</v>
      </c>
    </row>
    <row r="153" spans="1:16" s="58" customFormat="1">
      <c r="A153" s="59">
        <v>149</v>
      </c>
      <c r="B153" s="62" t="s">
        <v>93</v>
      </c>
      <c r="C153" s="60" t="s">
        <v>475</v>
      </c>
      <c r="D153" s="61" t="s">
        <v>308</v>
      </c>
      <c r="E153" s="61" t="s">
        <v>215</v>
      </c>
      <c r="F153" s="79">
        <v>45652</v>
      </c>
      <c r="G153" s="62" t="s">
        <v>461</v>
      </c>
      <c r="H153" s="59" t="s">
        <v>476</v>
      </c>
      <c r="I153" s="61" t="s">
        <v>312</v>
      </c>
      <c r="J153" s="504">
        <v>200</v>
      </c>
      <c r="K153" s="496">
        <v>0.94859000000000004</v>
      </c>
      <c r="L153" s="78">
        <f t="shared" si="6"/>
        <v>189.71800000000002</v>
      </c>
      <c r="M153" s="59"/>
      <c r="N153" s="63">
        <f t="shared" si="7"/>
        <v>2024</v>
      </c>
      <c r="O153" s="63">
        <f t="shared" si="8"/>
        <v>12</v>
      </c>
      <c r="P153" s="499">
        <v>0</v>
      </c>
    </row>
    <row r="154" spans="1:16" s="58" customFormat="1">
      <c r="A154" s="59">
        <v>150</v>
      </c>
      <c r="B154" s="60" t="s">
        <v>95</v>
      </c>
      <c r="C154" s="60" t="s">
        <v>320</v>
      </c>
      <c r="D154" s="61" t="s">
        <v>308</v>
      </c>
      <c r="E154" s="59" t="s">
        <v>309</v>
      </c>
      <c r="F154" s="79">
        <v>45624</v>
      </c>
      <c r="G154" s="62" t="s">
        <v>310</v>
      </c>
      <c r="H154" s="59" t="s">
        <v>477</v>
      </c>
      <c r="I154" s="61" t="s">
        <v>312</v>
      </c>
      <c r="J154" s="504">
        <v>1.08</v>
      </c>
      <c r="K154" s="494">
        <v>0.92464000000000002</v>
      </c>
      <c r="L154" s="78">
        <f t="shared" si="6"/>
        <v>0.99861120000000003</v>
      </c>
      <c r="M154" s="59"/>
      <c r="N154" s="63">
        <f t="shared" si="7"/>
        <v>2024</v>
      </c>
      <c r="O154" s="63">
        <f t="shared" si="8"/>
        <v>11</v>
      </c>
      <c r="P154" s="499">
        <v>0</v>
      </c>
    </row>
    <row r="155" spans="1:16" s="58" customFormat="1">
      <c r="A155" s="59">
        <v>151</v>
      </c>
      <c r="B155" s="60" t="s">
        <v>95</v>
      </c>
      <c r="C155" s="60" t="s">
        <v>478</v>
      </c>
      <c r="D155" s="61" t="s">
        <v>308</v>
      </c>
      <c r="E155" s="61" t="s">
        <v>215</v>
      </c>
      <c r="F155" s="79">
        <v>45626</v>
      </c>
      <c r="G155" s="62" t="s">
        <v>479</v>
      </c>
      <c r="H155" s="59" t="s">
        <v>480</v>
      </c>
      <c r="I155" s="61" t="s">
        <v>312</v>
      </c>
      <c r="J155" s="504">
        <v>108.33</v>
      </c>
      <c r="K155" s="494">
        <v>0.92464000000000002</v>
      </c>
      <c r="L155" s="78">
        <f t="shared" si="6"/>
        <v>100.1662512</v>
      </c>
      <c r="M155" s="59"/>
      <c r="N155" s="63">
        <f t="shared" si="7"/>
        <v>2024</v>
      </c>
      <c r="O155" s="63">
        <f t="shared" si="8"/>
        <v>11</v>
      </c>
      <c r="P155" s="499">
        <v>0</v>
      </c>
    </row>
    <row r="156" spans="1:16" s="58" customFormat="1">
      <c r="A156" s="59">
        <v>152</v>
      </c>
      <c r="B156" s="60" t="s">
        <v>95</v>
      </c>
      <c r="C156" s="60" t="s">
        <v>481</v>
      </c>
      <c r="D156" s="61" t="s">
        <v>308</v>
      </c>
      <c r="E156" s="61" t="s">
        <v>215</v>
      </c>
      <c r="F156" s="79">
        <v>45652</v>
      </c>
      <c r="G156" s="62" t="s">
        <v>479</v>
      </c>
      <c r="H156" s="59" t="s">
        <v>482</v>
      </c>
      <c r="I156" s="61" t="s">
        <v>312</v>
      </c>
      <c r="J156" s="504">
        <v>250</v>
      </c>
      <c r="K156" s="491">
        <v>0.94859000000000004</v>
      </c>
      <c r="L156" s="78">
        <f t="shared" si="6"/>
        <v>237.14750000000001</v>
      </c>
      <c r="M156" s="59"/>
      <c r="N156" s="63">
        <f t="shared" si="7"/>
        <v>2024</v>
      </c>
      <c r="O156" s="63">
        <f t="shared" si="8"/>
        <v>12</v>
      </c>
      <c r="P156" s="499">
        <v>0</v>
      </c>
    </row>
    <row r="157" spans="1:16" s="58" customFormat="1">
      <c r="A157" s="59">
        <v>153</v>
      </c>
      <c r="B157" s="60" t="s">
        <v>95</v>
      </c>
      <c r="C157" s="60" t="s">
        <v>324</v>
      </c>
      <c r="D157" s="61" t="s">
        <v>308</v>
      </c>
      <c r="E157" s="61" t="s">
        <v>325</v>
      </c>
      <c r="F157" s="79">
        <v>45652</v>
      </c>
      <c r="G157" s="62" t="s">
        <v>310</v>
      </c>
      <c r="H157" s="59" t="s">
        <v>483</v>
      </c>
      <c r="I157" s="61" t="s">
        <v>312</v>
      </c>
      <c r="J157" s="504">
        <v>2.5</v>
      </c>
      <c r="K157" s="491">
        <v>0.94859000000000004</v>
      </c>
      <c r="L157" s="78">
        <f t="shared" si="6"/>
        <v>2.3714750000000002</v>
      </c>
      <c r="M157" s="59"/>
      <c r="N157" s="63">
        <f t="shared" si="7"/>
        <v>2024</v>
      </c>
      <c r="O157" s="63">
        <f t="shared" si="8"/>
        <v>12</v>
      </c>
      <c r="P157" s="499">
        <v>0</v>
      </c>
    </row>
    <row r="158" spans="1:16" s="58" customFormat="1" ht="22.9">
      <c r="A158" s="59">
        <v>154</v>
      </c>
      <c r="B158" s="62">
        <v>2.2000000000000002</v>
      </c>
      <c r="C158" s="62" t="s">
        <v>484</v>
      </c>
      <c r="D158" s="59">
        <v>112</v>
      </c>
      <c r="E158" s="59">
        <v>26263</v>
      </c>
      <c r="F158" s="79">
        <v>45536</v>
      </c>
      <c r="G158" s="62" t="s">
        <v>485</v>
      </c>
      <c r="H158" s="61" t="s">
        <v>486</v>
      </c>
      <c r="I158" s="59" t="s">
        <v>312</v>
      </c>
      <c r="J158" s="504">
        <v>75</v>
      </c>
      <c r="K158" s="494">
        <v>0.90188000000000001</v>
      </c>
      <c r="L158" s="78">
        <f t="shared" si="6"/>
        <v>67.641000000000005</v>
      </c>
      <c r="M158" s="59"/>
      <c r="N158" s="63">
        <f t="shared" si="7"/>
        <v>2024</v>
      </c>
      <c r="O158" s="63">
        <f t="shared" si="8"/>
        <v>9</v>
      </c>
      <c r="P158" s="499">
        <v>0</v>
      </c>
    </row>
    <row r="159" spans="1:16" s="58" customFormat="1" ht="22.9">
      <c r="A159" s="59">
        <v>155</v>
      </c>
      <c r="B159" s="62">
        <v>2.2000000000000002</v>
      </c>
      <c r="C159" s="62" t="s">
        <v>487</v>
      </c>
      <c r="D159" s="59">
        <v>113</v>
      </c>
      <c r="E159" s="59">
        <v>26267</v>
      </c>
      <c r="F159" s="79">
        <v>45542</v>
      </c>
      <c r="G159" s="62" t="s">
        <v>485</v>
      </c>
      <c r="H159" s="61" t="s">
        <v>488</v>
      </c>
      <c r="I159" s="59" t="s">
        <v>312</v>
      </c>
      <c r="J159" s="504">
        <v>71</v>
      </c>
      <c r="K159" s="494">
        <v>0.90188000000000001</v>
      </c>
      <c r="L159" s="78">
        <f t="shared" si="6"/>
        <v>64.033479999999997</v>
      </c>
      <c r="M159" s="59"/>
      <c r="N159" s="63">
        <f t="shared" si="7"/>
        <v>2024</v>
      </c>
      <c r="O159" s="63">
        <f t="shared" si="8"/>
        <v>9</v>
      </c>
      <c r="P159" s="499">
        <v>0</v>
      </c>
    </row>
    <row r="160" spans="1:16" s="58" customFormat="1" ht="22.9">
      <c r="A160" s="59">
        <v>156</v>
      </c>
      <c r="B160" s="62">
        <v>2.2000000000000002</v>
      </c>
      <c r="C160" s="60" t="s">
        <v>489</v>
      </c>
      <c r="D160" s="59">
        <v>114</v>
      </c>
      <c r="E160" s="59">
        <v>26273</v>
      </c>
      <c r="F160" s="79">
        <v>45566</v>
      </c>
      <c r="G160" s="62" t="s">
        <v>485</v>
      </c>
      <c r="H160" s="61" t="s">
        <v>490</v>
      </c>
      <c r="I160" s="59" t="s">
        <v>312</v>
      </c>
      <c r="J160" s="504">
        <v>44.9</v>
      </c>
      <c r="K160" s="494">
        <v>0.89622000000000002</v>
      </c>
      <c r="L160" s="78">
        <f t="shared" si="6"/>
        <v>40.240277999999996</v>
      </c>
      <c r="M160" s="59"/>
      <c r="N160" s="63">
        <f t="shared" si="7"/>
        <v>2024</v>
      </c>
      <c r="O160" s="63">
        <f t="shared" si="8"/>
        <v>10</v>
      </c>
      <c r="P160" s="499">
        <v>0</v>
      </c>
    </row>
    <row r="161" spans="1:16" s="58" customFormat="1">
      <c r="A161" s="59">
        <v>157</v>
      </c>
      <c r="B161" s="62">
        <v>2.2000000000000002</v>
      </c>
      <c r="C161" s="62" t="s">
        <v>491</v>
      </c>
      <c r="D161" s="59">
        <v>115</v>
      </c>
      <c r="E161" s="59">
        <v>751</v>
      </c>
      <c r="F161" s="79">
        <v>45567</v>
      </c>
      <c r="G161" s="62" t="s">
        <v>492</v>
      </c>
      <c r="H161" s="61" t="s">
        <v>493</v>
      </c>
      <c r="I161" s="59" t="s">
        <v>312</v>
      </c>
      <c r="J161" s="504">
        <v>96.5</v>
      </c>
      <c r="K161" s="494">
        <v>0.89622000000000002</v>
      </c>
      <c r="L161" s="78">
        <f t="shared" si="6"/>
        <v>86.485230000000001</v>
      </c>
      <c r="M161" s="59"/>
      <c r="N161" s="63">
        <f t="shared" si="7"/>
        <v>2024</v>
      </c>
      <c r="O161" s="63">
        <f t="shared" si="8"/>
        <v>10</v>
      </c>
      <c r="P161" s="499">
        <v>0</v>
      </c>
    </row>
    <row r="162" spans="1:16" s="58" customFormat="1">
      <c r="A162" s="59">
        <v>158</v>
      </c>
      <c r="B162" s="62">
        <v>2.2000000000000002</v>
      </c>
      <c r="C162" s="62" t="s">
        <v>494</v>
      </c>
      <c r="D162" s="59">
        <v>117</v>
      </c>
      <c r="E162" s="59">
        <v>3156</v>
      </c>
      <c r="F162" s="79">
        <v>45599</v>
      </c>
      <c r="G162" s="62" t="s">
        <v>492</v>
      </c>
      <c r="H162" s="61" t="s">
        <v>495</v>
      </c>
      <c r="I162" s="59" t="s">
        <v>210</v>
      </c>
      <c r="J162" s="504">
        <v>2772</v>
      </c>
      <c r="K162" s="494">
        <v>2.6960000000000001E-2</v>
      </c>
      <c r="L162" s="78">
        <f t="shared" si="6"/>
        <v>74.73312</v>
      </c>
      <c r="M162" s="59"/>
      <c r="N162" s="63">
        <f t="shared" si="7"/>
        <v>2024</v>
      </c>
      <c r="O162" s="63">
        <f t="shared" si="8"/>
        <v>11</v>
      </c>
      <c r="P162" s="499">
        <v>0</v>
      </c>
    </row>
    <row r="163" spans="1:16" s="58" customFormat="1" ht="34.15">
      <c r="A163" s="59">
        <v>159</v>
      </c>
      <c r="B163" s="62">
        <v>2.2000000000000002</v>
      </c>
      <c r="C163" s="62" t="s">
        <v>496</v>
      </c>
      <c r="D163" s="59">
        <v>120</v>
      </c>
      <c r="E163" s="59">
        <v>3154</v>
      </c>
      <c r="F163" s="79">
        <v>45619</v>
      </c>
      <c r="G163" s="62" t="s">
        <v>492</v>
      </c>
      <c r="H163" s="60" t="s">
        <v>497</v>
      </c>
      <c r="I163" s="61" t="s">
        <v>210</v>
      </c>
      <c r="J163" s="504">
        <v>3412</v>
      </c>
      <c r="K163" s="494">
        <v>2.6960000000000001E-2</v>
      </c>
      <c r="L163" s="78">
        <f t="shared" si="6"/>
        <v>91.987520000000004</v>
      </c>
      <c r="M163" s="59"/>
      <c r="N163" s="63">
        <f t="shared" si="7"/>
        <v>2024</v>
      </c>
      <c r="O163" s="63">
        <f t="shared" si="8"/>
        <v>11</v>
      </c>
      <c r="P163" s="499">
        <v>0</v>
      </c>
    </row>
    <row r="164" spans="1:16" s="58" customFormat="1">
      <c r="A164" s="59">
        <v>160</v>
      </c>
      <c r="B164" s="62">
        <v>2.2000000000000002</v>
      </c>
      <c r="C164" s="60" t="s">
        <v>498</v>
      </c>
      <c r="D164" s="59">
        <v>139</v>
      </c>
      <c r="E164" s="59">
        <v>3157</v>
      </c>
      <c r="F164" s="79">
        <v>45627</v>
      </c>
      <c r="G164" s="62" t="s">
        <v>492</v>
      </c>
      <c r="H164" s="61" t="s">
        <v>499</v>
      </c>
      <c r="I164" s="61" t="s">
        <v>210</v>
      </c>
      <c r="J164" s="504">
        <v>3060</v>
      </c>
      <c r="K164" s="491">
        <v>2.741E-2</v>
      </c>
      <c r="L164" s="78">
        <f t="shared" si="6"/>
        <v>83.874600000000001</v>
      </c>
      <c r="M164" s="59"/>
      <c r="N164" s="63">
        <f t="shared" si="7"/>
        <v>2024</v>
      </c>
      <c r="O164" s="63">
        <f t="shared" si="8"/>
        <v>12</v>
      </c>
      <c r="P164" s="499">
        <v>0</v>
      </c>
    </row>
    <row r="165" spans="1:16" s="58" customFormat="1" ht="22.9">
      <c r="A165" s="59">
        <v>161</v>
      </c>
      <c r="B165" s="62">
        <v>2.2000000000000002</v>
      </c>
      <c r="C165" s="60" t="s">
        <v>500</v>
      </c>
      <c r="D165" s="59">
        <v>153</v>
      </c>
      <c r="E165" s="67">
        <v>36</v>
      </c>
      <c r="F165" s="79">
        <v>45643</v>
      </c>
      <c r="G165" s="62" t="s">
        <v>501</v>
      </c>
      <c r="H165" s="61" t="s">
        <v>502</v>
      </c>
      <c r="I165" s="61" t="s">
        <v>210</v>
      </c>
      <c r="J165" s="504">
        <v>3120</v>
      </c>
      <c r="K165" s="491">
        <v>2.741E-2</v>
      </c>
      <c r="L165" s="78">
        <f t="shared" si="6"/>
        <v>85.519199999999998</v>
      </c>
      <c r="M165" s="59"/>
      <c r="N165" s="63">
        <f t="shared" si="7"/>
        <v>2024</v>
      </c>
      <c r="O165" s="63">
        <f t="shared" si="8"/>
        <v>12</v>
      </c>
      <c r="P165" s="499">
        <v>0</v>
      </c>
    </row>
    <row r="166" spans="1:16" s="58" customFormat="1">
      <c r="A166" s="59">
        <v>162</v>
      </c>
      <c r="B166" s="62">
        <v>2.2000000000000002</v>
      </c>
      <c r="C166" s="60" t="s">
        <v>503</v>
      </c>
      <c r="D166" s="59">
        <v>3169</v>
      </c>
      <c r="E166" s="59">
        <v>3169</v>
      </c>
      <c r="F166" s="79">
        <v>45650</v>
      </c>
      <c r="G166" s="62" t="s">
        <v>492</v>
      </c>
      <c r="H166" s="61" t="s">
        <v>504</v>
      </c>
      <c r="I166" s="61" t="s">
        <v>210</v>
      </c>
      <c r="J166" s="504">
        <v>13165</v>
      </c>
      <c r="K166" s="491">
        <v>2.741E-2</v>
      </c>
      <c r="L166" s="78">
        <f t="shared" si="6"/>
        <v>360.85264999999998</v>
      </c>
      <c r="M166" s="59"/>
      <c r="N166" s="63">
        <f t="shared" si="7"/>
        <v>2024</v>
      </c>
      <c r="O166" s="63">
        <f t="shared" si="8"/>
        <v>12</v>
      </c>
      <c r="P166" s="499">
        <v>0</v>
      </c>
    </row>
    <row r="167" spans="1:16" s="58" customFormat="1" ht="45.6">
      <c r="A167" s="59">
        <v>163</v>
      </c>
      <c r="B167" s="60" t="s">
        <v>139</v>
      </c>
      <c r="C167" s="60" t="s">
        <v>505</v>
      </c>
      <c r="D167" s="59" t="s">
        <v>308</v>
      </c>
      <c r="E167" s="59">
        <v>5601</v>
      </c>
      <c r="F167" s="79">
        <v>45617</v>
      </c>
      <c r="G167" s="62" t="s">
        <v>506</v>
      </c>
      <c r="H167" s="60" t="s">
        <v>507</v>
      </c>
      <c r="I167" s="59" t="s">
        <v>312</v>
      </c>
      <c r="J167" s="504">
        <v>2790.8</v>
      </c>
      <c r="K167" s="494">
        <v>0.92464000000000002</v>
      </c>
      <c r="L167" s="78">
        <f t="shared" si="6"/>
        <v>2580.4853120000002</v>
      </c>
      <c r="M167" s="59"/>
      <c r="N167" s="63">
        <f t="shared" si="7"/>
        <v>2024</v>
      </c>
      <c r="O167" s="63">
        <f t="shared" si="8"/>
        <v>11</v>
      </c>
      <c r="P167" s="499">
        <v>1</v>
      </c>
    </row>
    <row r="168" spans="1:16" s="58" customFormat="1" ht="45.6">
      <c r="A168" s="59">
        <v>164</v>
      </c>
      <c r="B168" s="60" t="s">
        <v>139</v>
      </c>
      <c r="C168" s="60" t="s">
        <v>320</v>
      </c>
      <c r="D168" s="59" t="s">
        <v>308</v>
      </c>
      <c r="E168" s="59" t="s">
        <v>309</v>
      </c>
      <c r="F168" s="79">
        <v>45624</v>
      </c>
      <c r="G168" s="62" t="s">
        <v>310</v>
      </c>
      <c r="H168" s="60" t="s">
        <v>508</v>
      </c>
      <c r="I168" s="59" t="s">
        <v>312</v>
      </c>
      <c r="J168" s="504">
        <v>2.798</v>
      </c>
      <c r="K168" s="494">
        <v>0.92464000000000002</v>
      </c>
      <c r="L168" s="78">
        <f t="shared" si="6"/>
        <v>2.5871427200000001</v>
      </c>
      <c r="M168" s="59"/>
      <c r="N168" s="63">
        <f t="shared" si="7"/>
        <v>2024</v>
      </c>
      <c r="O168" s="63">
        <f t="shared" si="8"/>
        <v>11</v>
      </c>
      <c r="P168" s="499">
        <v>0</v>
      </c>
    </row>
    <row r="169" spans="1:16" s="58" customFormat="1" ht="22.9">
      <c r="A169" s="59">
        <v>165</v>
      </c>
      <c r="B169" s="60" t="s">
        <v>139</v>
      </c>
      <c r="C169" s="60" t="s">
        <v>509</v>
      </c>
      <c r="D169" s="59" t="s">
        <v>308</v>
      </c>
      <c r="E169" s="59">
        <v>1681</v>
      </c>
      <c r="F169" s="79">
        <v>45627</v>
      </c>
      <c r="G169" s="62" t="s">
        <v>510</v>
      </c>
      <c r="H169" s="60" t="s">
        <v>511</v>
      </c>
      <c r="I169" s="59" t="s">
        <v>312</v>
      </c>
      <c r="J169" s="504">
        <v>210</v>
      </c>
      <c r="K169" s="491">
        <v>0.94859000000000004</v>
      </c>
      <c r="L169" s="78">
        <f t="shared" si="6"/>
        <v>199.2039</v>
      </c>
      <c r="M169" s="59"/>
      <c r="N169" s="63">
        <f t="shared" si="7"/>
        <v>2024</v>
      </c>
      <c r="O169" s="63">
        <f t="shared" si="8"/>
        <v>12</v>
      </c>
      <c r="P169" s="499">
        <v>0</v>
      </c>
    </row>
    <row r="170" spans="1:16" s="58" customFormat="1" ht="22.9">
      <c r="A170" s="59">
        <v>166</v>
      </c>
      <c r="B170" s="60" t="s">
        <v>142</v>
      </c>
      <c r="C170" s="60" t="s">
        <v>512</v>
      </c>
      <c r="D170" s="59" t="s">
        <v>308</v>
      </c>
      <c r="E170" s="61" t="s">
        <v>513</v>
      </c>
      <c r="F170" s="79">
        <v>45608</v>
      </c>
      <c r="G170" s="62" t="s">
        <v>510</v>
      </c>
      <c r="H170" s="60" t="s">
        <v>514</v>
      </c>
      <c r="I170" s="59" t="s">
        <v>312</v>
      </c>
      <c r="J170" s="504">
        <v>559.65</v>
      </c>
      <c r="K170" s="494">
        <v>0.92464000000000002</v>
      </c>
      <c r="L170" s="78">
        <f t="shared" si="6"/>
        <v>517.47477600000002</v>
      </c>
      <c r="M170" s="59"/>
      <c r="N170" s="63">
        <f t="shared" si="7"/>
        <v>2024</v>
      </c>
      <c r="O170" s="63">
        <f t="shared" si="8"/>
        <v>11</v>
      </c>
      <c r="P170" s="499">
        <v>0</v>
      </c>
    </row>
    <row r="171" spans="1:16" s="58" customFormat="1" ht="22.9">
      <c r="A171" s="59">
        <v>167</v>
      </c>
      <c r="B171" s="60" t="s">
        <v>142</v>
      </c>
      <c r="C171" s="60" t="s">
        <v>320</v>
      </c>
      <c r="D171" s="59" t="s">
        <v>308</v>
      </c>
      <c r="E171" s="59" t="s">
        <v>309</v>
      </c>
      <c r="F171" s="79">
        <v>45624</v>
      </c>
      <c r="G171" s="62" t="s">
        <v>310</v>
      </c>
      <c r="H171" s="60" t="s">
        <v>515</v>
      </c>
      <c r="I171" s="59" t="s">
        <v>312</v>
      </c>
      <c r="J171" s="504">
        <v>5.5964999999999998</v>
      </c>
      <c r="K171" s="494">
        <v>0.92464000000000002</v>
      </c>
      <c r="L171" s="78">
        <f t="shared" si="6"/>
        <v>5.1747477599999998</v>
      </c>
      <c r="M171" s="59"/>
      <c r="N171" s="63">
        <f t="shared" si="7"/>
        <v>2024</v>
      </c>
      <c r="O171" s="63">
        <f t="shared" si="8"/>
        <v>11</v>
      </c>
      <c r="P171" s="499">
        <v>0</v>
      </c>
    </row>
    <row r="172" spans="1:16" s="58" customFormat="1" ht="34.15">
      <c r="A172" s="59">
        <v>168</v>
      </c>
      <c r="B172" s="62">
        <v>4.3</v>
      </c>
      <c r="C172" s="62" t="s">
        <v>516</v>
      </c>
      <c r="D172" s="59" t="s">
        <v>308</v>
      </c>
      <c r="E172" s="59">
        <v>3550</v>
      </c>
      <c r="F172" s="79">
        <v>45599</v>
      </c>
      <c r="G172" s="62" t="s">
        <v>517</v>
      </c>
      <c r="H172" s="60" t="s">
        <v>518</v>
      </c>
      <c r="I172" s="59" t="s">
        <v>312</v>
      </c>
      <c r="J172" s="504">
        <v>576</v>
      </c>
      <c r="K172" s="494">
        <v>0.92464000000000002</v>
      </c>
      <c r="L172" s="78">
        <f t="shared" si="6"/>
        <v>532.59263999999996</v>
      </c>
      <c r="M172" s="59"/>
      <c r="N172" s="63">
        <f t="shared" si="7"/>
        <v>2024</v>
      </c>
      <c r="O172" s="63">
        <f t="shared" si="8"/>
        <v>11</v>
      </c>
      <c r="P172" s="499">
        <v>0</v>
      </c>
    </row>
    <row r="173" spans="1:16" s="58" customFormat="1" ht="22.9">
      <c r="A173" s="59">
        <v>169</v>
      </c>
      <c r="B173" s="62">
        <v>4.3</v>
      </c>
      <c r="C173" s="62" t="s">
        <v>519</v>
      </c>
      <c r="D173" s="59">
        <v>156</v>
      </c>
      <c r="E173" s="59">
        <v>918</v>
      </c>
      <c r="F173" s="79">
        <v>45622</v>
      </c>
      <c r="G173" s="62" t="s">
        <v>520</v>
      </c>
      <c r="H173" s="61" t="s">
        <v>521</v>
      </c>
      <c r="I173" s="59" t="s">
        <v>210</v>
      </c>
      <c r="J173" s="504">
        <v>2750</v>
      </c>
      <c r="K173" s="494">
        <v>2.6960000000000001E-2</v>
      </c>
      <c r="L173" s="78">
        <f t="shared" si="6"/>
        <v>74.14</v>
      </c>
      <c r="M173" s="59"/>
      <c r="N173" s="63">
        <f t="shared" si="7"/>
        <v>2024</v>
      </c>
      <c r="O173" s="63">
        <f t="shared" si="8"/>
        <v>11</v>
      </c>
      <c r="P173" s="499">
        <v>0</v>
      </c>
    </row>
    <row r="174" spans="1:16" s="58" customFormat="1" ht="45.6">
      <c r="A174" s="59">
        <v>170</v>
      </c>
      <c r="B174" s="62">
        <v>4.3</v>
      </c>
      <c r="C174" s="62" t="s">
        <v>320</v>
      </c>
      <c r="D174" s="59" t="s">
        <v>308</v>
      </c>
      <c r="E174" s="59" t="s">
        <v>309</v>
      </c>
      <c r="F174" s="79">
        <v>45624</v>
      </c>
      <c r="G174" s="62" t="s">
        <v>310</v>
      </c>
      <c r="H174" s="60" t="s">
        <v>522</v>
      </c>
      <c r="I174" s="59" t="s">
        <v>312</v>
      </c>
      <c r="J174" s="504">
        <v>5.76</v>
      </c>
      <c r="K174" s="494">
        <v>0.92464000000000002</v>
      </c>
      <c r="L174" s="78">
        <f t="shared" si="6"/>
        <v>5.3259264000000002</v>
      </c>
      <c r="M174" s="59"/>
      <c r="N174" s="63">
        <f t="shared" si="7"/>
        <v>2024</v>
      </c>
      <c r="O174" s="63">
        <f t="shared" si="8"/>
        <v>11</v>
      </c>
      <c r="P174" s="499">
        <v>0</v>
      </c>
    </row>
    <row r="175" spans="1:16" s="58" customFormat="1" ht="34.15">
      <c r="A175" s="59">
        <v>171</v>
      </c>
      <c r="B175" s="62">
        <v>4.3</v>
      </c>
      <c r="C175" s="62" t="s">
        <v>523</v>
      </c>
      <c r="D175" s="59" t="s">
        <v>308</v>
      </c>
      <c r="E175" s="59">
        <v>308</v>
      </c>
      <c r="F175" s="79">
        <v>45624</v>
      </c>
      <c r="G175" s="62" t="s">
        <v>524</v>
      </c>
      <c r="H175" s="60" t="s">
        <v>525</v>
      </c>
      <c r="I175" s="59" t="s">
        <v>312</v>
      </c>
      <c r="J175" s="504">
        <v>1240</v>
      </c>
      <c r="K175" s="494">
        <v>0.92464000000000002</v>
      </c>
      <c r="L175" s="78">
        <f t="shared" si="6"/>
        <v>1146.5536</v>
      </c>
      <c r="M175" s="59"/>
      <c r="N175" s="63">
        <f t="shared" si="7"/>
        <v>2024</v>
      </c>
      <c r="O175" s="63">
        <f t="shared" si="8"/>
        <v>11</v>
      </c>
      <c r="P175" s="499">
        <v>0</v>
      </c>
    </row>
    <row r="176" spans="1:16" s="58" customFormat="1" ht="22.9">
      <c r="A176" s="59">
        <v>172</v>
      </c>
      <c r="B176" s="62">
        <v>4.5</v>
      </c>
      <c r="C176" s="60" t="s">
        <v>526</v>
      </c>
      <c r="D176" s="59">
        <v>148</v>
      </c>
      <c r="E176" s="59">
        <v>157</v>
      </c>
      <c r="F176" s="79">
        <v>45641</v>
      </c>
      <c r="G176" s="62" t="s">
        <v>527</v>
      </c>
      <c r="H176" s="61" t="s">
        <v>528</v>
      </c>
      <c r="I176" s="59" t="s">
        <v>210</v>
      </c>
      <c r="J176" s="504">
        <v>3259.5</v>
      </c>
      <c r="K176" s="494">
        <v>2.741E-2</v>
      </c>
      <c r="L176" s="78">
        <f t="shared" si="6"/>
        <v>89.342894999999999</v>
      </c>
      <c r="M176" s="59"/>
      <c r="N176" s="63">
        <f t="shared" si="7"/>
        <v>2024</v>
      </c>
      <c r="O176" s="63">
        <f t="shared" si="8"/>
        <v>12</v>
      </c>
      <c r="P176" s="499">
        <v>0</v>
      </c>
    </row>
    <row r="177" spans="1:16" s="73" customFormat="1" ht="34.15">
      <c r="A177" s="69">
        <v>173</v>
      </c>
      <c r="B177" s="71">
        <v>4.3</v>
      </c>
      <c r="C177" s="71" t="s">
        <v>529</v>
      </c>
      <c r="D177" s="69">
        <v>4677</v>
      </c>
      <c r="E177" s="69">
        <v>4677</v>
      </c>
      <c r="F177" s="80">
        <v>45601</v>
      </c>
      <c r="G177" s="71" t="s">
        <v>530</v>
      </c>
      <c r="H177" s="71" t="s">
        <v>531</v>
      </c>
      <c r="I177" s="69" t="s">
        <v>210</v>
      </c>
      <c r="J177" s="505">
        <v>894.5</v>
      </c>
      <c r="K177" s="497">
        <v>2.6960000000000001E-2</v>
      </c>
      <c r="L177" s="81">
        <f t="shared" si="6"/>
        <v>24.11572</v>
      </c>
      <c r="M177" s="69"/>
      <c r="N177" s="72">
        <f t="shared" si="7"/>
        <v>2024</v>
      </c>
      <c r="O177" s="72">
        <f t="shared" si="8"/>
        <v>11</v>
      </c>
      <c r="P177" s="499">
        <v>0</v>
      </c>
    </row>
    <row r="178" spans="1:16" s="58" customFormat="1" ht="45.6">
      <c r="A178" s="59">
        <v>174</v>
      </c>
      <c r="B178" s="62">
        <v>4.3</v>
      </c>
      <c r="C178" s="60" t="s">
        <v>532</v>
      </c>
      <c r="D178" s="59">
        <v>1687</v>
      </c>
      <c r="E178" s="59">
        <v>1687</v>
      </c>
      <c r="F178" s="79">
        <v>45601</v>
      </c>
      <c r="G178" s="60" t="s">
        <v>510</v>
      </c>
      <c r="H178" s="60" t="s">
        <v>533</v>
      </c>
      <c r="I178" s="61" t="s">
        <v>312</v>
      </c>
      <c r="J178" s="504">
        <v>412.25</v>
      </c>
      <c r="K178" s="494">
        <v>0.92464000000000002</v>
      </c>
      <c r="L178" s="78">
        <f t="shared" si="6"/>
        <v>381.18284</v>
      </c>
      <c r="M178" s="59"/>
      <c r="N178" s="63">
        <f t="shared" si="7"/>
        <v>2024</v>
      </c>
      <c r="O178" s="63">
        <f t="shared" si="8"/>
        <v>11</v>
      </c>
      <c r="P178" s="499">
        <v>0</v>
      </c>
    </row>
    <row r="179" spans="1:16" s="58" customFormat="1">
      <c r="A179" s="59">
        <v>175</v>
      </c>
      <c r="B179" s="60" t="s">
        <v>65</v>
      </c>
      <c r="C179" s="60" t="s">
        <v>534</v>
      </c>
      <c r="D179" s="60" t="s">
        <v>535</v>
      </c>
      <c r="E179" s="61" t="s">
        <v>207</v>
      </c>
      <c r="F179" s="79">
        <v>45688</v>
      </c>
      <c r="G179" s="60" t="s">
        <v>208</v>
      </c>
      <c r="H179" s="60" t="s">
        <v>536</v>
      </c>
      <c r="I179" s="61" t="s">
        <v>210</v>
      </c>
      <c r="J179" s="504">
        <v>17647.669999999998</v>
      </c>
      <c r="K179" s="494">
        <v>2.7109999999999999E-2</v>
      </c>
      <c r="L179" s="78">
        <f t="shared" si="6"/>
        <v>478.42833369999994</v>
      </c>
      <c r="M179" s="59"/>
      <c r="N179" s="63">
        <f t="shared" si="7"/>
        <v>2025</v>
      </c>
      <c r="O179" s="65">
        <f t="shared" si="8"/>
        <v>1</v>
      </c>
      <c r="P179" s="499">
        <v>0</v>
      </c>
    </row>
    <row r="180" spans="1:16" s="58" customFormat="1" ht="22.9">
      <c r="A180" s="59">
        <v>176</v>
      </c>
      <c r="B180" s="60" t="s">
        <v>65</v>
      </c>
      <c r="C180" s="60" t="s">
        <v>534</v>
      </c>
      <c r="D180" s="61" t="s">
        <v>537</v>
      </c>
      <c r="E180" s="61" t="s">
        <v>215</v>
      </c>
      <c r="F180" s="79">
        <v>45688</v>
      </c>
      <c r="G180" s="60" t="s">
        <v>208</v>
      </c>
      <c r="H180" s="60" t="s">
        <v>538</v>
      </c>
      <c r="I180" s="61" t="s">
        <v>210</v>
      </c>
      <c r="J180" s="504">
        <v>45512.72</v>
      </c>
      <c r="K180" s="494">
        <v>2.7109999999999999E-2</v>
      </c>
      <c r="L180" s="78">
        <f t="shared" si="6"/>
        <v>1233.8498391999999</v>
      </c>
      <c r="M180" s="59"/>
      <c r="N180" s="63">
        <f t="shared" si="7"/>
        <v>2025</v>
      </c>
      <c r="O180" s="65">
        <f t="shared" si="8"/>
        <v>1</v>
      </c>
      <c r="P180" s="499">
        <v>0</v>
      </c>
    </row>
    <row r="181" spans="1:16" s="58" customFormat="1">
      <c r="A181" s="59">
        <v>177</v>
      </c>
      <c r="B181" s="60" t="s">
        <v>65</v>
      </c>
      <c r="C181" s="60" t="s">
        <v>534</v>
      </c>
      <c r="D181" s="59" t="s">
        <v>539</v>
      </c>
      <c r="E181" s="61" t="s">
        <v>539</v>
      </c>
      <c r="F181" s="79">
        <v>45688</v>
      </c>
      <c r="G181" s="60" t="s">
        <v>208</v>
      </c>
      <c r="H181" s="60" t="s">
        <v>540</v>
      </c>
      <c r="I181" s="61" t="s">
        <v>210</v>
      </c>
      <c r="J181" s="504">
        <v>-77.38</v>
      </c>
      <c r="K181" s="494">
        <v>2.7109999999999999E-2</v>
      </c>
      <c r="L181" s="78">
        <f t="shared" si="6"/>
        <v>-2.0977717999999999</v>
      </c>
      <c r="M181" s="59"/>
      <c r="N181" s="63">
        <f t="shared" si="7"/>
        <v>2025</v>
      </c>
      <c r="O181" s="65">
        <f t="shared" si="8"/>
        <v>1</v>
      </c>
      <c r="P181" s="499">
        <v>0</v>
      </c>
    </row>
    <row r="182" spans="1:16" s="58" customFormat="1" ht="22.9">
      <c r="A182" s="59">
        <v>178</v>
      </c>
      <c r="B182" s="60" t="s">
        <v>65</v>
      </c>
      <c r="C182" s="60" t="s">
        <v>534</v>
      </c>
      <c r="D182" s="59">
        <v>581739</v>
      </c>
      <c r="E182" s="61" t="s">
        <v>212</v>
      </c>
      <c r="F182" s="79">
        <v>45688</v>
      </c>
      <c r="G182" s="60" t="s">
        <v>208</v>
      </c>
      <c r="H182" s="60" t="s">
        <v>541</v>
      </c>
      <c r="I182" s="61" t="s">
        <v>210</v>
      </c>
      <c r="J182" s="504">
        <v>3766.38</v>
      </c>
      <c r="K182" s="494">
        <v>2.7109999999999999E-2</v>
      </c>
      <c r="L182" s="78">
        <f t="shared" si="6"/>
        <v>102.10656179999999</v>
      </c>
      <c r="M182" s="59"/>
      <c r="N182" s="63">
        <f t="shared" si="7"/>
        <v>2025</v>
      </c>
      <c r="O182" s="65">
        <f t="shared" si="8"/>
        <v>1</v>
      </c>
      <c r="P182" s="499">
        <v>0</v>
      </c>
    </row>
    <row r="183" spans="1:16" s="58" customFormat="1">
      <c r="A183" s="59">
        <v>179</v>
      </c>
      <c r="B183" s="60" t="s">
        <v>65</v>
      </c>
      <c r="C183" s="60" t="s">
        <v>542</v>
      </c>
      <c r="D183" s="61" t="s">
        <v>543</v>
      </c>
      <c r="E183" s="61" t="s">
        <v>207</v>
      </c>
      <c r="F183" s="79">
        <v>45716</v>
      </c>
      <c r="G183" s="60" t="s">
        <v>208</v>
      </c>
      <c r="H183" s="60" t="s">
        <v>544</v>
      </c>
      <c r="I183" s="61" t="s">
        <v>210</v>
      </c>
      <c r="J183" s="504">
        <v>18293.18</v>
      </c>
      <c r="K183" s="494">
        <v>2.6870000000000002E-2</v>
      </c>
      <c r="L183" s="78">
        <f t="shared" si="6"/>
        <v>491.53774660000005</v>
      </c>
      <c r="M183" s="59"/>
      <c r="N183" s="63">
        <f t="shared" si="7"/>
        <v>2025</v>
      </c>
      <c r="O183" s="65">
        <f t="shared" si="8"/>
        <v>2</v>
      </c>
      <c r="P183" s="499">
        <v>0</v>
      </c>
    </row>
    <row r="184" spans="1:16" s="58" customFormat="1">
      <c r="A184" s="59">
        <v>180</v>
      </c>
      <c r="B184" s="60" t="s">
        <v>65</v>
      </c>
      <c r="C184" s="60" t="s">
        <v>542</v>
      </c>
      <c r="D184" s="59" t="s">
        <v>539</v>
      </c>
      <c r="E184" s="61" t="s">
        <v>539</v>
      </c>
      <c r="F184" s="79">
        <v>45716</v>
      </c>
      <c r="G184" s="60" t="s">
        <v>208</v>
      </c>
      <c r="H184" s="60" t="s">
        <v>545</v>
      </c>
      <c r="I184" s="61" t="s">
        <v>210</v>
      </c>
      <c r="J184" s="504">
        <v>-251.69</v>
      </c>
      <c r="K184" s="494">
        <v>2.6870000000000002E-2</v>
      </c>
      <c r="L184" s="78">
        <f t="shared" si="6"/>
        <v>-6.7629103000000006</v>
      </c>
      <c r="M184" s="59"/>
      <c r="N184" s="63">
        <f t="shared" si="7"/>
        <v>2025</v>
      </c>
      <c r="O184" s="65">
        <f t="shared" si="8"/>
        <v>2</v>
      </c>
      <c r="P184" s="499">
        <v>0</v>
      </c>
    </row>
    <row r="185" spans="1:16" s="58" customFormat="1" ht="22.9">
      <c r="A185" s="59">
        <v>181</v>
      </c>
      <c r="B185" s="60" t="s">
        <v>65</v>
      </c>
      <c r="C185" s="60" t="s">
        <v>542</v>
      </c>
      <c r="D185" s="61" t="s">
        <v>546</v>
      </c>
      <c r="E185" s="61" t="s">
        <v>212</v>
      </c>
      <c r="F185" s="79">
        <v>45716</v>
      </c>
      <c r="G185" s="60" t="s">
        <v>208</v>
      </c>
      <c r="H185" s="60" t="s">
        <v>547</v>
      </c>
      <c r="I185" s="61" t="s">
        <v>210</v>
      </c>
      <c r="J185" s="504">
        <v>3809.07</v>
      </c>
      <c r="K185" s="494">
        <v>2.6870000000000002E-2</v>
      </c>
      <c r="L185" s="78">
        <f t="shared" si="6"/>
        <v>102.34971090000001</v>
      </c>
      <c r="M185" s="59"/>
      <c r="N185" s="63">
        <f t="shared" si="7"/>
        <v>2025</v>
      </c>
      <c r="O185" s="65">
        <f t="shared" si="8"/>
        <v>2</v>
      </c>
      <c r="P185" s="499">
        <v>0</v>
      </c>
    </row>
    <row r="186" spans="1:16" s="58" customFormat="1" ht="22.9">
      <c r="A186" s="59">
        <v>182</v>
      </c>
      <c r="B186" s="60" t="s">
        <v>65</v>
      </c>
      <c r="C186" s="60" t="s">
        <v>542</v>
      </c>
      <c r="D186" s="61" t="s">
        <v>548</v>
      </c>
      <c r="E186" s="61" t="s">
        <v>215</v>
      </c>
      <c r="F186" s="79">
        <v>45716</v>
      </c>
      <c r="G186" s="60" t="s">
        <v>208</v>
      </c>
      <c r="H186" s="60" t="s">
        <v>549</v>
      </c>
      <c r="I186" s="61" t="s">
        <v>210</v>
      </c>
      <c r="J186" s="504">
        <v>45422.63</v>
      </c>
      <c r="K186" s="494">
        <v>2.6870000000000002E-2</v>
      </c>
      <c r="L186" s="78">
        <f t="shared" si="6"/>
        <v>1220.5060681</v>
      </c>
      <c r="M186" s="59"/>
      <c r="N186" s="63">
        <f t="shared" si="7"/>
        <v>2025</v>
      </c>
      <c r="O186" s="65">
        <f t="shared" si="8"/>
        <v>2</v>
      </c>
      <c r="P186" s="499">
        <v>0</v>
      </c>
    </row>
    <row r="187" spans="1:16" s="58" customFormat="1">
      <c r="A187" s="59">
        <v>183</v>
      </c>
      <c r="B187" s="60" t="s">
        <v>70</v>
      </c>
      <c r="C187" s="60" t="s">
        <v>550</v>
      </c>
      <c r="D187" s="60" t="s">
        <v>535</v>
      </c>
      <c r="E187" s="61" t="s">
        <v>207</v>
      </c>
      <c r="F187" s="79" t="s">
        <v>551</v>
      </c>
      <c r="G187" s="60" t="s">
        <v>251</v>
      </c>
      <c r="H187" s="60" t="s">
        <v>552</v>
      </c>
      <c r="I187" s="61" t="s">
        <v>210</v>
      </c>
      <c r="J187" s="504">
        <v>13750.42</v>
      </c>
      <c r="K187" s="494">
        <v>2.7109999999999999E-2</v>
      </c>
      <c r="L187" s="78">
        <f t="shared" si="6"/>
        <v>372.77388619999999</v>
      </c>
      <c r="M187" s="59"/>
      <c r="N187" s="63">
        <f t="shared" si="7"/>
        <v>2025</v>
      </c>
      <c r="O187" s="65">
        <f t="shared" si="8"/>
        <v>1</v>
      </c>
      <c r="P187" s="499">
        <v>0</v>
      </c>
    </row>
    <row r="188" spans="1:16" s="58" customFormat="1">
      <c r="A188" s="59">
        <v>184</v>
      </c>
      <c r="B188" s="60" t="s">
        <v>70</v>
      </c>
      <c r="C188" s="60" t="s">
        <v>550</v>
      </c>
      <c r="D188" s="59" t="s">
        <v>225</v>
      </c>
      <c r="E188" s="61" t="s">
        <v>225</v>
      </c>
      <c r="F188" s="79" t="s">
        <v>551</v>
      </c>
      <c r="G188" s="60" t="s">
        <v>251</v>
      </c>
      <c r="H188" s="60" t="s">
        <v>553</v>
      </c>
      <c r="I188" s="61" t="s">
        <v>210</v>
      </c>
      <c r="J188" s="504">
        <v>-60.3</v>
      </c>
      <c r="K188" s="494">
        <v>2.7109999999999999E-2</v>
      </c>
      <c r="L188" s="78">
        <f t="shared" si="6"/>
        <v>-1.6347329999999998</v>
      </c>
      <c r="M188" s="59"/>
      <c r="N188" s="63">
        <f t="shared" si="7"/>
        <v>2025</v>
      </c>
      <c r="O188" s="65">
        <f t="shared" si="8"/>
        <v>1</v>
      </c>
      <c r="P188" s="499">
        <v>0</v>
      </c>
    </row>
    <row r="189" spans="1:16" s="58" customFormat="1">
      <c r="A189" s="59">
        <v>185</v>
      </c>
      <c r="B189" s="60" t="s">
        <v>70</v>
      </c>
      <c r="C189" s="60" t="s">
        <v>550</v>
      </c>
      <c r="D189" s="59">
        <v>581739</v>
      </c>
      <c r="E189" s="61" t="s">
        <v>212</v>
      </c>
      <c r="F189" s="79" t="s">
        <v>551</v>
      </c>
      <c r="G189" s="60" t="s">
        <v>251</v>
      </c>
      <c r="H189" s="60" t="s">
        <v>554</v>
      </c>
      <c r="I189" s="61" t="s">
        <v>210</v>
      </c>
      <c r="J189" s="504">
        <v>2158.81</v>
      </c>
      <c r="K189" s="494">
        <v>2.7109999999999999E-2</v>
      </c>
      <c r="L189" s="78">
        <f t="shared" si="6"/>
        <v>58.525339099999997</v>
      </c>
      <c r="M189" s="59"/>
      <c r="N189" s="63">
        <f t="shared" si="7"/>
        <v>2025</v>
      </c>
      <c r="O189" s="65">
        <f t="shared" si="8"/>
        <v>1</v>
      </c>
      <c r="P189" s="499">
        <v>0</v>
      </c>
    </row>
    <row r="190" spans="1:16" s="58" customFormat="1">
      <c r="A190" s="59">
        <v>186</v>
      </c>
      <c r="B190" s="60" t="s">
        <v>70</v>
      </c>
      <c r="C190" s="60" t="s">
        <v>550</v>
      </c>
      <c r="D190" s="61" t="s">
        <v>555</v>
      </c>
      <c r="E190" s="61" t="s">
        <v>215</v>
      </c>
      <c r="F190" s="79" t="s">
        <v>551</v>
      </c>
      <c r="G190" s="60" t="s">
        <v>251</v>
      </c>
      <c r="H190" s="60" t="s">
        <v>556</v>
      </c>
      <c r="I190" s="61" t="s">
        <v>210</v>
      </c>
      <c r="J190" s="504">
        <v>37005.29</v>
      </c>
      <c r="K190" s="494">
        <v>2.7109999999999999E-2</v>
      </c>
      <c r="L190" s="78">
        <f t="shared" si="6"/>
        <v>1003.2134119</v>
      </c>
      <c r="M190" s="59"/>
      <c r="N190" s="63">
        <f t="shared" si="7"/>
        <v>2025</v>
      </c>
      <c r="O190" s="65">
        <f t="shared" si="8"/>
        <v>1</v>
      </c>
      <c r="P190" s="499">
        <v>0</v>
      </c>
    </row>
    <row r="191" spans="1:16" s="58" customFormat="1">
      <c r="A191" s="59">
        <v>187</v>
      </c>
      <c r="B191" s="60" t="s">
        <v>70</v>
      </c>
      <c r="C191" s="60" t="s">
        <v>557</v>
      </c>
      <c r="D191" s="59" t="s">
        <v>225</v>
      </c>
      <c r="E191" s="61" t="s">
        <v>225</v>
      </c>
      <c r="F191" s="79">
        <v>45716</v>
      </c>
      <c r="G191" s="60" t="s">
        <v>251</v>
      </c>
      <c r="H191" s="60" t="s">
        <v>558</v>
      </c>
      <c r="I191" s="61" t="s">
        <v>210</v>
      </c>
      <c r="J191" s="504">
        <v>-196.43</v>
      </c>
      <c r="K191" s="494">
        <v>2.6870000000000002E-2</v>
      </c>
      <c r="L191" s="78">
        <f t="shared" si="6"/>
        <v>-5.2780741000000004</v>
      </c>
      <c r="M191" s="59"/>
      <c r="N191" s="63">
        <f t="shared" si="7"/>
        <v>2025</v>
      </c>
      <c r="O191" s="65">
        <f t="shared" si="8"/>
        <v>2</v>
      </c>
      <c r="P191" s="499">
        <v>0</v>
      </c>
    </row>
    <row r="192" spans="1:16" s="58" customFormat="1">
      <c r="A192" s="59">
        <v>188</v>
      </c>
      <c r="B192" s="60" t="s">
        <v>70</v>
      </c>
      <c r="C192" s="60" t="s">
        <v>557</v>
      </c>
      <c r="D192" s="59" t="s">
        <v>207</v>
      </c>
      <c r="E192" s="61" t="s">
        <v>207</v>
      </c>
      <c r="F192" s="79">
        <v>45716</v>
      </c>
      <c r="G192" s="60" t="s">
        <v>251</v>
      </c>
      <c r="H192" s="60" t="s">
        <v>559</v>
      </c>
      <c r="I192" s="61" t="s">
        <v>210</v>
      </c>
      <c r="J192" s="504">
        <v>14276.93</v>
      </c>
      <c r="K192" s="494">
        <v>2.6870000000000002E-2</v>
      </c>
      <c r="L192" s="78">
        <f t="shared" si="6"/>
        <v>383.62110910000001</v>
      </c>
      <c r="M192" s="59"/>
      <c r="N192" s="63">
        <f t="shared" si="7"/>
        <v>2025</v>
      </c>
      <c r="O192" s="65">
        <f t="shared" si="8"/>
        <v>2</v>
      </c>
      <c r="P192" s="499">
        <v>0</v>
      </c>
    </row>
    <row r="193" spans="1:16" s="58" customFormat="1">
      <c r="A193" s="59">
        <v>189</v>
      </c>
      <c r="B193" s="60" t="s">
        <v>70</v>
      </c>
      <c r="C193" s="60" t="s">
        <v>557</v>
      </c>
      <c r="D193" s="61" t="s">
        <v>546</v>
      </c>
      <c r="E193" s="61" t="s">
        <v>212</v>
      </c>
      <c r="F193" s="79">
        <v>45716</v>
      </c>
      <c r="G193" s="60" t="s">
        <v>251</v>
      </c>
      <c r="H193" s="60" t="s">
        <v>560</v>
      </c>
      <c r="I193" s="61" t="s">
        <v>210</v>
      </c>
      <c r="J193" s="504">
        <v>2201.5</v>
      </c>
      <c r="K193" s="494">
        <v>2.6870000000000002E-2</v>
      </c>
      <c r="L193" s="78">
        <f t="shared" si="6"/>
        <v>59.154305000000001</v>
      </c>
      <c r="M193" s="59"/>
      <c r="N193" s="63">
        <f t="shared" si="7"/>
        <v>2025</v>
      </c>
      <c r="O193" s="65">
        <f t="shared" si="8"/>
        <v>2</v>
      </c>
      <c r="P193" s="499">
        <v>0</v>
      </c>
    </row>
    <row r="194" spans="1:16" s="58" customFormat="1">
      <c r="A194" s="59">
        <v>190</v>
      </c>
      <c r="B194" s="60" t="s">
        <v>70</v>
      </c>
      <c r="C194" s="60" t="s">
        <v>557</v>
      </c>
      <c r="D194" s="61" t="s">
        <v>561</v>
      </c>
      <c r="E194" s="61" t="s">
        <v>215</v>
      </c>
      <c r="F194" s="79" t="s">
        <v>562</v>
      </c>
      <c r="G194" s="60" t="s">
        <v>251</v>
      </c>
      <c r="H194" s="60" t="s">
        <v>563</v>
      </c>
      <c r="I194" s="61" t="s">
        <v>210</v>
      </c>
      <c r="J194" s="504">
        <v>36915.199999999997</v>
      </c>
      <c r="K194" s="494">
        <v>2.6870000000000002E-2</v>
      </c>
      <c r="L194" s="78">
        <f t="shared" si="6"/>
        <v>991.91142400000001</v>
      </c>
      <c r="M194" s="59"/>
      <c r="N194" s="63">
        <f t="shared" si="7"/>
        <v>2025</v>
      </c>
      <c r="O194" s="65">
        <f t="shared" si="8"/>
        <v>2</v>
      </c>
      <c r="P194" s="499">
        <v>0</v>
      </c>
    </row>
    <row r="195" spans="1:16" s="58" customFormat="1">
      <c r="A195" s="59">
        <v>191</v>
      </c>
      <c r="B195" s="60" t="s">
        <v>59</v>
      </c>
      <c r="C195" s="60" t="s">
        <v>564</v>
      </c>
      <c r="D195" s="59">
        <v>581739</v>
      </c>
      <c r="E195" s="61" t="s">
        <v>212</v>
      </c>
      <c r="F195" s="79">
        <v>45688</v>
      </c>
      <c r="G195" s="60" t="s">
        <v>565</v>
      </c>
      <c r="H195" s="60" t="s">
        <v>566</v>
      </c>
      <c r="I195" s="61" t="s">
        <v>210</v>
      </c>
      <c r="J195" s="504">
        <v>3484.01</v>
      </c>
      <c r="K195" s="494">
        <v>2.7109999999999999E-2</v>
      </c>
      <c r="L195" s="78">
        <f t="shared" si="6"/>
        <v>94.451511100000005</v>
      </c>
      <c r="M195" s="59"/>
      <c r="N195" s="63">
        <f t="shared" si="7"/>
        <v>2025</v>
      </c>
      <c r="O195" s="65">
        <f t="shared" si="8"/>
        <v>1</v>
      </c>
      <c r="P195" s="499">
        <v>0</v>
      </c>
    </row>
    <row r="196" spans="1:16" s="58" customFormat="1">
      <c r="A196" s="59">
        <v>192</v>
      </c>
      <c r="B196" s="60" t="s">
        <v>59</v>
      </c>
      <c r="C196" s="60" t="s">
        <v>564</v>
      </c>
      <c r="D196" s="59">
        <v>581739</v>
      </c>
      <c r="E196" s="61" t="s">
        <v>207</v>
      </c>
      <c r="F196" s="79">
        <v>45688</v>
      </c>
      <c r="G196" s="60" t="s">
        <v>565</v>
      </c>
      <c r="H196" s="60" t="s">
        <v>567</v>
      </c>
      <c r="I196" s="61" t="s">
        <v>210</v>
      </c>
      <c r="J196" s="504">
        <v>1704.71</v>
      </c>
      <c r="K196" s="494">
        <v>2.7109999999999999E-2</v>
      </c>
      <c r="L196" s="78">
        <f t="shared" si="6"/>
        <v>46.214688099999996</v>
      </c>
      <c r="M196" s="59"/>
      <c r="N196" s="63">
        <f t="shared" si="7"/>
        <v>2025</v>
      </c>
      <c r="O196" s="65">
        <f t="shared" si="8"/>
        <v>1</v>
      </c>
      <c r="P196" s="499">
        <v>1</v>
      </c>
    </row>
    <row r="197" spans="1:16" s="58" customFormat="1">
      <c r="A197" s="59">
        <v>193</v>
      </c>
      <c r="B197" s="60" t="s">
        <v>59</v>
      </c>
      <c r="C197" s="60" t="s">
        <v>564</v>
      </c>
      <c r="D197" s="61" t="s">
        <v>568</v>
      </c>
      <c r="E197" s="61" t="s">
        <v>215</v>
      </c>
      <c r="F197" s="79">
        <v>45688</v>
      </c>
      <c r="G197" s="60" t="s">
        <v>565</v>
      </c>
      <c r="H197" s="60" t="s">
        <v>569</v>
      </c>
      <c r="I197" s="61" t="s">
        <v>210</v>
      </c>
      <c r="J197" s="504">
        <v>31228.04</v>
      </c>
      <c r="K197" s="494">
        <v>2.7109999999999999E-2</v>
      </c>
      <c r="L197" s="78">
        <f t="shared" ref="L197:L260" si="9">K197*J197</f>
        <v>846.5921644</v>
      </c>
      <c r="M197" s="59"/>
      <c r="N197" s="63">
        <f t="shared" ref="N197:N260" si="10">YEAR(F197)</f>
        <v>2025</v>
      </c>
      <c r="O197" s="65">
        <f t="shared" ref="O197:O260" si="11">MONTH(F197)</f>
        <v>1</v>
      </c>
      <c r="P197" s="499">
        <v>0</v>
      </c>
    </row>
    <row r="198" spans="1:16" s="58" customFormat="1">
      <c r="A198" s="59">
        <v>194</v>
      </c>
      <c r="B198" s="60" t="s">
        <v>59</v>
      </c>
      <c r="C198" s="60" t="s">
        <v>570</v>
      </c>
      <c r="D198" s="61" t="s">
        <v>543</v>
      </c>
      <c r="E198" s="61" t="s">
        <v>207</v>
      </c>
      <c r="F198" s="79">
        <v>45716</v>
      </c>
      <c r="G198" s="60" t="s">
        <v>565</v>
      </c>
      <c r="H198" s="60" t="s">
        <v>571</v>
      </c>
      <c r="I198" s="61" t="s">
        <v>210</v>
      </c>
      <c r="J198" s="504">
        <v>13145.96</v>
      </c>
      <c r="K198" s="494">
        <v>2.6870000000000002E-2</v>
      </c>
      <c r="L198" s="78">
        <f t="shared" si="9"/>
        <v>353.23194519999998</v>
      </c>
      <c r="M198" s="59"/>
      <c r="N198" s="63">
        <f t="shared" si="10"/>
        <v>2025</v>
      </c>
      <c r="O198" s="65">
        <f t="shared" si="11"/>
        <v>2</v>
      </c>
      <c r="P198" s="499">
        <v>0</v>
      </c>
    </row>
    <row r="199" spans="1:16" s="58" customFormat="1">
      <c r="A199" s="59">
        <v>195</v>
      </c>
      <c r="B199" s="60" t="s">
        <v>59</v>
      </c>
      <c r="C199" s="60" t="s">
        <v>570</v>
      </c>
      <c r="D199" s="59" t="s">
        <v>572</v>
      </c>
      <c r="E199" s="61" t="s">
        <v>572</v>
      </c>
      <c r="F199" s="79">
        <v>45716</v>
      </c>
      <c r="G199" s="60" t="s">
        <v>565</v>
      </c>
      <c r="H199" s="60" t="s">
        <v>573</v>
      </c>
      <c r="I199" s="61" t="s">
        <v>210</v>
      </c>
      <c r="J199" s="504">
        <v>-180.87</v>
      </c>
      <c r="K199" s="494">
        <v>2.6870000000000002E-2</v>
      </c>
      <c r="L199" s="78">
        <f t="shared" si="9"/>
        <v>-4.8599769000000004</v>
      </c>
      <c r="M199" s="59"/>
      <c r="N199" s="63">
        <f t="shared" si="10"/>
        <v>2025</v>
      </c>
      <c r="O199" s="65">
        <f t="shared" si="11"/>
        <v>2</v>
      </c>
      <c r="P199" s="499">
        <v>0</v>
      </c>
    </row>
    <row r="200" spans="1:16" s="58" customFormat="1">
      <c r="A200" s="59">
        <v>196</v>
      </c>
      <c r="B200" s="60" t="s">
        <v>59</v>
      </c>
      <c r="C200" s="60" t="s">
        <v>570</v>
      </c>
      <c r="D200" s="61" t="s">
        <v>574</v>
      </c>
      <c r="E200" s="61" t="s">
        <v>215</v>
      </c>
      <c r="F200" s="79">
        <v>45716</v>
      </c>
      <c r="G200" s="60" t="s">
        <v>565</v>
      </c>
      <c r="H200" s="60" t="s">
        <v>575</v>
      </c>
      <c r="I200" s="61" t="s">
        <v>210</v>
      </c>
      <c r="J200" s="504">
        <v>31183</v>
      </c>
      <c r="K200" s="494">
        <v>2.6870000000000002E-2</v>
      </c>
      <c r="L200" s="78">
        <f t="shared" si="9"/>
        <v>837.8872100000001</v>
      </c>
      <c r="M200" s="59"/>
      <c r="N200" s="63">
        <f t="shared" si="10"/>
        <v>2025</v>
      </c>
      <c r="O200" s="65">
        <f t="shared" si="11"/>
        <v>2</v>
      </c>
      <c r="P200" s="499">
        <v>0</v>
      </c>
    </row>
    <row r="201" spans="1:16" s="58" customFormat="1">
      <c r="A201" s="59">
        <v>197</v>
      </c>
      <c r="B201" s="60" t="s">
        <v>59</v>
      </c>
      <c r="C201" s="60" t="s">
        <v>570</v>
      </c>
      <c r="D201" s="61" t="s">
        <v>546</v>
      </c>
      <c r="E201" s="61" t="s">
        <v>212</v>
      </c>
      <c r="F201" s="79">
        <v>45716</v>
      </c>
      <c r="G201" s="60" t="s">
        <v>565</v>
      </c>
      <c r="H201" s="60" t="s">
        <v>576</v>
      </c>
      <c r="I201" s="61" t="s">
        <v>210</v>
      </c>
      <c r="J201" s="504">
        <v>3505.35</v>
      </c>
      <c r="K201" s="494">
        <v>2.6870000000000002E-2</v>
      </c>
      <c r="L201" s="78">
        <f t="shared" si="9"/>
        <v>94.188754500000002</v>
      </c>
      <c r="M201" s="59"/>
      <c r="N201" s="63">
        <f t="shared" si="10"/>
        <v>2025</v>
      </c>
      <c r="O201" s="65">
        <f t="shared" si="11"/>
        <v>2</v>
      </c>
      <c r="P201" s="499">
        <v>0</v>
      </c>
    </row>
    <row r="202" spans="1:16" s="58" customFormat="1" ht="22.9">
      <c r="A202" s="59">
        <v>198</v>
      </c>
      <c r="B202" s="60" t="s">
        <v>69</v>
      </c>
      <c r="C202" s="60" t="s">
        <v>577</v>
      </c>
      <c r="D202" s="61" t="s">
        <v>578</v>
      </c>
      <c r="E202" s="61" t="s">
        <v>215</v>
      </c>
      <c r="F202" s="79">
        <v>45688</v>
      </c>
      <c r="G202" s="60" t="s">
        <v>281</v>
      </c>
      <c r="H202" s="60" t="s">
        <v>579</v>
      </c>
      <c r="I202" s="61" t="s">
        <v>210</v>
      </c>
      <c r="J202" s="504">
        <v>9457.99</v>
      </c>
      <c r="K202" s="494">
        <v>2.7109999999999999E-2</v>
      </c>
      <c r="L202" s="78">
        <f t="shared" si="9"/>
        <v>256.40610889999999</v>
      </c>
      <c r="M202" s="59"/>
      <c r="N202" s="63">
        <f t="shared" si="10"/>
        <v>2025</v>
      </c>
      <c r="O202" s="65">
        <f t="shared" si="11"/>
        <v>1</v>
      </c>
      <c r="P202" s="499">
        <v>0</v>
      </c>
    </row>
    <row r="203" spans="1:16" s="58" customFormat="1">
      <c r="A203" s="59">
        <v>199</v>
      </c>
      <c r="B203" s="60" t="s">
        <v>69</v>
      </c>
      <c r="C203" s="60" t="s">
        <v>577</v>
      </c>
      <c r="D203" s="59" t="s">
        <v>572</v>
      </c>
      <c r="E203" s="61" t="s">
        <v>572</v>
      </c>
      <c r="F203" s="79">
        <v>45688</v>
      </c>
      <c r="G203" s="60" t="s">
        <v>281</v>
      </c>
      <c r="H203" s="60" t="s">
        <v>580</v>
      </c>
      <c r="I203" s="61" t="s">
        <v>210</v>
      </c>
      <c r="J203" s="504">
        <v>-16.28</v>
      </c>
      <c r="K203" s="494">
        <v>2.7109999999999999E-2</v>
      </c>
      <c r="L203" s="78">
        <f t="shared" si="9"/>
        <v>-0.44135079999999999</v>
      </c>
      <c r="M203" s="59"/>
      <c r="N203" s="63">
        <f t="shared" si="10"/>
        <v>2025</v>
      </c>
      <c r="O203" s="65">
        <f t="shared" si="11"/>
        <v>1</v>
      </c>
      <c r="P203" s="499">
        <v>0</v>
      </c>
    </row>
    <row r="204" spans="1:16" s="58" customFormat="1" ht="22.9">
      <c r="A204" s="59">
        <v>200</v>
      </c>
      <c r="B204" s="60" t="s">
        <v>69</v>
      </c>
      <c r="C204" s="60" t="s">
        <v>577</v>
      </c>
      <c r="D204" s="59">
        <v>581739</v>
      </c>
      <c r="E204" s="61" t="s">
        <v>212</v>
      </c>
      <c r="F204" s="79">
        <v>45688</v>
      </c>
      <c r="G204" s="60" t="s">
        <v>281</v>
      </c>
      <c r="H204" s="60" t="s">
        <v>581</v>
      </c>
      <c r="I204" s="61" t="s">
        <v>210</v>
      </c>
      <c r="J204" s="504">
        <v>653.39</v>
      </c>
      <c r="K204" s="494">
        <v>2.7109999999999999E-2</v>
      </c>
      <c r="L204" s="78">
        <f t="shared" si="9"/>
        <v>17.713402899999998</v>
      </c>
      <c r="M204" s="59"/>
      <c r="N204" s="63">
        <f t="shared" si="10"/>
        <v>2025</v>
      </c>
      <c r="O204" s="65">
        <f t="shared" si="11"/>
        <v>1</v>
      </c>
      <c r="P204" s="499">
        <v>0</v>
      </c>
    </row>
    <row r="205" spans="1:16" s="58" customFormat="1">
      <c r="A205" s="59">
        <v>201</v>
      </c>
      <c r="B205" s="60" t="s">
        <v>69</v>
      </c>
      <c r="C205" s="60" t="s">
        <v>577</v>
      </c>
      <c r="D205" s="59">
        <v>581739</v>
      </c>
      <c r="E205" s="61" t="s">
        <v>207</v>
      </c>
      <c r="F205" s="79">
        <v>45688</v>
      </c>
      <c r="G205" s="60" t="s">
        <v>281</v>
      </c>
      <c r="H205" s="60" t="s">
        <v>582</v>
      </c>
      <c r="I205" s="61" t="s">
        <v>210</v>
      </c>
      <c r="J205" s="504">
        <v>3713.22</v>
      </c>
      <c r="K205" s="494">
        <v>2.7109999999999999E-2</v>
      </c>
      <c r="L205" s="78">
        <f t="shared" si="9"/>
        <v>100.66539419999999</v>
      </c>
      <c r="M205" s="59"/>
      <c r="N205" s="63">
        <f t="shared" si="10"/>
        <v>2025</v>
      </c>
      <c r="O205" s="65">
        <f t="shared" si="11"/>
        <v>1</v>
      </c>
      <c r="P205" s="499">
        <v>0</v>
      </c>
    </row>
    <row r="206" spans="1:16" s="58" customFormat="1">
      <c r="A206" s="59">
        <v>202</v>
      </c>
      <c r="B206" s="60" t="s">
        <v>69</v>
      </c>
      <c r="C206" s="60" t="s">
        <v>583</v>
      </c>
      <c r="D206" s="61" t="s">
        <v>546</v>
      </c>
      <c r="E206" s="61" t="s">
        <v>207</v>
      </c>
      <c r="F206" s="79">
        <v>45716</v>
      </c>
      <c r="G206" s="60" t="s">
        <v>281</v>
      </c>
      <c r="H206" s="60" t="s">
        <v>584</v>
      </c>
      <c r="I206" s="61" t="s">
        <v>210</v>
      </c>
      <c r="J206" s="504">
        <v>3872.91</v>
      </c>
      <c r="K206" s="494">
        <v>2.6870000000000002E-2</v>
      </c>
      <c r="L206" s="78">
        <f t="shared" si="9"/>
        <v>104.0650917</v>
      </c>
      <c r="M206" s="59"/>
      <c r="N206" s="63">
        <f t="shared" si="10"/>
        <v>2025</v>
      </c>
      <c r="O206" s="65">
        <f t="shared" si="11"/>
        <v>2</v>
      </c>
      <c r="P206" s="499">
        <v>0</v>
      </c>
    </row>
    <row r="207" spans="1:16" s="58" customFormat="1" ht="22.9">
      <c r="A207" s="59">
        <v>203</v>
      </c>
      <c r="B207" s="60" t="s">
        <v>69</v>
      </c>
      <c r="C207" s="60" t="s">
        <v>583</v>
      </c>
      <c r="D207" s="61" t="s">
        <v>585</v>
      </c>
      <c r="E207" s="61" t="s">
        <v>215</v>
      </c>
      <c r="F207" s="79">
        <v>45716</v>
      </c>
      <c r="G207" s="60" t="s">
        <v>281</v>
      </c>
      <c r="H207" s="60" t="s">
        <v>586</v>
      </c>
      <c r="I207" s="61" t="s">
        <v>210</v>
      </c>
      <c r="J207" s="504">
        <v>9556.08</v>
      </c>
      <c r="K207" s="494">
        <v>2.6870000000000002E-2</v>
      </c>
      <c r="L207" s="78">
        <f t="shared" si="9"/>
        <v>256.7718696</v>
      </c>
      <c r="M207" s="59"/>
      <c r="N207" s="63">
        <f t="shared" si="10"/>
        <v>2025</v>
      </c>
      <c r="O207" s="65">
        <f t="shared" si="11"/>
        <v>2</v>
      </c>
      <c r="P207" s="499">
        <v>0</v>
      </c>
    </row>
    <row r="208" spans="1:16" s="58" customFormat="1">
      <c r="A208" s="59">
        <v>204</v>
      </c>
      <c r="B208" s="60" t="s">
        <v>69</v>
      </c>
      <c r="C208" s="60" t="s">
        <v>583</v>
      </c>
      <c r="D208" s="59" t="s">
        <v>572</v>
      </c>
      <c r="E208" s="61" t="s">
        <v>572</v>
      </c>
      <c r="F208" s="79">
        <v>45716</v>
      </c>
      <c r="G208" s="60" t="s">
        <v>281</v>
      </c>
      <c r="H208" s="60" t="s">
        <v>587</v>
      </c>
      <c r="I208" s="61" t="s">
        <v>210</v>
      </c>
      <c r="J208" s="504">
        <v>-53.29</v>
      </c>
      <c r="K208" s="494">
        <v>2.6870000000000002E-2</v>
      </c>
      <c r="L208" s="78">
        <f t="shared" si="9"/>
        <v>-1.4319023</v>
      </c>
      <c r="M208" s="59"/>
      <c r="N208" s="63">
        <f t="shared" si="10"/>
        <v>2025</v>
      </c>
      <c r="O208" s="65">
        <f t="shared" si="11"/>
        <v>2</v>
      </c>
      <c r="P208" s="499">
        <v>0</v>
      </c>
    </row>
    <row r="209" spans="1:16" s="58" customFormat="1" ht="22.9">
      <c r="A209" s="59">
        <v>205</v>
      </c>
      <c r="B209" s="60" t="s">
        <v>69</v>
      </c>
      <c r="C209" s="60" t="s">
        <v>583</v>
      </c>
      <c r="D209" s="61" t="s">
        <v>546</v>
      </c>
      <c r="E209" s="61" t="s">
        <v>212</v>
      </c>
      <c r="F209" s="79">
        <v>45716</v>
      </c>
      <c r="G209" s="60" t="s">
        <v>281</v>
      </c>
      <c r="H209" s="60" t="s">
        <v>588</v>
      </c>
      <c r="I209" s="61" t="s">
        <v>210</v>
      </c>
      <c r="J209" s="504">
        <v>671.93</v>
      </c>
      <c r="K209" s="498">
        <v>2.6870000000000002E-2</v>
      </c>
      <c r="L209" s="78">
        <f t="shared" si="9"/>
        <v>18.054759099999998</v>
      </c>
      <c r="M209" s="59"/>
      <c r="N209" s="63">
        <f t="shared" si="10"/>
        <v>2025</v>
      </c>
      <c r="O209" s="65">
        <f t="shared" si="11"/>
        <v>2</v>
      </c>
      <c r="P209" s="499">
        <v>0</v>
      </c>
    </row>
    <row r="210" spans="1:16" s="58" customFormat="1" ht="22.9">
      <c r="A210" s="59">
        <v>206</v>
      </c>
      <c r="B210" s="60" t="s">
        <v>55</v>
      </c>
      <c r="C210" s="60" t="s">
        <v>589</v>
      </c>
      <c r="D210" s="59" t="s">
        <v>215</v>
      </c>
      <c r="E210" s="61" t="s">
        <v>215</v>
      </c>
      <c r="F210" s="79">
        <v>45658</v>
      </c>
      <c r="G210" s="60" t="s">
        <v>590</v>
      </c>
      <c r="H210" s="60" t="s">
        <v>591</v>
      </c>
      <c r="I210" s="61" t="s">
        <v>312</v>
      </c>
      <c r="J210" s="504">
        <v>550</v>
      </c>
      <c r="K210" s="494">
        <v>0.95748999999999995</v>
      </c>
      <c r="L210" s="78">
        <f t="shared" si="9"/>
        <v>526.61950000000002</v>
      </c>
      <c r="M210" s="59"/>
      <c r="N210" s="63">
        <f t="shared" si="10"/>
        <v>2025</v>
      </c>
      <c r="O210" s="65">
        <f t="shared" si="11"/>
        <v>1</v>
      </c>
      <c r="P210" s="499">
        <v>0</v>
      </c>
    </row>
    <row r="211" spans="1:16" s="58" customFormat="1" ht="22.9">
      <c r="A211" s="59">
        <v>207</v>
      </c>
      <c r="B211" s="60" t="s">
        <v>55</v>
      </c>
      <c r="C211" s="60" t="s">
        <v>592</v>
      </c>
      <c r="D211" s="59" t="s">
        <v>215</v>
      </c>
      <c r="E211" s="61" t="s">
        <v>215</v>
      </c>
      <c r="F211" s="79">
        <v>45688</v>
      </c>
      <c r="G211" s="60" t="s">
        <v>590</v>
      </c>
      <c r="H211" s="60" t="s">
        <v>593</v>
      </c>
      <c r="I211" s="61" t="s">
        <v>312</v>
      </c>
      <c r="J211" s="504">
        <v>610</v>
      </c>
      <c r="K211" s="494">
        <v>0.95748999999999995</v>
      </c>
      <c r="L211" s="78">
        <f t="shared" si="9"/>
        <v>584.06889999999999</v>
      </c>
      <c r="M211" s="59"/>
      <c r="N211" s="63">
        <f t="shared" si="10"/>
        <v>2025</v>
      </c>
      <c r="O211" s="65">
        <f t="shared" si="11"/>
        <v>1</v>
      </c>
      <c r="P211" s="499">
        <v>0</v>
      </c>
    </row>
    <row r="212" spans="1:16" s="58" customFormat="1">
      <c r="A212" s="59">
        <v>208</v>
      </c>
      <c r="B212" s="60" t="s">
        <v>76</v>
      </c>
      <c r="C212" s="60" t="s">
        <v>594</v>
      </c>
      <c r="D212" s="60" t="s">
        <v>310</v>
      </c>
      <c r="E212" s="61" t="s">
        <v>215</v>
      </c>
      <c r="F212" s="79">
        <v>45688</v>
      </c>
      <c r="G212" s="60" t="s">
        <v>314</v>
      </c>
      <c r="H212" s="60" t="s">
        <v>595</v>
      </c>
      <c r="I212" s="61" t="s">
        <v>312</v>
      </c>
      <c r="J212" s="504">
        <v>710</v>
      </c>
      <c r="K212" s="494">
        <v>0.95748999999999995</v>
      </c>
      <c r="L212" s="78">
        <f t="shared" si="9"/>
        <v>679.81790000000001</v>
      </c>
      <c r="M212" s="59"/>
      <c r="N212" s="63">
        <f t="shared" si="10"/>
        <v>2025</v>
      </c>
      <c r="O212" s="65">
        <f t="shared" si="11"/>
        <v>1</v>
      </c>
      <c r="P212" s="499">
        <v>0</v>
      </c>
    </row>
    <row r="213" spans="1:16" s="58" customFormat="1">
      <c r="A213" s="59">
        <v>209</v>
      </c>
      <c r="B213" s="60" t="s">
        <v>76</v>
      </c>
      <c r="C213" s="60" t="s">
        <v>596</v>
      </c>
      <c r="D213" s="60" t="s">
        <v>310</v>
      </c>
      <c r="E213" s="60" t="s">
        <v>310</v>
      </c>
      <c r="F213" s="79">
        <v>45688</v>
      </c>
      <c r="G213" s="60" t="s">
        <v>310</v>
      </c>
      <c r="H213" s="60" t="s">
        <v>597</v>
      </c>
      <c r="I213" s="61" t="s">
        <v>312</v>
      </c>
      <c r="J213" s="504">
        <v>7.1</v>
      </c>
      <c r="K213" s="494">
        <v>0.95748999999999995</v>
      </c>
      <c r="L213" s="78">
        <f t="shared" si="9"/>
        <v>6.7981789999999993</v>
      </c>
      <c r="M213" s="59"/>
      <c r="N213" s="63">
        <f t="shared" si="10"/>
        <v>2025</v>
      </c>
      <c r="O213" s="65">
        <f t="shared" si="11"/>
        <v>1</v>
      </c>
      <c r="P213" s="499">
        <v>0</v>
      </c>
    </row>
    <row r="214" spans="1:16" s="58" customFormat="1">
      <c r="A214" s="59">
        <v>210</v>
      </c>
      <c r="B214" s="60" t="s">
        <v>76</v>
      </c>
      <c r="C214" s="60" t="s">
        <v>598</v>
      </c>
      <c r="D214" s="60" t="s">
        <v>310</v>
      </c>
      <c r="E214" s="61" t="s">
        <v>215</v>
      </c>
      <c r="F214" s="79">
        <v>45716</v>
      </c>
      <c r="G214" s="60" t="s">
        <v>314</v>
      </c>
      <c r="H214" s="60" t="s">
        <v>599</v>
      </c>
      <c r="I214" s="61" t="s">
        <v>312</v>
      </c>
      <c r="J214" s="504">
        <v>710</v>
      </c>
      <c r="K214" s="494">
        <v>0.96126</v>
      </c>
      <c r="L214" s="78">
        <f t="shared" si="9"/>
        <v>682.49459999999999</v>
      </c>
      <c r="M214" s="59"/>
      <c r="N214" s="63">
        <f t="shared" si="10"/>
        <v>2025</v>
      </c>
      <c r="O214" s="65">
        <f t="shared" si="11"/>
        <v>2</v>
      </c>
      <c r="P214" s="499">
        <v>0</v>
      </c>
    </row>
    <row r="215" spans="1:16" s="58" customFormat="1" ht="22.9">
      <c r="A215" s="59">
        <v>211</v>
      </c>
      <c r="B215" s="60" t="s">
        <v>76</v>
      </c>
      <c r="C215" s="60" t="s">
        <v>600</v>
      </c>
      <c r="D215" s="60" t="s">
        <v>310</v>
      </c>
      <c r="E215" s="60" t="s">
        <v>310</v>
      </c>
      <c r="F215" s="79">
        <v>45716</v>
      </c>
      <c r="G215" s="60" t="s">
        <v>310</v>
      </c>
      <c r="H215" s="60" t="s">
        <v>601</v>
      </c>
      <c r="I215" s="61" t="s">
        <v>312</v>
      </c>
      <c r="J215" s="504">
        <v>7.1</v>
      </c>
      <c r="K215" s="494">
        <v>0.96126</v>
      </c>
      <c r="L215" s="78">
        <f t="shared" si="9"/>
        <v>6.8249459999999997</v>
      </c>
      <c r="M215" s="59"/>
      <c r="N215" s="63">
        <f t="shared" si="10"/>
        <v>2025</v>
      </c>
      <c r="O215" s="65">
        <f t="shared" si="11"/>
        <v>2</v>
      </c>
      <c r="P215" s="499">
        <v>0</v>
      </c>
    </row>
    <row r="216" spans="1:16" s="58" customFormat="1" ht="22.9">
      <c r="A216" s="59">
        <v>212</v>
      </c>
      <c r="B216" s="60" t="s">
        <v>55</v>
      </c>
      <c r="C216" s="60" t="s">
        <v>602</v>
      </c>
      <c r="D216" s="60" t="s">
        <v>310</v>
      </c>
      <c r="E216" s="61" t="s">
        <v>215</v>
      </c>
      <c r="F216" s="79">
        <v>45716</v>
      </c>
      <c r="G216" s="60" t="s">
        <v>590</v>
      </c>
      <c r="H216" s="60" t="s">
        <v>603</v>
      </c>
      <c r="I216" s="61" t="s">
        <v>312</v>
      </c>
      <c r="J216" s="504">
        <v>610</v>
      </c>
      <c r="K216" s="494">
        <v>0.96126</v>
      </c>
      <c r="L216" s="78">
        <f t="shared" si="9"/>
        <v>586.36860000000001</v>
      </c>
      <c r="M216" s="59"/>
      <c r="N216" s="63">
        <f t="shared" si="10"/>
        <v>2025</v>
      </c>
      <c r="O216" s="65">
        <f t="shared" si="11"/>
        <v>2</v>
      </c>
      <c r="P216" s="499">
        <v>0</v>
      </c>
    </row>
    <row r="217" spans="1:16" s="58" customFormat="1">
      <c r="A217" s="59">
        <v>213</v>
      </c>
      <c r="B217" s="60" t="s">
        <v>78</v>
      </c>
      <c r="C217" s="60" t="s">
        <v>604</v>
      </c>
      <c r="D217" s="60" t="s">
        <v>310</v>
      </c>
      <c r="E217" s="61" t="s">
        <v>215</v>
      </c>
      <c r="F217" s="79">
        <v>45688</v>
      </c>
      <c r="G217" s="60" t="s">
        <v>605</v>
      </c>
      <c r="H217" s="60" t="s">
        <v>606</v>
      </c>
      <c r="I217" s="61" t="s">
        <v>312</v>
      </c>
      <c r="J217" s="504">
        <v>504</v>
      </c>
      <c r="K217" s="494">
        <v>0.95748999999999995</v>
      </c>
      <c r="L217" s="78">
        <f t="shared" si="9"/>
        <v>482.57495999999998</v>
      </c>
      <c r="M217" s="59"/>
      <c r="N217" s="63">
        <f t="shared" si="10"/>
        <v>2025</v>
      </c>
      <c r="O217" s="65">
        <f t="shared" si="11"/>
        <v>1</v>
      </c>
      <c r="P217" s="499">
        <v>0</v>
      </c>
    </row>
    <row r="218" spans="1:16" s="58" customFormat="1" ht="22.9">
      <c r="A218" s="59">
        <v>214</v>
      </c>
      <c r="B218" s="62" t="s">
        <v>78</v>
      </c>
      <c r="C218" s="60" t="s">
        <v>596</v>
      </c>
      <c r="D218" s="60" t="s">
        <v>310</v>
      </c>
      <c r="E218" s="60" t="s">
        <v>310</v>
      </c>
      <c r="F218" s="79">
        <v>45688</v>
      </c>
      <c r="G218" s="60" t="s">
        <v>310</v>
      </c>
      <c r="H218" s="60" t="s">
        <v>607</v>
      </c>
      <c r="I218" s="61" t="s">
        <v>312</v>
      </c>
      <c r="J218" s="504">
        <v>4.29</v>
      </c>
      <c r="K218" s="494">
        <v>0.95748999999999995</v>
      </c>
      <c r="L218" s="78">
        <f t="shared" si="9"/>
        <v>4.1076321</v>
      </c>
      <c r="M218" s="59"/>
      <c r="N218" s="63">
        <f t="shared" si="10"/>
        <v>2025</v>
      </c>
      <c r="O218" s="65">
        <f t="shared" si="11"/>
        <v>1</v>
      </c>
      <c r="P218" s="499">
        <v>0</v>
      </c>
    </row>
    <row r="219" spans="1:16" s="58" customFormat="1" ht="22.9">
      <c r="A219" s="59">
        <v>215</v>
      </c>
      <c r="B219" s="62" t="s">
        <v>78</v>
      </c>
      <c r="C219" s="60" t="s">
        <v>596</v>
      </c>
      <c r="D219" s="60" t="s">
        <v>310</v>
      </c>
      <c r="E219" s="60" t="s">
        <v>310</v>
      </c>
      <c r="F219" s="79">
        <v>45688</v>
      </c>
      <c r="G219" s="60" t="s">
        <v>310</v>
      </c>
      <c r="H219" s="60" t="s">
        <v>608</v>
      </c>
      <c r="I219" s="61" t="s">
        <v>312</v>
      </c>
      <c r="J219" s="504">
        <v>5.04</v>
      </c>
      <c r="K219" s="494">
        <v>0.95748999999999995</v>
      </c>
      <c r="L219" s="78">
        <f t="shared" si="9"/>
        <v>4.8257496</v>
      </c>
      <c r="M219" s="59"/>
      <c r="N219" s="63">
        <f t="shared" si="10"/>
        <v>2025</v>
      </c>
      <c r="O219" s="65">
        <f t="shared" si="11"/>
        <v>1</v>
      </c>
      <c r="P219" s="499">
        <v>0</v>
      </c>
    </row>
    <row r="220" spans="1:16" s="58" customFormat="1" ht="22.9">
      <c r="A220" s="59">
        <v>216</v>
      </c>
      <c r="B220" s="62" t="s">
        <v>78</v>
      </c>
      <c r="C220" s="60" t="s">
        <v>609</v>
      </c>
      <c r="D220" s="61" t="s">
        <v>215</v>
      </c>
      <c r="E220" s="61" t="s">
        <v>215</v>
      </c>
      <c r="F220" s="79">
        <v>45688</v>
      </c>
      <c r="G220" s="60" t="s">
        <v>610</v>
      </c>
      <c r="H220" s="60" t="s">
        <v>611</v>
      </c>
      <c r="I220" s="61" t="s">
        <v>312</v>
      </c>
      <c r="J220" s="504">
        <v>429.33</v>
      </c>
      <c r="K220" s="494">
        <v>0.95748999999999995</v>
      </c>
      <c r="L220" s="78">
        <f t="shared" si="9"/>
        <v>411.07918169999999</v>
      </c>
      <c r="M220" s="59"/>
      <c r="N220" s="63">
        <f t="shared" si="10"/>
        <v>2025</v>
      </c>
      <c r="O220" s="65">
        <f t="shared" si="11"/>
        <v>1</v>
      </c>
      <c r="P220" s="499">
        <v>0</v>
      </c>
    </row>
    <row r="221" spans="1:16" s="58" customFormat="1" ht="22.9">
      <c r="A221" s="59">
        <v>217</v>
      </c>
      <c r="B221" s="62" t="s">
        <v>78</v>
      </c>
      <c r="C221" s="60" t="s">
        <v>600</v>
      </c>
      <c r="D221" s="60" t="s">
        <v>310</v>
      </c>
      <c r="E221" s="60" t="s">
        <v>310</v>
      </c>
      <c r="F221" s="79">
        <v>45716</v>
      </c>
      <c r="G221" s="60" t="s">
        <v>310</v>
      </c>
      <c r="H221" s="60" t="s">
        <v>612</v>
      </c>
      <c r="I221" s="61" t="s">
        <v>312</v>
      </c>
      <c r="J221" s="504">
        <v>5.6</v>
      </c>
      <c r="K221" s="494">
        <v>0.96126</v>
      </c>
      <c r="L221" s="78">
        <f t="shared" si="9"/>
        <v>5.3830559999999998</v>
      </c>
      <c r="M221" s="59"/>
      <c r="N221" s="63">
        <f t="shared" si="10"/>
        <v>2025</v>
      </c>
      <c r="O221" s="65">
        <f t="shared" si="11"/>
        <v>2</v>
      </c>
      <c r="P221" s="499">
        <v>0</v>
      </c>
    </row>
    <row r="222" spans="1:16" s="58" customFormat="1">
      <c r="A222" s="59">
        <v>218</v>
      </c>
      <c r="B222" s="62" t="s">
        <v>78</v>
      </c>
      <c r="C222" s="60" t="s">
        <v>613</v>
      </c>
      <c r="D222" s="61" t="s">
        <v>215</v>
      </c>
      <c r="E222" s="61" t="s">
        <v>215</v>
      </c>
      <c r="F222" s="79">
        <v>45716</v>
      </c>
      <c r="G222" s="60" t="s">
        <v>605</v>
      </c>
      <c r="H222" s="60" t="s">
        <v>614</v>
      </c>
      <c r="I222" s="61" t="s">
        <v>312</v>
      </c>
      <c r="J222" s="504">
        <v>5600</v>
      </c>
      <c r="K222" s="494">
        <v>0.96126</v>
      </c>
      <c r="L222" s="78">
        <f t="shared" si="9"/>
        <v>5383.0559999999996</v>
      </c>
      <c r="M222" s="59"/>
      <c r="N222" s="63">
        <f t="shared" si="10"/>
        <v>2025</v>
      </c>
      <c r="O222" s="65">
        <f t="shared" si="11"/>
        <v>2</v>
      </c>
      <c r="P222" s="499">
        <v>1</v>
      </c>
    </row>
    <row r="223" spans="1:16" s="58" customFormat="1" ht="22.9">
      <c r="A223" s="59">
        <v>219</v>
      </c>
      <c r="B223" s="62" t="s">
        <v>78</v>
      </c>
      <c r="C223" s="60" t="s">
        <v>615</v>
      </c>
      <c r="D223" s="61" t="s">
        <v>215</v>
      </c>
      <c r="E223" s="61" t="s">
        <v>215</v>
      </c>
      <c r="F223" s="79">
        <v>45716</v>
      </c>
      <c r="G223" s="60" t="s">
        <v>610</v>
      </c>
      <c r="H223" s="60" t="s">
        <v>616</v>
      </c>
      <c r="I223" s="61" t="s">
        <v>312</v>
      </c>
      <c r="J223" s="504">
        <v>485.33</v>
      </c>
      <c r="K223" s="494">
        <v>0.96126</v>
      </c>
      <c r="L223" s="78">
        <f t="shared" si="9"/>
        <v>466.52831579999997</v>
      </c>
      <c r="M223" s="59"/>
      <c r="N223" s="63">
        <f t="shared" si="10"/>
        <v>2025</v>
      </c>
      <c r="O223" s="65">
        <f t="shared" si="11"/>
        <v>2</v>
      </c>
      <c r="P223" s="499">
        <v>0</v>
      </c>
    </row>
    <row r="224" spans="1:16" s="58" customFormat="1" ht="22.9">
      <c r="A224" s="59">
        <v>220</v>
      </c>
      <c r="B224" s="62" t="s">
        <v>78</v>
      </c>
      <c r="C224" s="60" t="s">
        <v>600</v>
      </c>
      <c r="D224" s="60" t="s">
        <v>310</v>
      </c>
      <c r="E224" s="60" t="s">
        <v>310</v>
      </c>
      <c r="F224" s="79">
        <v>45716</v>
      </c>
      <c r="G224" s="60" t="s">
        <v>310</v>
      </c>
      <c r="H224" s="60" t="s">
        <v>617</v>
      </c>
      <c r="I224" s="61" t="s">
        <v>312</v>
      </c>
      <c r="J224" s="504">
        <v>4.8499999999999996</v>
      </c>
      <c r="K224" s="494">
        <v>0.96126</v>
      </c>
      <c r="L224" s="78">
        <f t="shared" si="9"/>
        <v>4.6621109999999994</v>
      </c>
      <c r="M224" s="59"/>
      <c r="N224" s="63">
        <f t="shared" si="10"/>
        <v>2025</v>
      </c>
      <c r="O224" s="65">
        <f t="shared" si="11"/>
        <v>2</v>
      </c>
      <c r="P224" s="499">
        <v>0</v>
      </c>
    </row>
    <row r="225" spans="1:16" s="58" customFormat="1" ht="22.9">
      <c r="A225" s="59">
        <v>221</v>
      </c>
      <c r="B225" s="60" t="s">
        <v>82</v>
      </c>
      <c r="C225" s="60" t="s">
        <v>618</v>
      </c>
      <c r="D225" s="61" t="s">
        <v>215</v>
      </c>
      <c r="E225" s="61" t="s">
        <v>215</v>
      </c>
      <c r="F225" s="79">
        <v>45688</v>
      </c>
      <c r="G225" s="60" t="s">
        <v>345</v>
      </c>
      <c r="H225" s="60" t="s">
        <v>619</v>
      </c>
      <c r="I225" s="61" t="s">
        <v>312</v>
      </c>
      <c r="J225" s="504">
        <v>710</v>
      </c>
      <c r="K225" s="494">
        <v>0.95748999999999995</v>
      </c>
      <c r="L225" s="78">
        <f t="shared" si="9"/>
        <v>679.81790000000001</v>
      </c>
      <c r="M225" s="59"/>
      <c r="N225" s="63">
        <f t="shared" si="10"/>
        <v>2025</v>
      </c>
      <c r="O225" s="65">
        <f t="shared" si="11"/>
        <v>1</v>
      </c>
      <c r="P225" s="499">
        <v>0</v>
      </c>
    </row>
    <row r="226" spans="1:16" s="58" customFormat="1" ht="22.9">
      <c r="A226" s="59">
        <v>222</v>
      </c>
      <c r="B226" s="60" t="s">
        <v>82</v>
      </c>
      <c r="C226" s="60" t="s">
        <v>596</v>
      </c>
      <c r="D226" s="60" t="s">
        <v>310</v>
      </c>
      <c r="E226" s="60" t="s">
        <v>310</v>
      </c>
      <c r="F226" s="79">
        <v>45688</v>
      </c>
      <c r="G226" s="60" t="s">
        <v>310</v>
      </c>
      <c r="H226" s="60" t="s">
        <v>620</v>
      </c>
      <c r="I226" s="61" t="s">
        <v>312</v>
      </c>
      <c r="J226" s="504">
        <v>7.1</v>
      </c>
      <c r="K226" s="494">
        <v>0.95748999999999995</v>
      </c>
      <c r="L226" s="78">
        <f t="shared" si="9"/>
        <v>6.7981789999999993</v>
      </c>
      <c r="M226" s="59"/>
      <c r="N226" s="63">
        <f t="shared" si="10"/>
        <v>2025</v>
      </c>
      <c r="O226" s="65">
        <f t="shared" si="11"/>
        <v>1</v>
      </c>
      <c r="P226" s="499">
        <v>0</v>
      </c>
    </row>
    <row r="227" spans="1:16" s="58" customFormat="1" ht="22.9">
      <c r="A227" s="59">
        <v>223</v>
      </c>
      <c r="B227" s="60" t="s">
        <v>82</v>
      </c>
      <c r="C227" s="60" t="s">
        <v>600</v>
      </c>
      <c r="D227" s="60" t="s">
        <v>310</v>
      </c>
      <c r="E227" s="60" t="s">
        <v>310</v>
      </c>
      <c r="F227" s="79">
        <v>45716</v>
      </c>
      <c r="G227" s="60" t="s">
        <v>310</v>
      </c>
      <c r="H227" s="60" t="s">
        <v>621</v>
      </c>
      <c r="I227" s="61" t="s">
        <v>312</v>
      </c>
      <c r="J227" s="504">
        <v>7.1</v>
      </c>
      <c r="K227" s="494">
        <v>0.96126</v>
      </c>
      <c r="L227" s="78">
        <f t="shared" si="9"/>
        <v>6.8249459999999997</v>
      </c>
      <c r="M227" s="59"/>
      <c r="N227" s="63">
        <f t="shared" si="10"/>
        <v>2025</v>
      </c>
      <c r="O227" s="65">
        <f t="shared" si="11"/>
        <v>2</v>
      </c>
      <c r="P227" s="499">
        <v>0</v>
      </c>
    </row>
    <row r="228" spans="1:16" s="58" customFormat="1" ht="22.9">
      <c r="A228" s="59">
        <v>224</v>
      </c>
      <c r="B228" s="60" t="s">
        <v>82</v>
      </c>
      <c r="C228" s="60" t="s">
        <v>622</v>
      </c>
      <c r="D228" s="61" t="s">
        <v>215</v>
      </c>
      <c r="E228" s="61" t="s">
        <v>215</v>
      </c>
      <c r="F228" s="79">
        <v>45716</v>
      </c>
      <c r="G228" s="60" t="s">
        <v>345</v>
      </c>
      <c r="H228" s="60" t="s">
        <v>623</v>
      </c>
      <c r="I228" s="61" t="s">
        <v>312</v>
      </c>
      <c r="J228" s="504">
        <v>710</v>
      </c>
      <c r="K228" s="494">
        <v>0.96126</v>
      </c>
      <c r="L228" s="78">
        <f t="shared" si="9"/>
        <v>682.49459999999999</v>
      </c>
      <c r="M228" s="59"/>
      <c r="N228" s="63">
        <f t="shared" si="10"/>
        <v>2025</v>
      </c>
      <c r="O228" s="65">
        <f t="shared" si="11"/>
        <v>2</v>
      </c>
      <c r="P228" s="499">
        <v>0</v>
      </c>
    </row>
    <row r="229" spans="1:16" s="58" customFormat="1">
      <c r="A229" s="59">
        <v>225</v>
      </c>
      <c r="B229" s="60" t="s">
        <v>84</v>
      </c>
      <c r="C229" s="60" t="s">
        <v>624</v>
      </c>
      <c r="D229" s="60" t="s">
        <v>310</v>
      </c>
      <c r="E229" s="60" t="s">
        <v>310</v>
      </c>
      <c r="F229" s="79" t="s">
        <v>551</v>
      </c>
      <c r="G229" s="60" t="s">
        <v>355</v>
      </c>
      <c r="H229" s="60" t="s">
        <v>625</v>
      </c>
      <c r="I229" s="61" t="s">
        <v>312</v>
      </c>
      <c r="J229" s="504">
        <v>560</v>
      </c>
      <c r="K229" s="494">
        <v>0.95748999999999995</v>
      </c>
      <c r="L229" s="78">
        <f t="shared" si="9"/>
        <v>536.19439999999997</v>
      </c>
      <c r="M229" s="59"/>
      <c r="N229" s="63">
        <f t="shared" si="10"/>
        <v>2025</v>
      </c>
      <c r="O229" s="65">
        <f t="shared" si="11"/>
        <v>1</v>
      </c>
      <c r="P229" s="499">
        <v>0</v>
      </c>
    </row>
    <row r="230" spans="1:16" s="58" customFormat="1">
      <c r="A230" s="59">
        <v>226</v>
      </c>
      <c r="B230" s="60" t="s">
        <v>84</v>
      </c>
      <c r="C230" s="60" t="s">
        <v>596</v>
      </c>
      <c r="D230" s="60" t="s">
        <v>310</v>
      </c>
      <c r="E230" s="60" t="s">
        <v>310</v>
      </c>
      <c r="F230" s="79" t="s">
        <v>551</v>
      </c>
      <c r="G230" s="60" t="s">
        <v>310</v>
      </c>
      <c r="H230" s="60" t="s">
        <v>626</v>
      </c>
      <c r="I230" s="61" t="s">
        <v>312</v>
      </c>
      <c r="J230" s="504">
        <v>5.6</v>
      </c>
      <c r="K230" s="494">
        <v>0.95748999999999995</v>
      </c>
      <c r="L230" s="78">
        <f t="shared" si="9"/>
        <v>5.3619439999999994</v>
      </c>
      <c r="M230" s="59"/>
      <c r="N230" s="63">
        <f t="shared" si="10"/>
        <v>2025</v>
      </c>
      <c r="O230" s="65">
        <f t="shared" si="11"/>
        <v>1</v>
      </c>
      <c r="P230" s="499">
        <v>0</v>
      </c>
    </row>
    <row r="231" spans="1:16" s="58" customFormat="1" ht="22.9">
      <c r="A231" s="59">
        <v>227</v>
      </c>
      <c r="B231" s="60" t="s">
        <v>84</v>
      </c>
      <c r="C231" s="60" t="s">
        <v>600</v>
      </c>
      <c r="D231" s="59" t="s">
        <v>310</v>
      </c>
      <c r="E231" s="60" t="s">
        <v>310</v>
      </c>
      <c r="F231" s="79">
        <v>45716</v>
      </c>
      <c r="G231" s="60" t="s">
        <v>310</v>
      </c>
      <c r="H231" s="60" t="s">
        <v>627</v>
      </c>
      <c r="I231" s="61" t="s">
        <v>312</v>
      </c>
      <c r="J231" s="504">
        <v>5.6</v>
      </c>
      <c r="K231" s="494">
        <v>0.96126</v>
      </c>
      <c r="L231" s="78">
        <f t="shared" si="9"/>
        <v>5.3830559999999998</v>
      </c>
      <c r="M231" s="59"/>
      <c r="N231" s="63">
        <f t="shared" si="10"/>
        <v>2025</v>
      </c>
      <c r="O231" s="65">
        <f t="shared" si="11"/>
        <v>2</v>
      </c>
      <c r="P231" s="499">
        <v>0</v>
      </c>
    </row>
    <row r="232" spans="1:16" s="58" customFormat="1">
      <c r="A232" s="59">
        <v>228</v>
      </c>
      <c r="B232" s="60" t="s">
        <v>84</v>
      </c>
      <c r="C232" s="60" t="s">
        <v>628</v>
      </c>
      <c r="D232" s="59" t="s">
        <v>215</v>
      </c>
      <c r="E232" s="61" t="s">
        <v>215</v>
      </c>
      <c r="F232" s="79">
        <v>45716</v>
      </c>
      <c r="G232" s="60" t="s">
        <v>355</v>
      </c>
      <c r="H232" s="60" t="s">
        <v>629</v>
      </c>
      <c r="I232" s="61" t="s">
        <v>312</v>
      </c>
      <c r="J232" s="504">
        <v>560</v>
      </c>
      <c r="K232" s="494">
        <v>0.96126</v>
      </c>
      <c r="L232" s="78">
        <f t="shared" si="9"/>
        <v>538.30560000000003</v>
      </c>
      <c r="M232" s="59"/>
      <c r="N232" s="63">
        <f t="shared" si="10"/>
        <v>2025</v>
      </c>
      <c r="O232" s="65">
        <f t="shared" si="11"/>
        <v>2</v>
      </c>
      <c r="P232" s="499">
        <v>0</v>
      </c>
    </row>
    <row r="233" spans="1:16" s="58" customFormat="1">
      <c r="A233" s="59">
        <v>229</v>
      </c>
      <c r="B233" s="60" t="s">
        <v>87</v>
      </c>
      <c r="C233" s="60" t="s">
        <v>596</v>
      </c>
      <c r="D233" s="60" t="s">
        <v>310</v>
      </c>
      <c r="E233" s="60" t="s">
        <v>310</v>
      </c>
      <c r="F233" s="79">
        <v>45688</v>
      </c>
      <c r="G233" s="60" t="s">
        <v>310</v>
      </c>
      <c r="H233" s="60" t="s">
        <v>630</v>
      </c>
      <c r="I233" s="61" t="s">
        <v>312</v>
      </c>
      <c r="J233" s="504">
        <v>4.0999999999999996</v>
      </c>
      <c r="K233" s="494">
        <v>0.95748999999999995</v>
      </c>
      <c r="L233" s="78">
        <f t="shared" si="9"/>
        <v>3.9257089999999994</v>
      </c>
      <c r="M233" s="59"/>
      <c r="N233" s="63">
        <f t="shared" si="10"/>
        <v>2025</v>
      </c>
      <c r="O233" s="65">
        <f t="shared" si="11"/>
        <v>1</v>
      </c>
      <c r="P233" s="499">
        <v>0</v>
      </c>
    </row>
    <row r="234" spans="1:16" s="58" customFormat="1">
      <c r="A234" s="59">
        <v>230</v>
      </c>
      <c r="B234" s="60" t="s">
        <v>87</v>
      </c>
      <c r="C234" s="60" t="s">
        <v>631</v>
      </c>
      <c r="D234" s="59" t="s">
        <v>215</v>
      </c>
      <c r="E234" s="61" t="s">
        <v>215</v>
      </c>
      <c r="F234" s="79">
        <v>45688</v>
      </c>
      <c r="G234" s="60" t="s">
        <v>374</v>
      </c>
      <c r="H234" s="60" t="s">
        <v>632</v>
      </c>
      <c r="I234" s="61" t="s">
        <v>312</v>
      </c>
      <c r="J234" s="504">
        <v>410</v>
      </c>
      <c r="K234" s="494">
        <v>0.95748999999999995</v>
      </c>
      <c r="L234" s="78">
        <f t="shared" si="9"/>
        <v>392.57089999999999</v>
      </c>
      <c r="M234" s="59"/>
      <c r="N234" s="63">
        <f t="shared" si="10"/>
        <v>2025</v>
      </c>
      <c r="O234" s="65">
        <f t="shared" si="11"/>
        <v>1</v>
      </c>
      <c r="P234" s="499">
        <v>0</v>
      </c>
    </row>
    <row r="235" spans="1:16" s="58" customFormat="1">
      <c r="A235" s="59">
        <v>231</v>
      </c>
      <c r="B235" s="60" t="s">
        <v>87</v>
      </c>
      <c r="C235" s="60" t="s">
        <v>633</v>
      </c>
      <c r="D235" s="59" t="s">
        <v>215</v>
      </c>
      <c r="E235" s="61" t="s">
        <v>215</v>
      </c>
      <c r="F235" s="79">
        <v>45688</v>
      </c>
      <c r="G235" s="60" t="s">
        <v>371</v>
      </c>
      <c r="H235" s="60" t="s">
        <v>634</v>
      </c>
      <c r="I235" s="61" t="s">
        <v>312</v>
      </c>
      <c r="J235" s="504">
        <v>410</v>
      </c>
      <c r="K235" s="494">
        <v>0.95748999999999995</v>
      </c>
      <c r="L235" s="78">
        <f t="shared" si="9"/>
        <v>392.57089999999999</v>
      </c>
      <c r="M235" s="59"/>
      <c r="N235" s="63">
        <f t="shared" si="10"/>
        <v>2025</v>
      </c>
      <c r="O235" s="65">
        <f t="shared" si="11"/>
        <v>1</v>
      </c>
      <c r="P235" s="499">
        <v>0</v>
      </c>
    </row>
    <row r="236" spans="1:16" s="58" customFormat="1">
      <c r="A236" s="59">
        <v>232</v>
      </c>
      <c r="B236" s="60" t="s">
        <v>87</v>
      </c>
      <c r="C236" s="60" t="s">
        <v>635</v>
      </c>
      <c r="D236" s="59" t="s">
        <v>215</v>
      </c>
      <c r="E236" s="61" t="s">
        <v>215</v>
      </c>
      <c r="F236" s="79">
        <v>45688</v>
      </c>
      <c r="G236" s="60" t="s">
        <v>365</v>
      </c>
      <c r="H236" s="60" t="s">
        <v>636</v>
      </c>
      <c r="I236" s="61" t="s">
        <v>312</v>
      </c>
      <c r="J236" s="504">
        <v>410</v>
      </c>
      <c r="K236" s="494">
        <v>0.95748999999999995</v>
      </c>
      <c r="L236" s="78">
        <f t="shared" si="9"/>
        <v>392.57089999999999</v>
      </c>
      <c r="M236" s="59"/>
      <c r="N236" s="63">
        <f t="shared" si="10"/>
        <v>2025</v>
      </c>
      <c r="O236" s="65">
        <f t="shared" si="11"/>
        <v>1</v>
      </c>
      <c r="P236" s="499">
        <v>0</v>
      </c>
    </row>
    <row r="237" spans="1:16" s="58" customFormat="1">
      <c r="A237" s="59">
        <v>233</v>
      </c>
      <c r="B237" s="60" t="s">
        <v>87</v>
      </c>
      <c r="C237" s="60" t="s">
        <v>596</v>
      </c>
      <c r="D237" s="60" t="s">
        <v>310</v>
      </c>
      <c r="E237" s="60" t="s">
        <v>310</v>
      </c>
      <c r="F237" s="79">
        <v>45688</v>
      </c>
      <c r="G237" s="60" t="s">
        <v>310</v>
      </c>
      <c r="H237" s="60" t="s">
        <v>637</v>
      </c>
      <c r="I237" s="61" t="s">
        <v>312</v>
      </c>
      <c r="J237" s="504">
        <v>4.0999999999999996</v>
      </c>
      <c r="K237" s="494">
        <v>0.95748999999999995</v>
      </c>
      <c r="L237" s="78">
        <f t="shared" si="9"/>
        <v>3.9257089999999994</v>
      </c>
      <c r="M237" s="59"/>
      <c r="N237" s="63">
        <f t="shared" si="10"/>
        <v>2025</v>
      </c>
      <c r="O237" s="65">
        <f t="shared" si="11"/>
        <v>1</v>
      </c>
      <c r="P237" s="499">
        <v>0</v>
      </c>
    </row>
    <row r="238" spans="1:16" s="58" customFormat="1">
      <c r="A238" s="59">
        <v>234</v>
      </c>
      <c r="B238" s="60" t="s">
        <v>87</v>
      </c>
      <c r="C238" s="60" t="s">
        <v>596</v>
      </c>
      <c r="D238" s="60" t="s">
        <v>310</v>
      </c>
      <c r="E238" s="60" t="s">
        <v>310</v>
      </c>
      <c r="F238" s="79">
        <v>45688</v>
      </c>
      <c r="G238" s="60" t="s">
        <v>310</v>
      </c>
      <c r="H238" s="60" t="s">
        <v>638</v>
      </c>
      <c r="I238" s="61" t="s">
        <v>312</v>
      </c>
      <c r="J238" s="504">
        <v>4.0999999999999996</v>
      </c>
      <c r="K238" s="494">
        <v>0.95748999999999995</v>
      </c>
      <c r="L238" s="78">
        <f t="shared" si="9"/>
        <v>3.9257089999999994</v>
      </c>
      <c r="M238" s="59"/>
      <c r="N238" s="63">
        <f t="shared" si="10"/>
        <v>2025</v>
      </c>
      <c r="O238" s="65">
        <f t="shared" si="11"/>
        <v>1</v>
      </c>
      <c r="P238" s="499">
        <v>0</v>
      </c>
    </row>
    <row r="239" spans="1:16" s="58" customFormat="1" ht="22.9">
      <c r="A239" s="59">
        <v>235</v>
      </c>
      <c r="B239" s="60" t="s">
        <v>87</v>
      </c>
      <c r="C239" s="60" t="s">
        <v>600</v>
      </c>
      <c r="D239" s="60" t="s">
        <v>310</v>
      </c>
      <c r="E239" s="60" t="s">
        <v>310</v>
      </c>
      <c r="F239" s="79">
        <v>45716</v>
      </c>
      <c r="G239" s="60" t="s">
        <v>310</v>
      </c>
      <c r="H239" s="60" t="s">
        <v>639</v>
      </c>
      <c r="I239" s="61" t="s">
        <v>312</v>
      </c>
      <c r="J239" s="504">
        <v>4.0999999999999996</v>
      </c>
      <c r="K239" s="494">
        <v>0.96126</v>
      </c>
      <c r="L239" s="78">
        <f t="shared" si="9"/>
        <v>3.9411659999999995</v>
      </c>
      <c r="M239" s="59"/>
      <c r="N239" s="63">
        <f t="shared" si="10"/>
        <v>2025</v>
      </c>
      <c r="O239" s="65">
        <f t="shared" si="11"/>
        <v>2</v>
      </c>
      <c r="P239" s="499">
        <v>0</v>
      </c>
    </row>
    <row r="240" spans="1:16" s="58" customFormat="1" ht="22.9">
      <c r="A240" s="59">
        <v>236</v>
      </c>
      <c r="B240" s="60" t="s">
        <v>87</v>
      </c>
      <c r="C240" s="60" t="s">
        <v>640</v>
      </c>
      <c r="D240" s="60" t="s">
        <v>310</v>
      </c>
      <c r="E240" s="60" t="s">
        <v>310</v>
      </c>
      <c r="F240" s="79">
        <v>45716</v>
      </c>
      <c r="G240" s="60" t="s">
        <v>310</v>
      </c>
      <c r="H240" s="60" t="s">
        <v>641</v>
      </c>
      <c r="I240" s="61" t="s">
        <v>312</v>
      </c>
      <c r="J240" s="504">
        <v>2.46</v>
      </c>
      <c r="K240" s="494">
        <v>0.96126</v>
      </c>
      <c r="L240" s="78">
        <f t="shared" si="9"/>
        <v>2.3646995999999998</v>
      </c>
      <c r="M240" s="59"/>
      <c r="N240" s="63">
        <f t="shared" si="10"/>
        <v>2025</v>
      </c>
      <c r="O240" s="65">
        <f t="shared" si="11"/>
        <v>2</v>
      </c>
      <c r="P240" s="499">
        <v>0</v>
      </c>
    </row>
    <row r="241" spans="1:16" s="58" customFormat="1" ht="22.9">
      <c r="A241" s="59">
        <v>237</v>
      </c>
      <c r="B241" s="60" t="s">
        <v>87</v>
      </c>
      <c r="C241" s="60" t="s">
        <v>642</v>
      </c>
      <c r="D241" s="59" t="s">
        <v>215</v>
      </c>
      <c r="E241" s="61" t="s">
        <v>215</v>
      </c>
      <c r="F241" s="79">
        <v>45716</v>
      </c>
      <c r="G241" s="60" t="s">
        <v>643</v>
      </c>
      <c r="H241" s="60" t="s">
        <v>644</v>
      </c>
      <c r="I241" s="61" t="s">
        <v>312</v>
      </c>
      <c r="J241" s="504">
        <v>177.67</v>
      </c>
      <c r="K241" s="494">
        <v>0.96126</v>
      </c>
      <c r="L241" s="78">
        <f t="shared" si="9"/>
        <v>170.78706419999997</v>
      </c>
      <c r="M241" s="59"/>
      <c r="N241" s="63">
        <f t="shared" si="10"/>
        <v>2025</v>
      </c>
      <c r="O241" s="65">
        <f t="shared" si="11"/>
        <v>2</v>
      </c>
      <c r="P241" s="499">
        <v>0</v>
      </c>
    </row>
    <row r="242" spans="1:16" s="58" customFormat="1" ht="22.9">
      <c r="A242" s="59">
        <v>238</v>
      </c>
      <c r="B242" s="60" t="s">
        <v>87</v>
      </c>
      <c r="C242" s="60" t="s">
        <v>645</v>
      </c>
      <c r="D242" s="59" t="s">
        <v>215</v>
      </c>
      <c r="E242" s="61" t="s">
        <v>215</v>
      </c>
      <c r="F242" s="79">
        <v>45716</v>
      </c>
      <c r="G242" s="60" t="s">
        <v>374</v>
      </c>
      <c r="H242" s="60" t="s">
        <v>646</v>
      </c>
      <c r="I242" s="61" t="s">
        <v>312</v>
      </c>
      <c r="J242" s="504">
        <v>246</v>
      </c>
      <c r="K242" s="494">
        <v>0.96126</v>
      </c>
      <c r="L242" s="78">
        <f t="shared" si="9"/>
        <v>236.46996000000001</v>
      </c>
      <c r="M242" s="59"/>
      <c r="N242" s="63">
        <f t="shared" si="10"/>
        <v>2025</v>
      </c>
      <c r="O242" s="65">
        <f t="shared" si="11"/>
        <v>2</v>
      </c>
      <c r="P242" s="499">
        <v>0</v>
      </c>
    </row>
    <row r="243" spans="1:16" s="58" customFormat="1" ht="22.9">
      <c r="A243" s="59">
        <v>239</v>
      </c>
      <c r="B243" s="60" t="s">
        <v>87</v>
      </c>
      <c r="C243" s="60" t="s">
        <v>600</v>
      </c>
      <c r="D243" s="60" t="s">
        <v>310</v>
      </c>
      <c r="E243" s="60" t="s">
        <v>310</v>
      </c>
      <c r="F243" s="79">
        <v>45716</v>
      </c>
      <c r="G243" s="60" t="s">
        <v>310</v>
      </c>
      <c r="H243" s="60" t="s">
        <v>647</v>
      </c>
      <c r="I243" s="61" t="s">
        <v>312</v>
      </c>
      <c r="J243" s="504">
        <v>4.0999999999999996</v>
      </c>
      <c r="K243" s="494">
        <v>0.96126</v>
      </c>
      <c r="L243" s="78">
        <f t="shared" si="9"/>
        <v>3.9411659999999995</v>
      </c>
      <c r="M243" s="59"/>
      <c r="N243" s="63">
        <f t="shared" si="10"/>
        <v>2025</v>
      </c>
      <c r="O243" s="65">
        <f t="shared" si="11"/>
        <v>2</v>
      </c>
      <c r="P243" s="499">
        <v>0</v>
      </c>
    </row>
    <row r="244" spans="1:16" s="58" customFormat="1">
      <c r="A244" s="59">
        <v>240</v>
      </c>
      <c r="B244" s="60" t="s">
        <v>87</v>
      </c>
      <c r="C244" s="60" t="s">
        <v>648</v>
      </c>
      <c r="D244" s="59" t="s">
        <v>215</v>
      </c>
      <c r="E244" s="61" t="s">
        <v>215</v>
      </c>
      <c r="F244" s="79">
        <v>45716</v>
      </c>
      <c r="G244" s="60" t="s">
        <v>365</v>
      </c>
      <c r="H244" s="60" t="s">
        <v>649</v>
      </c>
      <c r="I244" s="61" t="s">
        <v>312</v>
      </c>
      <c r="J244" s="504">
        <v>410</v>
      </c>
      <c r="K244" s="494">
        <v>0.96126</v>
      </c>
      <c r="L244" s="78">
        <f t="shared" si="9"/>
        <v>394.11660000000001</v>
      </c>
      <c r="M244" s="59"/>
      <c r="N244" s="63">
        <f t="shared" si="10"/>
        <v>2025</v>
      </c>
      <c r="O244" s="65">
        <f t="shared" si="11"/>
        <v>2</v>
      </c>
      <c r="P244" s="499">
        <v>0</v>
      </c>
    </row>
    <row r="245" spans="1:16" s="58" customFormat="1">
      <c r="A245" s="59">
        <v>241</v>
      </c>
      <c r="B245" s="60" t="s">
        <v>87</v>
      </c>
      <c r="C245" s="60" t="s">
        <v>650</v>
      </c>
      <c r="D245" s="59" t="s">
        <v>215</v>
      </c>
      <c r="E245" s="61" t="s">
        <v>215</v>
      </c>
      <c r="F245" s="79">
        <v>45716</v>
      </c>
      <c r="G245" s="60" t="s">
        <v>371</v>
      </c>
      <c r="H245" s="60" t="s">
        <v>651</v>
      </c>
      <c r="I245" s="61" t="s">
        <v>312</v>
      </c>
      <c r="J245" s="504">
        <v>410</v>
      </c>
      <c r="K245" s="494">
        <v>0.96126</v>
      </c>
      <c r="L245" s="78">
        <f t="shared" si="9"/>
        <v>394.11660000000001</v>
      </c>
      <c r="M245" s="59"/>
      <c r="N245" s="63">
        <f t="shared" si="10"/>
        <v>2025</v>
      </c>
      <c r="O245" s="65">
        <f t="shared" si="11"/>
        <v>2</v>
      </c>
      <c r="P245" s="499">
        <v>0</v>
      </c>
    </row>
    <row r="246" spans="1:16" s="58" customFormat="1">
      <c r="A246" s="59">
        <v>242</v>
      </c>
      <c r="B246" s="60" t="s">
        <v>89</v>
      </c>
      <c r="C246" s="60" t="s">
        <v>652</v>
      </c>
      <c r="D246" s="59" t="s">
        <v>215</v>
      </c>
      <c r="E246" s="61" t="s">
        <v>215</v>
      </c>
      <c r="F246" s="79">
        <v>45688</v>
      </c>
      <c r="G246" s="60" t="s">
        <v>417</v>
      </c>
      <c r="H246" s="60" t="s">
        <v>653</v>
      </c>
      <c r="I246" s="61" t="s">
        <v>312</v>
      </c>
      <c r="J246" s="504">
        <v>410</v>
      </c>
      <c r="K246" s="494">
        <v>0.95748999999999995</v>
      </c>
      <c r="L246" s="78">
        <f t="shared" si="9"/>
        <v>392.57089999999999</v>
      </c>
      <c r="M246" s="59"/>
      <c r="N246" s="63">
        <f t="shared" si="10"/>
        <v>2025</v>
      </c>
      <c r="O246" s="65">
        <f t="shared" si="11"/>
        <v>1</v>
      </c>
      <c r="P246" s="499">
        <v>0</v>
      </c>
    </row>
    <row r="247" spans="1:16" s="58" customFormat="1" ht="22.9">
      <c r="A247" s="59">
        <v>243</v>
      </c>
      <c r="B247" s="60" t="s">
        <v>89</v>
      </c>
      <c r="C247" s="60" t="s">
        <v>654</v>
      </c>
      <c r="D247" s="59" t="s">
        <v>215</v>
      </c>
      <c r="E247" s="61" t="s">
        <v>215</v>
      </c>
      <c r="F247" s="79">
        <v>45688</v>
      </c>
      <c r="G247" s="60" t="s">
        <v>411</v>
      </c>
      <c r="H247" s="60" t="s">
        <v>655</v>
      </c>
      <c r="I247" s="61" t="s">
        <v>312</v>
      </c>
      <c r="J247" s="504">
        <v>410</v>
      </c>
      <c r="K247" s="494">
        <v>0.95748999999999995</v>
      </c>
      <c r="L247" s="78">
        <f t="shared" si="9"/>
        <v>392.57089999999999</v>
      </c>
      <c r="M247" s="59"/>
      <c r="N247" s="63">
        <f t="shared" si="10"/>
        <v>2025</v>
      </c>
      <c r="O247" s="65">
        <f t="shared" si="11"/>
        <v>1</v>
      </c>
      <c r="P247" s="499">
        <v>0</v>
      </c>
    </row>
    <row r="248" spans="1:16" s="58" customFormat="1">
      <c r="A248" s="59">
        <v>244</v>
      </c>
      <c r="B248" s="60" t="s">
        <v>89</v>
      </c>
      <c r="C248" s="60" t="s">
        <v>656</v>
      </c>
      <c r="D248" s="59" t="s">
        <v>215</v>
      </c>
      <c r="E248" s="61" t="s">
        <v>215</v>
      </c>
      <c r="F248" s="79">
        <v>45688</v>
      </c>
      <c r="G248" s="60" t="s">
        <v>433</v>
      </c>
      <c r="H248" s="60" t="s">
        <v>657</v>
      </c>
      <c r="I248" s="61" t="s">
        <v>312</v>
      </c>
      <c r="J248" s="504">
        <v>410</v>
      </c>
      <c r="K248" s="494">
        <v>0.95748999999999995</v>
      </c>
      <c r="L248" s="78">
        <f t="shared" si="9"/>
        <v>392.57089999999999</v>
      </c>
      <c r="M248" s="59"/>
      <c r="N248" s="63">
        <f t="shared" si="10"/>
        <v>2025</v>
      </c>
      <c r="O248" s="65">
        <f t="shared" si="11"/>
        <v>1</v>
      </c>
      <c r="P248" s="499">
        <v>0</v>
      </c>
    </row>
    <row r="249" spans="1:16" s="58" customFormat="1">
      <c r="A249" s="59">
        <v>245</v>
      </c>
      <c r="B249" s="60" t="s">
        <v>89</v>
      </c>
      <c r="C249" s="60" t="s">
        <v>596</v>
      </c>
      <c r="D249" s="60" t="s">
        <v>310</v>
      </c>
      <c r="E249" s="60" t="s">
        <v>310</v>
      </c>
      <c r="F249" s="79">
        <v>45688</v>
      </c>
      <c r="G249" s="60" t="s">
        <v>310</v>
      </c>
      <c r="H249" s="60" t="s">
        <v>658</v>
      </c>
      <c r="I249" s="61" t="s">
        <v>312</v>
      </c>
      <c r="J249" s="504">
        <v>4.0999999999999996</v>
      </c>
      <c r="K249" s="494">
        <v>0.95748999999999995</v>
      </c>
      <c r="L249" s="78">
        <f t="shared" si="9"/>
        <v>3.9257089999999994</v>
      </c>
      <c r="M249" s="59"/>
      <c r="N249" s="63">
        <f t="shared" si="10"/>
        <v>2025</v>
      </c>
      <c r="O249" s="65">
        <f t="shared" si="11"/>
        <v>1</v>
      </c>
      <c r="P249" s="499">
        <v>0</v>
      </c>
    </row>
    <row r="250" spans="1:16" s="58" customFormat="1" ht="22.9">
      <c r="A250" s="59">
        <v>246</v>
      </c>
      <c r="B250" s="60" t="s">
        <v>89</v>
      </c>
      <c r="C250" s="60" t="s">
        <v>659</v>
      </c>
      <c r="D250" s="61" t="s">
        <v>215</v>
      </c>
      <c r="E250" s="61" t="s">
        <v>215</v>
      </c>
      <c r="F250" s="79">
        <v>45688</v>
      </c>
      <c r="G250" s="60" t="s">
        <v>420</v>
      </c>
      <c r="H250" s="60" t="s">
        <v>660</v>
      </c>
      <c r="I250" s="61" t="s">
        <v>312</v>
      </c>
      <c r="J250" s="504">
        <v>259.67</v>
      </c>
      <c r="K250" s="494">
        <v>0.95748999999999995</v>
      </c>
      <c r="L250" s="78">
        <f t="shared" si="9"/>
        <v>248.63142830000001</v>
      </c>
      <c r="M250" s="59"/>
      <c r="N250" s="63">
        <f t="shared" si="10"/>
        <v>2025</v>
      </c>
      <c r="O250" s="65">
        <f t="shared" si="11"/>
        <v>1</v>
      </c>
      <c r="P250" s="499">
        <v>0</v>
      </c>
    </row>
    <row r="251" spans="1:16" s="58" customFormat="1" ht="22.9">
      <c r="A251" s="59">
        <v>247</v>
      </c>
      <c r="B251" s="60" t="s">
        <v>89</v>
      </c>
      <c r="C251" s="60" t="s">
        <v>596</v>
      </c>
      <c r="D251" s="60" t="s">
        <v>310</v>
      </c>
      <c r="E251" s="60" t="s">
        <v>310</v>
      </c>
      <c r="F251" s="79">
        <v>45688</v>
      </c>
      <c r="G251" s="60" t="s">
        <v>310</v>
      </c>
      <c r="H251" s="60" t="s">
        <v>661</v>
      </c>
      <c r="I251" s="61" t="s">
        <v>312</v>
      </c>
      <c r="J251" s="504">
        <v>4.0999999999999996</v>
      </c>
      <c r="K251" s="494">
        <v>0.95748999999999995</v>
      </c>
      <c r="L251" s="78">
        <f t="shared" si="9"/>
        <v>3.9257089999999994</v>
      </c>
      <c r="M251" s="59"/>
      <c r="N251" s="63">
        <f t="shared" si="10"/>
        <v>2025</v>
      </c>
      <c r="O251" s="65">
        <f t="shared" si="11"/>
        <v>1</v>
      </c>
      <c r="P251" s="499">
        <v>0</v>
      </c>
    </row>
    <row r="252" spans="1:16" s="58" customFormat="1">
      <c r="A252" s="59">
        <v>248</v>
      </c>
      <c r="B252" s="60" t="s">
        <v>89</v>
      </c>
      <c r="C252" s="60" t="s">
        <v>596</v>
      </c>
      <c r="D252" s="60" t="s">
        <v>310</v>
      </c>
      <c r="E252" s="60" t="s">
        <v>310</v>
      </c>
      <c r="F252" s="79">
        <v>45688</v>
      </c>
      <c r="G252" s="60" t="s">
        <v>310</v>
      </c>
      <c r="H252" s="60" t="s">
        <v>662</v>
      </c>
      <c r="I252" s="61" t="s">
        <v>312</v>
      </c>
      <c r="J252" s="504">
        <v>4.0999999999999996</v>
      </c>
      <c r="K252" s="494">
        <v>0.95748999999999995</v>
      </c>
      <c r="L252" s="78">
        <f t="shared" si="9"/>
        <v>3.9257089999999994</v>
      </c>
      <c r="M252" s="59"/>
      <c r="N252" s="63">
        <f t="shared" si="10"/>
        <v>2025</v>
      </c>
      <c r="O252" s="65">
        <f t="shared" si="11"/>
        <v>1</v>
      </c>
      <c r="P252" s="499">
        <v>0</v>
      </c>
    </row>
    <row r="253" spans="1:16" s="58" customFormat="1" ht="22.9">
      <c r="A253" s="59">
        <v>249</v>
      </c>
      <c r="B253" s="60" t="s">
        <v>89</v>
      </c>
      <c r="C253" s="60" t="s">
        <v>663</v>
      </c>
      <c r="D253" s="60" t="s">
        <v>310</v>
      </c>
      <c r="E253" s="60" t="s">
        <v>310</v>
      </c>
      <c r="F253" s="79">
        <v>45702</v>
      </c>
      <c r="G253" s="60" t="s">
        <v>310</v>
      </c>
      <c r="H253" s="60" t="s">
        <v>664</v>
      </c>
      <c r="I253" s="61" t="s">
        <v>312</v>
      </c>
      <c r="J253" s="504">
        <v>2.59</v>
      </c>
      <c r="K253" s="494">
        <v>0.96126</v>
      </c>
      <c r="L253" s="78">
        <f t="shared" si="9"/>
        <v>2.4896634</v>
      </c>
      <c r="M253" s="59"/>
      <c r="N253" s="63">
        <f t="shared" si="10"/>
        <v>2025</v>
      </c>
      <c r="O253" s="65">
        <f t="shared" si="11"/>
        <v>2</v>
      </c>
      <c r="P253" s="499">
        <v>0</v>
      </c>
    </row>
    <row r="254" spans="1:16" s="58" customFormat="1" ht="22.9">
      <c r="A254" s="59">
        <v>250</v>
      </c>
      <c r="B254" s="60" t="s">
        <v>89</v>
      </c>
      <c r="C254" s="60" t="s">
        <v>600</v>
      </c>
      <c r="D254" s="60" t="s">
        <v>310</v>
      </c>
      <c r="E254" s="60" t="s">
        <v>310</v>
      </c>
      <c r="F254" s="79">
        <v>45716</v>
      </c>
      <c r="G254" s="60" t="s">
        <v>310</v>
      </c>
      <c r="H254" s="60" t="s">
        <v>665</v>
      </c>
      <c r="I254" s="61" t="s">
        <v>312</v>
      </c>
      <c r="J254" s="504">
        <v>4.0999999999999996</v>
      </c>
      <c r="K254" s="494">
        <v>0.96126</v>
      </c>
      <c r="L254" s="78">
        <f t="shared" si="9"/>
        <v>3.9411659999999995</v>
      </c>
      <c r="M254" s="59"/>
      <c r="N254" s="63">
        <f t="shared" si="10"/>
        <v>2025</v>
      </c>
      <c r="O254" s="65">
        <f t="shared" si="11"/>
        <v>2</v>
      </c>
      <c r="P254" s="499">
        <v>0</v>
      </c>
    </row>
    <row r="255" spans="1:16" s="58" customFormat="1" ht="22.9">
      <c r="A255" s="59">
        <v>251</v>
      </c>
      <c r="B255" s="60" t="s">
        <v>89</v>
      </c>
      <c r="C255" s="60" t="s">
        <v>666</v>
      </c>
      <c r="D255" s="59"/>
      <c r="E255" s="61" t="s">
        <v>215</v>
      </c>
      <c r="F255" s="79">
        <v>45716</v>
      </c>
      <c r="G255" s="60" t="s">
        <v>411</v>
      </c>
      <c r="H255" s="60" t="s">
        <v>667</v>
      </c>
      <c r="I255" s="61" t="s">
        <v>312</v>
      </c>
      <c r="J255" s="504">
        <v>410</v>
      </c>
      <c r="K255" s="494">
        <v>0.96126</v>
      </c>
      <c r="L255" s="78">
        <f t="shared" si="9"/>
        <v>394.11660000000001</v>
      </c>
      <c r="M255" s="59"/>
      <c r="N255" s="63">
        <f t="shared" si="10"/>
        <v>2025</v>
      </c>
      <c r="O255" s="65">
        <f t="shared" si="11"/>
        <v>2</v>
      </c>
      <c r="P255" s="499">
        <v>0</v>
      </c>
    </row>
    <row r="256" spans="1:16" s="58" customFormat="1" ht="22.9">
      <c r="A256" s="59">
        <v>252</v>
      </c>
      <c r="B256" s="60" t="s">
        <v>89</v>
      </c>
      <c r="C256" s="60" t="s">
        <v>600</v>
      </c>
      <c r="D256" s="60" t="s">
        <v>310</v>
      </c>
      <c r="E256" s="60" t="s">
        <v>310</v>
      </c>
      <c r="F256" s="79">
        <v>45716</v>
      </c>
      <c r="G256" s="60" t="s">
        <v>310</v>
      </c>
      <c r="H256" s="60" t="s">
        <v>668</v>
      </c>
      <c r="I256" s="61" t="s">
        <v>312</v>
      </c>
      <c r="J256" s="504">
        <v>4.0999999999999996</v>
      </c>
      <c r="K256" s="494">
        <v>0.96126</v>
      </c>
      <c r="L256" s="78">
        <f t="shared" si="9"/>
        <v>3.9411659999999995</v>
      </c>
      <c r="M256" s="59"/>
      <c r="N256" s="63">
        <f t="shared" si="10"/>
        <v>2025</v>
      </c>
      <c r="O256" s="65">
        <f t="shared" si="11"/>
        <v>2</v>
      </c>
      <c r="P256" s="499">
        <v>0</v>
      </c>
    </row>
    <row r="257" spans="1:16" s="58" customFormat="1">
      <c r="A257" s="59">
        <v>253</v>
      </c>
      <c r="B257" s="60" t="s">
        <v>89</v>
      </c>
      <c r="C257" s="60" t="s">
        <v>669</v>
      </c>
      <c r="D257" s="61" t="s">
        <v>215</v>
      </c>
      <c r="E257" s="61" t="s">
        <v>215</v>
      </c>
      <c r="F257" s="79">
        <v>45716</v>
      </c>
      <c r="G257" s="60" t="s">
        <v>433</v>
      </c>
      <c r="H257" s="60" t="s">
        <v>670</v>
      </c>
      <c r="I257" s="61" t="s">
        <v>312</v>
      </c>
      <c r="J257" s="504">
        <v>210</v>
      </c>
      <c r="K257" s="494">
        <v>0.96126</v>
      </c>
      <c r="L257" s="78">
        <f t="shared" si="9"/>
        <v>201.8646</v>
      </c>
      <c r="M257" s="59"/>
      <c r="N257" s="63">
        <f t="shared" si="10"/>
        <v>2025</v>
      </c>
      <c r="O257" s="65">
        <f t="shared" si="11"/>
        <v>2</v>
      </c>
      <c r="P257" s="499">
        <v>1</v>
      </c>
    </row>
    <row r="258" spans="1:16" s="58" customFormat="1">
      <c r="A258" s="59">
        <v>254</v>
      </c>
      <c r="B258" s="60" t="s">
        <v>89</v>
      </c>
      <c r="C258" s="60" t="s">
        <v>671</v>
      </c>
      <c r="D258" s="61" t="s">
        <v>215</v>
      </c>
      <c r="E258" s="61" t="s">
        <v>215</v>
      </c>
      <c r="F258" s="79">
        <v>45716</v>
      </c>
      <c r="G258" s="60" t="s">
        <v>417</v>
      </c>
      <c r="H258" s="60" t="s">
        <v>672</v>
      </c>
      <c r="I258" s="61" t="s">
        <v>312</v>
      </c>
      <c r="J258" s="504">
        <v>410</v>
      </c>
      <c r="K258" s="494">
        <v>0.96126</v>
      </c>
      <c r="L258" s="78">
        <f t="shared" si="9"/>
        <v>394.11660000000001</v>
      </c>
      <c r="M258" s="59"/>
      <c r="N258" s="63">
        <f t="shared" si="10"/>
        <v>2025</v>
      </c>
      <c r="O258" s="65">
        <f t="shared" si="11"/>
        <v>2</v>
      </c>
      <c r="P258" s="499">
        <v>0</v>
      </c>
    </row>
    <row r="259" spans="1:16" s="58" customFormat="1" ht="22.9">
      <c r="A259" s="59">
        <v>255</v>
      </c>
      <c r="B259" s="60" t="s">
        <v>89</v>
      </c>
      <c r="C259" s="60" t="s">
        <v>600</v>
      </c>
      <c r="D259" s="60" t="s">
        <v>310</v>
      </c>
      <c r="E259" s="60" t="s">
        <v>310</v>
      </c>
      <c r="F259" s="79">
        <v>45716</v>
      </c>
      <c r="G259" s="60" t="s">
        <v>310</v>
      </c>
      <c r="H259" s="60" t="s">
        <v>673</v>
      </c>
      <c r="I259" s="61" t="s">
        <v>312</v>
      </c>
      <c r="J259" s="504">
        <v>4.0999999999999996</v>
      </c>
      <c r="K259" s="494">
        <v>0.96126</v>
      </c>
      <c r="L259" s="78">
        <f t="shared" si="9"/>
        <v>3.9411659999999995</v>
      </c>
      <c r="M259" s="59"/>
      <c r="N259" s="63">
        <f t="shared" si="10"/>
        <v>2025</v>
      </c>
      <c r="O259" s="65">
        <f t="shared" si="11"/>
        <v>2</v>
      </c>
      <c r="P259" s="499">
        <v>0</v>
      </c>
    </row>
    <row r="260" spans="1:16" s="58" customFormat="1">
      <c r="A260" s="59">
        <v>256</v>
      </c>
      <c r="B260" s="60" t="s">
        <v>91</v>
      </c>
      <c r="C260" s="60" t="s">
        <v>596</v>
      </c>
      <c r="D260" s="60" t="s">
        <v>310</v>
      </c>
      <c r="E260" s="60" t="s">
        <v>310</v>
      </c>
      <c r="F260" s="79">
        <v>45688</v>
      </c>
      <c r="G260" s="60" t="s">
        <v>310</v>
      </c>
      <c r="H260" s="60" t="s">
        <v>674</v>
      </c>
      <c r="I260" s="61" t="s">
        <v>312</v>
      </c>
      <c r="J260" s="504">
        <v>5.6</v>
      </c>
      <c r="K260" s="494">
        <v>0.95748999999999995</v>
      </c>
      <c r="L260" s="78">
        <f t="shared" si="9"/>
        <v>5.3619439999999994</v>
      </c>
      <c r="M260" s="59"/>
      <c r="N260" s="63">
        <f t="shared" si="10"/>
        <v>2025</v>
      </c>
      <c r="O260" s="65">
        <f t="shared" si="11"/>
        <v>1</v>
      </c>
      <c r="P260" s="499">
        <v>0</v>
      </c>
    </row>
    <row r="261" spans="1:16" s="58" customFormat="1">
      <c r="A261" s="59">
        <v>257</v>
      </c>
      <c r="B261" s="60" t="s">
        <v>91</v>
      </c>
      <c r="C261" s="60" t="s">
        <v>675</v>
      </c>
      <c r="D261" s="61" t="s">
        <v>215</v>
      </c>
      <c r="E261" s="61" t="s">
        <v>215</v>
      </c>
      <c r="F261" s="79">
        <v>45688</v>
      </c>
      <c r="G261" s="60" t="s">
        <v>449</v>
      </c>
      <c r="H261" s="60" t="s">
        <v>676</v>
      </c>
      <c r="I261" s="61" t="s">
        <v>312</v>
      </c>
      <c r="J261" s="504">
        <v>560</v>
      </c>
      <c r="K261" s="494">
        <v>0.95748999999999995</v>
      </c>
      <c r="L261" s="78">
        <f t="shared" ref="L261:L323" si="12">K261*J261</f>
        <v>536.19439999999997</v>
      </c>
      <c r="M261" s="59"/>
      <c r="N261" s="63">
        <f t="shared" ref="N261:N322" si="13">YEAR(F261)</f>
        <v>2025</v>
      </c>
      <c r="O261" s="65">
        <f t="shared" ref="O261:O322" si="14">MONTH(F261)</f>
        <v>1</v>
      </c>
      <c r="P261" s="499">
        <v>0</v>
      </c>
    </row>
    <row r="262" spans="1:16" s="58" customFormat="1" ht="22.9">
      <c r="A262" s="59">
        <v>258</v>
      </c>
      <c r="B262" s="60" t="s">
        <v>91</v>
      </c>
      <c r="C262" s="60" t="s">
        <v>600</v>
      </c>
      <c r="D262" s="60" t="s">
        <v>310</v>
      </c>
      <c r="E262" s="60" t="s">
        <v>310</v>
      </c>
      <c r="F262" s="79">
        <v>45714</v>
      </c>
      <c r="G262" s="60" t="s">
        <v>310</v>
      </c>
      <c r="H262" s="60" t="s">
        <v>677</v>
      </c>
      <c r="I262" s="61" t="s">
        <v>312</v>
      </c>
      <c r="J262" s="504">
        <v>5.6</v>
      </c>
      <c r="K262" s="494">
        <v>0.96126</v>
      </c>
      <c r="L262" s="78">
        <f t="shared" si="12"/>
        <v>5.3830559999999998</v>
      </c>
      <c r="M262" s="59"/>
      <c r="N262" s="63">
        <f t="shared" si="13"/>
        <v>2025</v>
      </c>
      <c r="O262" s="65">
        <f t="shared" si="14"/>
        <v>2</v>
      </c>
      <c r="P262" s="499">
        <v>0</v>
      </c>
    </row>
    <row r="263" spans="1:16" s="58" customFormat="1">
      <c r="A263" s="59">
        <v>259</v>
      </c>
      <c r="B263" s="60" t="s">
        <v>91</v>
      </c>
      <c r="C263" s="60" t="s">
        <v>678</v>
      </c>
      <c r="D263" s="61" t="s">
        <v>215</v>
      </c>
      <c r="E263" s="61" t="s">
        <v>215</v>
      </c>
      <c r="F263" s="79">
        <v>45714</v>
      </c>
      <c r="G263" s="60" t="s">
        <v>449</v>
      </c>
      <c r="H263" s="60" t="s">
        <v>679</v>
      </c>
      <c r="I263" s="61" t="s">
        <v>312</v>
      </c>
      <c r="J263" s="504">
        <v>560</v>
      </c>
      <c r="K263" s="494">
        <v>0.96126</v>
      </c>
      <c r="L263" s="78">
        <f t="shared" si="12"/>
        <v>538.30560000000003</v>
      </c>
      <c r="M263" s="59"/>
      <c r="N263" s="63">
        <f t="shared" si="13"/>
        <v>2025</v>
      </c>
      <c r="O263" s="65">
        <f t="shared" si="14"/>
        <v>2</v>
      </c>
      <c r="P263" s="499">
        <v>0</v>
      </c>
    </row>
    <row r="264" spans="1:16" s="58" customFormat="1">
      <c r="A264" s="59">
        <v>260</v>
      </c>
      <c r="B264" s="60" t="s">
        <v>93</v>
      </c>
      <c r="C264" s="60" t="s">
        <v>596</v>
      </c>
      <c r="D264" s="60" t="s">
        <v>310</v>
      </c>
      <c r="E264" s="60" t="s">
        <v>310</v>
      </c>
      <c r="F264" s="79">
        <v>45688</v>
      </c>
      <c r="G264" s="60" t="s">
        <v>310</v>
      </c>
      <c r="H264" s="60" t="s">
        <v>680</v>
      </c>
      <c r="I264" s="61" t="s">
        <v>312</v>
      </c>
      <c r="J264" s="504">
        <v>2.6</v>
      </c>
      <c r="K264" s="494">
        <v>0.95748999999999995</v>
      </c>
      <c r="L264" s="78">
        <f t="shared" si="12"/>
        <v>2.489474</v>
      </c>
      <c r="M264" s="59"/>
      <c r="N264" s="63">
        <f t="shared" si="13"/>
        <v>2025</v>
      </c>
      <c r="O264" s="65">
        <f t="shared" si="14"/>
        <v>1</v>
      </c>
      <c r="P264" s="499">
        <v>0</v>
      </c>
    </row>
    <row r="265" spans="1:16" s="58" customFormat="1">
      <c r="A265" s="59">
        <v>261</v>
      </c>
      <c r="B265" s="60" t="s">
        <v>93</v>
      </c>
      <c r="C265" s="60" t="s">
        <v>681</v>
      </c>
      <c r="D265" s="61" t="s">
        <v>215</v>
      </c>
      <c r="E265" s="61" t="s">
        <v>215</v>
      </c>
      <c r="F265" s="79">
        <v>45688</v>
      </c>
      <c r="G265" s="60" t="s">
        <v>461</v>
      </c>
      <c r="H265" s="60" t="s">
        <v>682</v>
      </c>
      <c r="I265" s="61" t="s">
        <v>312</v>
      </c>
      <c r="J265" s="504">
        <v>260</v>
      </c>
      <c r="K265" s="494">
        <v>0.95748999999999995</v>
      </c>
      <c r="L265" s="78">
        <f t="shared" si="12"/>
        <v>248.94739999999999</v>
      </c>
      <c r="M265" s="59"/>
      <c r="N265" s="63">
        <f t="shared" si="13"/>
        <v>2025</v>
      </c>
      <c r="O265" s="65">
        <f t="shared" si="14"/>
        <v>1</v>
      </c>
      <c r="P265" s="499">
        <v>0</v>
      </c>
    </row>
    <row r="266" spans="1:16" s="58" customFormat="1" ht="22.9">
      <c r="A266" s="59">
        <v>262</v>
      </c>
      <c r="B266" s="60" t="s">
        <v>93</v>
      </c>
      <c r="C266" s="60" t="s">
        <v>600</v>
      </c>
      <c r="D266" s="60" t="s">
        <v>310</v>
      </c>
      <c r="E266" s="60" t="s">
        <v>310</v>
      </c>
      <c r="F266" s="79">
        <v>45714</v>
      </c>
      <c r="G266" s="60" t="s">
        <v>310</v>
      </c>
      <c r="H266" s="60" t="s">
        <v>683</v>
      </c>
      <c r="I266" s="61" t="s">
        <v>312</v>
      </c>
      <c r="J266" s="504">
        <v>2.6</v>
      </c>
      <c r="K266" s="494">
        <v>0.96126</v>
      </c>
      <c r="L266" s="78">
        <f t="shared" si="12"/>
        <v>2.4992760000000001</v>
      </c>
      <c r="M266" s="59"/>
      <c r="N266" s="63">
        <f t="shared" si="13"/>
        <v>2025</v>
      </c>
      <c r="O266" s="65">
        <f t="shared" si="14"/>
        <v>2</v>
      </c>
      <c r="P266" s="499">
        <v>0</v>
      </c>
    </row>
    <row r="267" spans="1:16" s="58" customFormat="1">
      <c r="A267" s="59">
        <v>263</v>
      </c>
      <c r="B267" s="60" t="s">
        <v>93</v>
      </c>
      <c r="C267" s="60" t="s">
        <v>684</v>
      </c>
      <c r="D267" s="61" t="s">
        <v>215</v>
      </c>
      <c r="E267" s="61" t="s">
        <v>215</v>
      </c>
      <c r="F267" s="79" t="s">
        <v>685</v>
      </c>
      <c r="G267" s="60" t="s">
        <v>461</v>
      </c>
      <c r="H267" s="60" t="s">
        <v>686</v>
      </c>
      <c r="I267" s="61" t="s">
        <v>312</v>
      </c>
      <c r="J267" s="504">
        <v>260</v>
      </c>
      <c r="K267" s="494">
        <v>0.96126</v>
      </c>
      <c r="L267" s="78">
        <f t="shared" si="12"/>
        <v>249.92760000000001</v>
      </c>
      <c r="M267" s="59"/>
      <c r="N267" s="63">
        <f t="shared" si="13"/>
        <v>2025</v>
      </c>
      <c r="O267" s="65">
        <f t="shared" si="14"/>
        <v>2</v>
      </c>
      <c r="P267" s="499">
        <v>0</v>
      </c>
    </row>
    <row r="268" spans="1:16" s="58" customFormat="1">
      <c r="A268" s="59">
        <v>264</v>
      </c>
      <c r="B268" s="60" t="s">
        <v>95</v>
      </c>
      <c r="C268" s="60" t="s">
        <v>596</v>
      </c>
      <c r="D268" s="60" t="s">
        <v>310</v>
      </c>
      <c r="E268" s="60" t="s">
        <v>310</v>
      </c>
      <c r="F268" s="79">
        <v>45688</v>
      </c>
      <c r="G268" s="60" t="s">
        <v>310</v>
      </c>
      <c r="H268" s="60" t="s">
        <v>687</v>
      </c>
      <c r="I268" s="61" t="s">
        <v>312</v>
      </c>
      <c r="J268" s="504">
        <v>3.1</v>
      </c>
      <c r="K268" s="494">
        <v>0.95748999999999995</v>
      </c>
      <c r="L268" s="78">
        <f t="shared" si="12"/>
        <v>2.9682189999999999</v>
      </c>
      <c r="M268" s="59"/>
      <c r="N268" s="63">
        <f t="shared" si="13"/>
        <v>2025</v>
      </c>
      <c r="O268" s="65">
        <f t="shared" si="14"/>
        <v>1</v>
      </c>
      <c r="P268" s="499">
        <v>0</v>
      </c>
    </row>
    <row r="269" spans="1:16" s="58" customFormat="1">
      <c r="A269" s="59">
        <v>265</v>
      </c>
      <c r="B269" s="60" t="s">
        <v>95</v>
      </c>
      <c r="C269" s="60" t="s">
        <v>688</v>
      </c>
      <c r="D269" s="61" t="s">
        <v>215</v>
      </c>
      <c r="E269" s="61" t="s">
        <v>215</v>
      </c>
      <c r="F269" s="79">
        <v>45688</v>
      </c>
      <c r="G269" s="60" t="s">
        <v>479</v>
      </c>
      <c r="H269" s="60" t="s">
        <v>689</v>
      </c>
      <c r="I269" s="61" t="s">
        <v>312</v>
      </c>
      <c r="J269" s="504">
        <v>310</v>
      </c>
      <c r="K269" s="494">
        <v>0.95748999999999995</v>
      </c>
      <c r="L269" s="78">
        <f t="shared" si="12"/>
        <v>296.82189999999997</v>
      </c>
      <c r="M269" s="59"/>
      <c r="N269" s="63">
        <f t="shared" si="13"/>
        <v>2025</v>
      </c>
      <c r="O269" s="65">
        <f t="shared" si="14"/>
        <v>1</v>
      </c>
      <c r="P269" s="499">
        <v>0</v>
      </c>
    </row>
    <row r="270" spans="1:16" s="58" customFormat="1" ht="22.9">
      <c r="A270" s="59">
        <v>266</v>
      </c>
      <c r="B270" s="62">
        <v>2.2000000000000002</v>
      </c>
      <c r="C270" s="60" t="s">
        <v>690</v>
      </c>
      <c r="D270" s="61" t="s">
        <v>691</v>
      </c>
      <c r="E270" s="61" t="s">
        <v>692</v>
      </c>
      <c r="F270" s="79">
        <v>45663</v>
      </c>
      <c r="G270" s="60" t="s">
        <v>693</v>
      </c>
      <c r="H270" s="60" t="s">
        <v>694</v>
      </c>
      <c r="I270" s="61" t="s">
        <v>210</v>
      </c>
      <c r="J270" s="504">
        <v>1707</v>
      </c>
      <c r="K270" s="494">
        <v>2.7109999999999999E-2</v>
      </c>
      <c r="L270" s="78">
        <f t="shared" si="12"/>
        <v>46.276769999999999</v>
      </c>
      <c r="M270" s="59"/>
      <c r="N270" s="63">
        <f t="shared" si="13"/>
        <v>2025</v>
      </c>
      <c r="O270" s="65">
        <f t="shared" si="14"/>
        <v>1</v>
      </c>
      <c r="P270" s="499">
        <v>0</v>
      </c>
    </row>
    <row r="271" spans="1:16" s="58" customFormat="1" ht="22.9">
      <c r="A271" s="59">
        <v>267</v>
      </c>
      <c r="B271" s="62">
        <v>2.2000000000000002</v>
      </c>
      <c r="C271" s="60" t="s">
        <v>695</v>
      </c>
      <c r="D271" s="61" t="s">
        <v>691</v>
      </c>
      <c r="E271" s="61" t="s">
        <v>696</v>
      </c>
      <c r="F271" s="79">
        <v>45664</v>
      </c>
      <c r="G271" s="60" t="s">
        <v>697</v>
      </c>
      <c r="H271" s="60" t="s">
        <v>698</v>
      </c>
      <c r="I271" s="61" t="s">
        <v>210</v>
      </c>
      <c r="J271" s="504">
        <v>3116</v>
      </c>
      <c r="K271" s="494">
        <v>2.7109999999999999E-2</v>
      </c>
      <c r="L271" s="78">
        <f t="shared" si="12"/>
        <v>84.474759999999989</v>
      </c>
      <c r="M271" s="59"/>
      <c r="N271" s="63">
        <f t="shared" si="13"/>
        <v>2025</v>
      </c>
      <c r="O271" s="65">
        <f t="shared" si="14"/>
        <v>1</v>
      </c>
      <c r="P271" s="499">
        <v>0</v>
      </c>
    </row>
    <row r="272" spans="1:16" s="58" customFormat="1" ht="22.9">
      <c r="A272" s="59">
        <v>268</v>
      </c>
      <c r="B272" s="62">
        <v>2.2000000000000002</v>
      </c>
      <c r="C272" s="60" t="s">
        <v>699</v>
      </c>
      <c r="D272" s="61" t="s">
        <v>691</v>
      </c>
      <c r="E272" s="61" t="s">
        <v>700</v>
      </c>
      <c r="F272" s="79">
        <v>45666</v>
      </c>
      <c r="G272" s="60" t="s">
        <v>693</v>
      </c>
      <c r="H272" s="60" t="s">
        <v>701</v>
      </c>
      <c r="I272" s="61" t="s">
        <v>210</v>
      </c>
      <c r="J272" s="504">
        <v>2060</v>
      </c>
      <c r="K272" s="494">
        <v>2.7109999999999999E-2</v>
      </c>
      <c r="L272" s="78">
        <f t="shared" si="12"/>
        <v>55.846599999999995</v>
      </c>
      <c r="M272" s="59"/>
      <c r="N272" s="63">
        <f t="shared" si="13"/>
        <v>2025</v>
      </c>
      <c r="O272" s="65">
        <f t="shared" si="14"/>
        <v>1</v>
      </c>
      <c r="P272" s="499">
        <v>1</v>
      </c>
    </row>
    <row r="273" spans="1:16" s="58" customFormat="1" ht="22.9">
      <c r="A273" s="59">
        <v>269</v>
      </c>
      <c r="B273" s="62">
        <v>2.2000000000000002</v>
      </c>
      <c r="C273" s="60" t="s">
        <v>702</v>
      </c>
      <c r="D273" s="61" t="s">
        <v>691</v>
      </c>
      <c r="E273" s="61" t="s">
        <v>703</v>
      </c>
      <c r="F273" s="79">
        <v>45666</v>
      </c>
      <c r="G273" s="60" t="s">
        <v>704</v>
      </c>
      <c r="H273" s="60" t="s">
        <v>705</v>
      </c>
      <c r="I273" s="61" t="s">
        <v>210</v>
      </c>
      <c r="J273" s="504">
        <v>2000</v>
      </c>
      <c r="K273" s="494">
        <v>2.7109999999999999E-2</v>
      </c>
      <c r="L273" s="78">
        <f t="shared" si="12"/>
        <v>54.22</v>
      </c>
      <c r="M273" s="59"/>
      <c r="N273" s="63">
        <f t="shared" si="13"/>
        <v>2025</v>
      </c>
      <c r="O273" s="65">
        <f t="shared" si="14"/>
        <v>1</v>
      </c>
      <c r="P273" s="499">
        <v>0</v>
      </c>
    </row>
    <row r="274" spans="1:16" s="58" customFormat="1" ht="22.9">
      <c r="A274" s="59">
        <v>270</v>
      </c>
      <c r="B274" s="62">
        <v>2.2000000000000002</v>
      </c>
      <c r="C274" s="60" t="s">
        <v>706</v>
      </c>
      <c r="D274" s="61" t="s">
        <v>691</v>
      </c>
      <c r="E274" s="61" t="s">
        <v>707</v>
      </c>
      <c r="F274" s="79">
        <v>45670</v>
      </c>
      <c r="G274" s="60" t="s">
        <v>693</v>
      </c>
      <c r="H274" s="60" t="s">
        <v>708</v>
      </c>
      <c r="I274" s="61" t="s">
        <v>210</v>
      </c>
      <c r="J274" s="504">
        <v>2100</v>
      </c>
      <c r="K274" s="494">
        <v>2.7109999999999999E-2</v>
      </c>
      <c r="L274" s="78">
        <f t="shared" si="12"/>
        <v>56.930999999999997</v>
      </c>
      <c r="M274" s="59"/>
      <c r="N274" s="63">
        <f t="shared" si="13"/>
        <v>2025</v>
      </c>
      <c r="O274" s="65">
        <f t="shared" si="14"/>
        <v>1</v>
      </c>
      <c r="P274" s="499">
        <v>0</v>
      </c>
    </row>
    <row r="275" spans="1:16" s="58" customFormat="1" ht="22.9">
      <c r="A275" s="59">
        <v>271</v>
      </c>
      <c r="B275" s="62">
        <v>2.2000000000000002</v>
      </c>
      <c r="C275" s="60" t="s">
        <v>709</v>
      </c>
      <c r="D275" s="61" t="s">
        <v>691</v>
      </c>
      <c r="E275" s="61" t="s">
        <v>710</v>
      </c>
      <c r="F275" s="79">
        <v>45676</v>
      </c>
      <c r="G275" s="60" t="s">
        <v>693</v>
      </c>
      <c r="H275" s="60" t="s">
        <v>711</v>
      </c>
      <c r="I275" s="61" t="s">
        <v>210</v>
      </c>
      <c r="J275" s="504">
        <v>3354</v>
      </c>
      <c r="K275" s="494">
        <v>2.7109999999999999E-2</v>
      </c>
      <c r="L275" s="78">
        <f t="shared" si="12"/>
        <v>90.926940000000002</v>
      </c>
      <c r="M275" s="59"/>
      <c r="N275" s="63">
        <f t="shared" si="13"/>
        <v>2025</v>
      </c>
      <c r="O275" s="65">
        <f t="shared" si="14"/>
        <v>1</v>
      </c>
      <c r="P275" s="499">
        <v>0</v>
      </c>
    </row>
    <row r="276" spans="1:16" s="58" customFormat="1" ht="22.9">
      <c r="A276" s="59">
        <v>272</v>
      </c>
      <c r="B276" s="62">
        <v>2.2000000000000002</v>
      </c>
      <c r="C276" s="60" t="s">
        <v>712</v>
      </c>
      <c r="D276" s="61" t="s">
        <v>691</v>
      </c>
      <c r="E276" s="61" t="s">
        <v>713</v>
      </c>
      <c r="F276" s="79">
        <v>45677</v>
      </c>
      <c r="G276" s="60" t="s">
        <v>693</v>
      </c>
      <c r="H276" s="60" t="s">
        <v>714</v>
      </c>
      <c r="I276" s="61" t="s">
        <v>210</v>
      </c>
      <c r="J276" s="504">
        <v>2768</v>
      </c>
      <c r="K276" s="494">
        <v>2.7109999999999999E-2</v>
      </c>
      <c r="L276" s="78">
        <f t="shared" si="12"/>
        <v>75.040480000000002</v>
      </c>
      <c r="M276" s="59"/>
      <c r="N276" s="63">
        <f t="shared" si="13"/>
        <v>2025</v>
      </c>
      <c r="O276" s="65">
        <f t="shared" si="14"/>
        <v>1</v>
      </c>
      <c r="P276" s="499">
        <v>0</v>
      </c>
    </row>
    <row r="277" spans="1:16" s="58" customFormat="1" ht="22.9">
      <c r="A277" s="59">
        <v>273</v>
      </c>
      <c r="B277" s="62">
        <v>2.2000000000000002</v>
      </c>
      <c r="C277" s="60" t="s">
        <v>715</v>
      </c>
      <c r="D277" s="61" t="s">
        <v>691</v>
      </c>
      <c r="E277" s="61" t="s">
        <v>716</v>
      </c>
      <c r="F277" s="79">
        <v>45680</v>
      </c>
      <c r="G277" s="60" t="s">
        <v>693</v>
      </c>
      <c r="H277" s="60" t="s">
        <v>717</v>
      </c>
      <c r="I277" s="61" t="s">
        <v>210</v>
      </c>
      <c r="J277" s="504">
        <v>1640</v>
      </c>
      <c r="K277" s="494">
        <v>2.7109999999999999E-2</v>
      </c>
      <c r="L277" s="78">
        <f t="shared" si="12"/>
        <v>44.4604</v>
      </c>
      <c r="M277" s="59"/>
      <c r="N277" s="63">
        <f t="shared" si="13"/>
        <v>2025</v>
      </c>
      <c r="O277" s="65">
        <f t="shared" si="14"/>
        <v>1</v>
      </c>
      <c r="P277" s="499">
        <v>0</v>
      </c>
    </row>
    <row r="278" spans="1:16" s="58" customFormat="1" ht="22.9">
      <c r="A278" s="59">
        <v>274</v>
      </c>
      <c r="B278" s="62">
        <v>2.2000000000000002</v>
      </c>
      <c r="C278" s="60" t="s">
        <v>718</v>
      </c>
      <c r="D278" s="61" t="s">
        <v>691</v>
      </c>
      <c r="E278" s="61" t="s">
        <v>719</v>
      </c>
      <c r="F278" s="79">
        <v>45682</v>
      </c>
      <c r="G278" s="60" t="s">
        <v>697</v>
      </c>
      <c r="H278" s="60" t="s">
        <v>720</v>
      </c>
      <c r="I278" s="61" t="s">
        <v>210</v>
      </c>
      <c r="J278" s="504">
        <v>1600</v>
      </c>
      <c r="K278" s="494">
        <v>2.7109999999999999E-2</v>
      </c>
      <c r="L278" s="78">
        <f t="shared" si="12"/>
        <v>43.375999999999998</v>
      </c>
      <c r="M278" s="59"/>
      <c r="N278" s="63">
        <f t="shared" si="13"/>
        <v>2025</v>
      </c>
      <c r="O278" s="65">
        <f t="shared" si="14"/>
        <v>1</v>
      </c>
      <c r="P278" s="499">
        <v>0</v>
      </c>
    </row>
    <row r="279" spans="1:16" s="58" customFormat="1" ht="22.9">
      <c r="A279" s="59">
        <v>275</v>
      </c>
      <c r="B279" s="62">
        <v>2.2000000000000002</v>
      </c>
      <c r="C279" s="60" t="s">
        <v>721</v>
      </c>
      <c r="D279" s="61" t="s">
        <v>691</v>
      </c>
      <c r="E279" s="61" t="s">
        <v>722</v>
      </c>
      <c r="F279" s="79">
        <v>45686</v>
      </c>
      <c r="G279" s="60" t="s">
        <v>697</v>
      </c>
      <c r="H279" s="60" t="s">
        <v>720</v>
      </c>
      <c r="I279" s="61" t="s">
        <v>210</v>
      </c>
      <c r="J279" s="504">
        <v>1520</v>
      </c>
      <c r="K279" s="494">
        <v>2.7109999999999999E-2</v>
      </c>
      <c r="L279" s="78">
        <f t="shared" si="12"/>
        <v>41.2072</v>
      </c>
      <c r="M279" s="59"/>
      <c r="N279" s="63">
        <f t="shared" si="13"/>
        <v>2025</v>
      </c>
      <c r="O279" s="65">
        <f t="shared" si="14"/>
        <v>1</v>
      </c>
      <c r="P279" s="499">
        <v>0</v>
      </c>
    </row>
    <row r="280" spans="1:16" s="58" customFormat="1" ht="22.9">
      <c r="A280" s="59">
        <v>276</v>
      </c>
      <c r="B280" s="62">
        <v>2.2000000000000002</v>
      </c>
      <c r="C280" s="60" t="s">
        <v>723</v>
      </c>
      <c r="D280" s="61" t="s">
        <v>691</v>
      </c>
      <c r="E280" s="61" t="s">
        <v>724</v>
      </c>
      <c r="F280" s="79">
        <v>45689</v>
      </c>
      <c r="G280" s="60" t="s">
        <v>697</v>
      </c>
      <c r="H280" s="60" t="s">
        <v>725</v>
      </c>
      <c r="I280" s="61" t="s">
        <v>210</v>
      </c>
      <c r="J280" s="504">
        <v>2760</v>
      </c>
      <c r="K280" s="494">
        <v>2.6870000000000002E-2</v>
      </c>
      <c r="L280" s="78">
        <f t="shared" si="12"/>
        <v>74.161200000000008</v>
      </c>
      <c r="M280" s="59"/>
      <c r="N280" s="63">
        <f t="shared" si="13"/>
        <v>2025</v>
      </c>
      <c r="O280" s="65">
        <f t="shared" si="14"/>
        <v>2</v>
      </c>
      <c r="P280" s="499">
        <v>0</v>
      </c>
    </row>
    <row r="281" spans="1:16" s="58" customFormat="1" ht="22.9">
      <c r="A281" s="59">
        <v>277</v>
      </c>
      <c r="B281" s="62">
        <v>2.2000000000000002</v>
      </c>
      <c r="C281" s="60" t="s">
        <v>726</v>
      </c>
      <c r="D281" s="61" t="s">
        <v>691</v>
      </c>
      <c r="E281" s="59">
        <v>928</v>
      </c>
      <c r="F281" s="79">
        <v>45689</v>
      </c>
      <c r="G281" s="60" t="s">
        <v>697</v>
      </c>
      <c r="H281" s="60" t="s">
        <v>727</v>
      </c>
      <c r="I281" s="61" t="s">
        <v>210</v>
      </c>
      <c r="J281" s="504">
        <v>3354</v>
      </c>
      <c r="K281" s="494">
        <v>2.6870000000000002E-2</v>
      </c>
      <c r="L281" s="78">
        <f t="shared" si="12"/>
        <v>90.121980000000008</v>
      </c>
      <c r="M281" s="59"/>
      <c r="N281" s="63">
        <f t="shared" si="13"/>
        <v>2025</v>
      </c>
      <c r="O281" s="65">
        <f t="shared" si="14"/>
        <v>2</v>
      </c>
      <c r="P281" s="499">
        <v>0</v>
      </c>
    </row>
    <row r="282" spans="1:16" s="58" customFormat="1" ht="22.9">
      <c r="A282" s="59">
        <v>278</v>
      </c>
      <c r="B282" s="62">
        <v>2.2000000000000002</v>
      </c>
      <c r="C282" s="60" t="s">
        <v>728</v>
      </c>
      <c r="D282" s="61" t="s">
        <v>691</v>
      </c>
      <c r="E282" s="61" t="s">
        <v>729</v>
      </c>
      <c r="F282" s="79">
        <v>45692</v>
      </c>
      <c r="G282" s="60" t="s">
        <v>697</v>
      </c>
      <c r="H282" s="60" t="s">
        <v>730</v>
      </c>
      <c r="I282" s="61" t="s">
        <v>210</v>
      </c>
      <c r="J282" s="504">
        <v>3075</v>
      </c>
      <c r="K282" s="494">
        <v>2.6870000000000002E-2</v>
      </c>
      <c r="L282" s="78">
        <f t="shared" si="12"/>
        <v>82.625250000000008</v>
      </c>
      <c r="M282" s="59"/>
      <c r="N282" s="63">
        <f t="shared" si="13"/>
        <v>2025</v>
      </c>
      <c r="O282" s="65">
        <f t="shared" si="14"/>
        <v>2</v>
      </c>
      <c r="P282" s="499">
        <v>0</v>
      </c>
    </row>
    <row r="283" spans="1:16" s="58" customFormat="1" ht="22.9">
      <c r="A283" s="59">
        <v>279</v>
      </c>
      <c r="B283" s="62">
        <v>2.2000000000000002</v>
      </c>
      <c r="C283" s="60" t="s">
        <v>731</v>
      </c>
      <c r="D283" s="61" t="s">
        <v>691</v>
      </c>
      <c r="E283" s="61" t="s">
        <v>732</v>
      </c>
      <c r="F283" s="79">
        <v>45694</v>
      </c>
      <c r="G283" s="60" t="s">
        <v>697</v>
      </c>
      <c r="H283" s="60" t="s">
        <v>733</v>
      </c>
      <c r="I283" s="61" t="s">
        <v>210</v>
      </c>
      <c r="J283" s="504">
        <v>2340</v>
      </c>
      <c r="K283" s="494">
        <v>2.6870000000000002E-2</v>
      </c>
      <c r="L283" s="78">
        <f t="shared" si="12"/>
        <v>62.875800000000005</v>
      </c>
      <c r="M283" s="59"/>
      <c r="N283" s="63">
        <f t="shared" si="13"/>
        <v>2025</v>
      </c>
      <c r="O283" s="65">
        <f t="shared" si="14"/>
        <v>2</v>
      </c>
      <c r="P283" s="499">
        <v>0</v>
      </c>
    </row>
    <row r="284" spans="1:16" s="58" customFormat="1" ht="22.9">
      <c r="A284" s="59">
        <v>280</v>
      </c>
      <c r="B284" s="62">
        <v>2.2000000000000002</v>
      </c>
      <c r="C284" s="60" t="s">
        <v>734</v>
      </c>
      <c r="D284" s="61" t="s">
        <v>691</v>
      </c>
      <c r="E284" s="61" t="s">
        <v>735</v>
      </c>
      <c r="F284" s="79">
        <v>45699</v>
      </c>
      <c r="G284" s="60" t="s">
        <v>693</v>
      </c>
      <c r="H284" s="60" t="s">
        <v>736</v>
      </c>
      <c r="I284" s="61" t="s">
        <v>210</v>
      </c>
      <c r="J284" s="504">
        <v>2760</v>
      </c>
      <c r="K284" s="494">
        <v>2.6870000000000002E-2</v>
      </c>
      <c r="L284" s="78">
        <f t="shared" si="12"/>
        <v>74.161200000000008</v>
      </c>
      <c r="M284" s="59"/>
      <c r="N284" s="63">
        <f t="shared" si="13"/>
        <v>2025</v>
      </c>
      <c r="O284" s="65">
        <f t="shared" si="14"/>
        <v>2</v>
      </c>
      <c r="P284" s="499">
        <v>0</v>
      </c>
    </row>
    <row r="285" spans="1:16" s="58" customFormat="1" ht="22.9">
      <c r="A285" s="59">
        <v>281</v>
      </c>
      <c r="B285" s="62">
        <v>2.2000000000000002</v>
      </c>
      <c r="C285" s="60" t="s">
        <v>737</v>
      </c>
      <c r="D285" s="60" t="s">
        <v>310</v>
      </c>
      <c r="E285" s="61" t="s">
        <v>738</v>
      </c>
      <c r="F285" s="79">
        <v>45708</v>
      </c>
      <c r="G285" s="60" t="s">
        <v>739</v>
      </c>
      <c r="H285" s="60" t="s">
        <v>740</v>
      </c>
      <c r="I285" s="61" t="s">
        <v>312</v>
      </c>
      <c r="J285" s="504">
        <v>75</v>
      </c>
      <c r="K285" s="494">
        <v>0.96126</v>
      </c>
      <c r="L285" s="78">
        <f t="shared" si="12"/>
        <v>72.094499999999996</v>
      </c>
      <c r="M285" s="59"/>
      <c r="N285" s="63">
        <f t="shared" si="13"/>
        <v>2025</v>
      </c>
      <c r="O285" s="65">
        <f t="shared" si="14"/>
        <v>2</v>
      </c>
      <c r="P285" s="499">
        <v>0</v>
      </c>
    </row>
    <row r="286" spans="1:16" s="58" customFormat="1" ht="22.9">
      <c r="A286" s="59">
        <v>282</v>
      </c>
      <c r="B286" s="60" t="s">
        <v>126</v>
      </c>
      <c r="C286" s="60" t="s">
        <v>741</v>
      </c>
      <c r="D286" s="60" t="s">
        <v>310</v>
      </c>
      <c r="E286" s="61" t="s">
        <v>742</v>
      </c>
      <c r="F286" s="79">
        <v>45705</v>
      </c>
      <c r="G286" s="60" t="s">
        <v>510</v>
      </c>
      <c r="H286" s="60" t="s">
        <v>743</v>
      </c>
      <c r="I286" s="61" t="s">
        <v>312</v>
      </c>
      <c r="J286" s="504">
        <v>330</v>
      </c>
      <c r="K286" s="494">
        <v>0.96126</v>
      </c>
      <c r="L286" s="78">
        <f t="shared" si="12"/>
        <v>317.2158</v>
      </c>
      <c r="M286" s="59"/>
      <c r="N286" s="63">
        <f t="shared" si="13"/>
        <v>2025</v>
      </c>
      <c r="O286" s="65">
        <f t="shared" si="14"/>
        <v>2</v>
      </c>
      <c r="P286" s="499">
        <v>0</v>
      </c>
    </row>
    <row r="287" spans="1:16" s="58" customFormat="1" ht="34.15">
      <c r="A287" s="59">
        <v>283</v>
      </c>
      <c r="B287" s="60" t="s">
        <v>126</v>
      </c>
      <c r="C287" s="60" t="s">
        <v>744</v>
      </c>
      <c r="D287" s="60" t="s">
        <v>310</v>
      </c>
      <c r="E287" s="60" t="s">
        <v>310</v>
      </c>
      <c r="F287" s="79">
        <v>45716</v>
      </c>
      <c r="G287" s="60" t="s">
        <v>310</v>
      </c>
      <c r="H287" s="60" t="s">
        <v>745</v>
      </c>
      <c r="I287" s="61" t="s">
        <v>312</v>
      </c>
      <c r="J287" s="504">
        <v>4.05</v>
      </c>
      <c r="K287" s="494">
        <v>0.96126</v>
      </c>
      <c r="L287" s="78">
        <f t="shared" si="12"/>
        <v>3.893103</v>
      </c>
      <c r="M287" s="59"/>
      <c r="N287" s="63">
        <f t="shared" si="13"/>
        <v>2025</v>
      </c>
      <c r="O287" s="65">
        <f t="shared" si="14"/>
        <v>2</v>
      </c>
      <c r="P287" s="499">
        <v>0</v>
      </c>
    </row>
    <row r="288" spans="1:16" s="58" customFormat="1" ht="45.6">
      <c r="A288" s="59">
        <v>284</v>
      </c>
      <c r="B288" s="60" t="s">
        <v>131</v>
      </c>
      <c r="C288" s="60" t="s">
        <v>746</v>
      </c>
      <c r="D288" s="60" t="s">
        <v>310</v>
      </c>
      <c r="E288" s="61" t="s">
        <v>747</v>
      </c>
      <c r="F288" s="79">
        <v>45673</v>
      </c>
      <c r="G288" s="60" t="s">
        <v>748</v>
      </c>
      <c r="H288" s="60" t="s">
        <v>749</v>
      </c>
      <c r="I288" s="61" t="s">
        <v>312</v>
      </c>
      <c r="J288" s="504">
        <v>109.2</v>
      </c>
      <c r="K288" s="494">
        <v>0.95748999999999995</v>
      </c>
      <c r="L288" s="78">
        <f t="shared" si="12"/>
        <v>104.557908</v>
      </c>
      <c r="M288" s="59"/>
      <c r="N288" s="63">
        <f t="shared" si="13"/>
        <v>2025</v>
      </c>
      <c r="O288" s="65">
        <f t="shared" si="14"/>
        <v>1</v>
      </c>
      <c r="P288" s="499">
        <v>0</v>
      </c>
    </row>
    <row r="289" spans="1:16" s="58" customFormat="1" ht="68.45">
      <c r="A289" s="59">
        <v>285</v>
      </c>
      <c r="B289" s="60" t="s">
        <v>134</v>
      </c>
      <c r="C289" s="60" t="s">
        <v>750</v>
      </c>
      <c r="D289" s="60" t="s">
        <v>310</v>
      </c>
      <c r="E289" s="61" t="s">
        <v>751</v>
      </c>
      <c r="F289" s="79">
        <v>45662</v>
      </c>
      <c r="G289" s="60" t="s">
        <v>752</v>
      </c>
      <c r="H289" s="60" t="s">
        <v>753</v>
      </c>
      <c r="I289" s="61" t="s">
        <v>312</v>
      </c>
      <c r="J289" s="504">
        <v>6062</v>
      </c>
      <c r="K289" s="494">
        <v>0.95748999999999995</v>
      </c>
      <c r="L289" s="78">
        <f t="shared" si="12"/>
        <v>5804.3043799999996</v>
      </c>
      <c r="M289" s="59"/>
      <c r="N289" s="63">
        <f t="shared" si="13"/>
        <v>2025</v>
      </c>
      <c r="O289" s="65">
        <f t="shared" si="14"/>
        <v>1</v>
      </c>
      <c r="P289" s="499">
        <v>0</v>
      </c>
    </row>
    <row r="290" spans="1:16" s="58" customFormat="1" ht="79.900000000000006">
      <c r="A290" s="59">
        <v>286</v>
      </c>
      <c r="B290" s="60" t="s">
        <v>134</v>
      </c>
      <c r="C290" s="60" t="s">
        <v>754</v>
      </c>
      <c r="D290" s="60" t="s">
        <v>310</v>
      </c>
      <c r="E290" s="60" t="s">
        <v>310</v>
      </c>
      <c r="F290" s="79">
        <v>45680</v>
      </c>
      <c r="G290" s="60" t="s">
        <v>310</v>
      </c>
      <c r="H290" s="60" t="s">
        <v>755</v>
      </c>
      <c r="I290" s="61" t="s">
        <v>312</v>
      </c>
      <c r="J290" s="504">
        <v>60.62</v>
      </c>
      <c r="K290" s="494">
        <v>0.95748999999999995</v>
      </c>
      <c r="L290" s="78">
        <f t="shared" si="12"/>
        <v>58.043043799999992</v>
      </c>
      <c r="M290" s="59"/>
      <c r="N290" s="63">
        <f t="shared" si="13"/>
        <v>2025</v>
      </c>
      <c r="O290" s="65">
        <f t="shared" si="14"/>
        <v>1</v>
      </c>
      <c r="P290" s="499">
        <v>0</v>
      </c>
    </row>
    <row r="291" spans="1:16" s="58" customFormat="1" ht="68.45">
      <c r="A291" s="59">
        <v>287</v>
      </c>
      <c r="B291" s="60" t="s">
        <v>137</v>
      </c>
      <c r="C291" s="60" t="s">
        <v>750</v>
      </c>
      <c r="D291" s="60" t="s">
        <v>310</v>
      </c>
      <c r="E291" s="61" t="s">
        <v>751</v>
      </c>
      <c r="F291" s="79">
        <v>45662</v>
      </c>
      <c r="G291" s="60" t="s">
        <v>752</v>
      </c>
      <c r="H291" s="60" t="s">
        <v>756</v>
      </c>
      <c r="I291" s="61" t="s">
        <v>312</v>
      </c>
      <c r="J291" s="504">
        <v>5837.5</v>
      </c>
      <c r="K291" s="494">
        <v>0.95748999999999995</v>
      </c>
      <c r="L291" s="78">
        <f t="shared" si="12"/>
        <v>5589.3478749999995</v>
      </c>
      <c r="M291" s="59"/>
      <c r="N291" s="63">
        <f t="shared" si="13"/>
        <v>2025</v>
      </c>
      <c r="O291" s="65">
        <f t="shared" si="14"/>
        <v>1</v>
      </c>
      <c r="P291" s="499">
        <v>1</v>
      </c>
    </row>
    <row r="292" spans="1:16" s="58" customFormat="1" ht="68.45">
      <c r="A292" s="59">
        <v>288</v>
      </c>
      <c r="B292" s="60" t="s">
        <v>137</v>
      </c>
      <c r="C292" s="60" t="s">
        <v>754</v>
      </c>
      <c r="D292" s="60" t="s">
        <v>310</v>
      </c>
      <c r="E292" s="60" t="s">
        <v>310</v>
      </c>
      <c r="F292" s="79">
        <v>45680</v>
      </c>
      <c r="G292" s="60" t="s">
        <v>310</v>
      </c>
      <c r="H292" s="60" t="s">
        <v>757</v>
      </c>
      <c r="I292" s="61" t="s">
        <v>312</v>
      </c>
      <c r="J292" s="506">
        <v>48.38</v>
      </c>
      <c r="K292" s="494">
        <v>0.95748999999999995</v>
      </c>
      <c r="L292" s="78">
        <f t="shared" si="12"/>
        <v>46.323366200000002</v>
      </c>
      <c r="M292" s="59"/>
      <c r="N292" s="63">
        <f t="shared" si="13"/>
        <v>2025</v>
      </c>
      <c r="O292" s="65">
        <f t="shared" si="14"/>
        <v>1</v>
      </c>
      <c r="P292" s="499">
        <v>0</v>
      </c>
    </row>
    <row r="293" spans="1:16" s="58" customFormat="1" ht="22.9">
      <c r="A293" s="59">
        <v>289</v>
      </c>
      <c r="B293" s="62">
        <v>4.3</v>
      </c>
      <c r="C293" s="60" t="s">
        <v>758</v>
      </c>
      <c r="D293" s="60" t="s">
        <v>310</v>
      </c>
      <c r="E293" s="59">
        <v>4680</v>
      </c>
      <c r="F293" s="79">
        <v>45659</v>
      </c>
      <c r="G293" s="60" t="s">
        <v>759</v>
      </c>
      <c r="H293" s="60" t="s">
        <v>760</v>
      </c>
      <c r="I293" s="61" t="s">
        <v>312</v>
      </c>
      <c r="J293" s="504">
        <v>26.1</v>
      </c>
      <c r="K293" s="494">
        <v>0.95748999999999995</v>
      </c>
      <c r="L293" s="78">
        <f t="shared" si="12"/>
        <v>24.990489</v>
      </c>
      <c r="M293" s="59"/>
      <c r="N293" s="63">
        <f t="shared" si="13"/>
        <v>2025</v>
      </c>
      <c r="O293" s="65">
        <f t="shared" si="14"/>
        <v>1</v>
      </c>
      <c r="P293" s="499">
        <v>0</v>
      </c>
    </row>
    <row r="294" spans="1:16" s="58" customFormat="1" ht="22.9">
      <c r="A294" s="59">
        <v>290</v>
      </c>
      <c r="B294" s="62">
        <v>4.3</v>
      </c>
      <c r="C294" s="60" t="s">
        <v>761</v>
      </c>
      <c r="D294" s="60" t="s">
        <v>310</v>
      </c>
      <c r="E294" s="61">
        <v>678</v>
      </c>
      <c r="F294" s="79">
        <v>45661</v>
      </c>
      <c r="G294" s="60" t="s">
        <v>762</v>
      </c>
      <c r="H294" s="60" t="s">
        <v>763</v>
      </c>
      <c r="I294" s="61" t="s">
        <v>312</v>
      </c>
      <c r="J294" s="504">
        <v>100</v>
      </c>
      <c r="K294" s="494">
        <v>0.95748999999999995</v>
      </c>
      <c r="L294" s="78">
        <f t="shared" si="12"/>
        <v>95.748999999999995</v>
      </c>
      <c r="M294" s="59"/>
      <c r="N294" s="63">
        <f t="shared" si="13"/>
        <v>2025</v>
      </c>
      <c r="O294" s="65">
        <f t="shared" si="14"/>
        <v>1</v>
      </c>
      <c r="P294" s="499">
        <v>0</v>
      </c>
    </row>
    <row r="295" spans="1:16" s="58" customFormat="1" ht="22.9">
      <c r="A295" s="59">
        <v>291</v>
      </c>
      <c r="B295" s="62">
        <v>4.3</v>
      </c>
      <c r="C295" s="60" t="s">
        <v>764</v>
      </c>
      <c r="D295" s="60" t="s">
        <v>310</v>
      </c>
      <c r="E295" s="61">
        <v>681</v>
      </c>
      <c r="F295" s="79">
        <v>45662</v>
      </c>
      <c r="G295" s="60" t="s">
        <v>762</v>
      </c>
      <c r="H295" s="60" t="s">
        <v>765</v>
      </c>
      <c r="I295" s="61" t="s">
        <v>312</v>
      </c>
      <c r="J295" s="504">
        <v>50</v>
      </c>
      <c r="K295" s="494">
        <v>0.95748999999999995</v>
      </c>
      <c r="L295" s="78">
        <f t="shared" si="12"/>
        <v>47.874499999999998</v>
      </c>
      <c r="M295" s="59"/>
      <c r="N295" s="63">
        <f t="shared" si="13"/>
        <v>2025</v>
      </c>
      <c r="O295" s="65">
        <f t="shared" si="14"/>
        <v>1</v>
      </c>
      <c r="P295" s="499">
        <v>0</v>
      </c>
    </row>
    <row r="296" spans="1:16" s="58" customFormat="1" ht="22.9">
      <c r="A296" s="59">
        <v>292</v>
      </c>
      <c r="B296" s="62">
        <v>2.2000000000000002</v>
      </c>
      <c r="C296" s="60" t="s">
        <v>766</v>
      </c>
      <c r="D296" s="60" t="s">
        <v>310</v>
      </c>
      <c r="E296" s="59">
        <v>3187</v>
      </c>
      <c r="F296" s="79">
        <v>45663</v>
      </c>
      <c r="G296" s="60" t="s">
        <v>693</v>
      </c>
      <c r="H296" s="60" t="s">
        <v>767</v>
      </c>
      <c r="I296" s="61" t="s">
        <v>210</v>
      </c>
      <c r="J296" s="504">
        <v>1410</v>
      </c>
      <c r="K296" s="494">
        <v>2.7109999999999999E-2</v>
      </c>
      <c r="L296" s="78">
        <f t="shared" si="12"/>
        <v>38.225099999999998</v>
      </c>
      <c r="M296" s="59"/>
      <c r="N296" s="63">
        <f t="shared" si="13"/>
        <v>2025</v>
      </c>
      <c r="O296" s="65">
        <f t="shared" si="14"/>
        <v>1</v>
      </c>
      <c r="P296" s="499">
        <v>0</v>
      </c>
    </row>
    <row r="297" spans="1:16" s="58" customFormat="1">
      <c r="A297" s="59">
        <v>293</v>
      </c>
      <c r="B297" s="62">
        <v>4.3</v>
      </c>
      <c r="C297" s="60" t="s">
        <v>768</v>
      </c>
      <c r="D297" s="60" t="s">
        <v>310</v>
      </c>
      <c r="E297" s="59">
        <v>12168</v>
      </c>
      <c r="F297" s="79">
        <v>45669</v>
      </c>
      <c r="G297" s="60" t="s">
        <v>769</v>
      </c>
      <c r="H297" s="60" t="s">
        <v>770</v>
      </c>
      <c r="I297" s="61" t="s">
        <v>210</v>
      </c>
      <c r="J297" s="504">
        <v>2000</v>
      </c>
      <c r="K297" s="494">
        <v>2.7109999999999999E-2</v>
      </c>
      <c r="L297" s="78">
        <f t="shared" si="12"/>
        <v>54.22</v>
      </c>
      <c r="M297" s="59"/>
      <c r="N297" s="63">
        <f t="shared" si="13"/>
        <v>2025</v>
      </c>
      <c r="O297" s="65">
        <f t="shared" si="14"/>
        <v>1</v>
      </c>
      <c r="P297" s="499">
        <v>0</v>
      </c>
    </row>
    <row r="298" spans="1:16" s="58" customFormat="1" ht="34.15">
      <c r="A298" s="59">
        <v>294</v>
      </c>
      <c r="B298" s="62">
        <v>2.2000000000000002</v>
      </c>
      <c r="C298" s="60" t="s">
        <v>771</v>
      </c>
      <c r="D298" s="60" t="s">
        <v>310</v>
      </c>
      <c r="E298" s="61" t="s">
        <v>772</v>
      </c>
      <c r="F298" s="79">
        <v>45671</v>
      </c>
      <c r="G298" s="60" t="s">
        <v>773</v>
      </c>
      <c r="H298" s="60" t="s">
        <v>774</v>
      </c>
      <c r="I298" s="61" t="s">
        <v>210</v>
      </c>
      <c r="J298" s="504">
        <v>2975</v>
      </c>
      <c r="K298" s="494">
        <v>2.7109999999999999E-2</v>
      </c>
      <c r="L298" s="78">
        <f t="shared" si="12"/>
        <v>80.652249999999995</v>
      </c>
      <c r="M298" s="59"/>
      <c r="N298" s="63">
        <f t="shared" si="13"/>
        <v>2025</v>
      </c>
      <c r="O298" s="65">
        <f t="shared" si="14"/>
        <v>1</v>
      </c>
      <c r="P298" s="499">
        <v>0</v>
      </c>
    </row>
    <row r="299" spans="1:16" s="58" customFormat="1" ht="34.15">
      <c r="A299" s="59">
        <v>295</v>
      </c>
      <c r="B299" s="62">
        <v>4.3</v>
      </c>
      <c r="C299" s="60" t="s">
        <v>775</v>
      </c>
      <c r="D299" s="60" t="s">
        <v>310</v>
      </c>
      <c r="E299" s="59">
        <v>689</v>
      </c>
      <c r="F299" s="79">
        <v>45682</v>
      </c>
      <c r="G299" s="60" t="s">
        <v>776</v>
      </c>
      <c r="H299" s="60" t="s">
        <v>777</v>
      </c>
      <c r="I299" s="61" t="s">
        <v>210</v>
      </c>
      <c r="J299" s="504">
        <v>3453</v>
      </c>
      <c r="K299" s="494">
        <v>2.7109999999999999E-2</v>
      </c>
      <c r="L299" s="78">
        <f t="shared" si="12"/>
        <v>93.610829999999993</v>
      </c>
      <c r="M299" s="59"/>
      <c r="N299" s="63">
        <f t="shared" si="13"/>
        <v>2025</v>
      </c>
      <c r="O299" s="65">
        <f t="shared" si="14"/>
        <v>1</v>
      </c>
      <c r="P299" s="499">
        <v>0</v>
      </c>
    </row>
    <row r="300" spans="1:16" s="58" customFormat="1" ht="34.15">
      <c r="A300" s="59">
        <v>296</v>
      </c>
      <c r="B300" s="62">
        <v>4.3</v>
      </c>
      <c r="C300" s="60" t="s">
        <v>778</v>
      </c>
      <c r="D300" s="60" t="s">
        <v>310</v>
      </c>
      <c r="E300" s="61" t="s">
        <v>779</v>
      </c>
      <c r="F300" s="79">
        <v>45686</v>
      </c>
      <c r="G300" s="60" t="s">
        <v>524</v>
      </c>
      <c r="H300" s="60" t="s">
        <v>780</v>
      </c>
      <c r="I300" s="61" t="s">
        <v>312</v>
      </c>
      <c r="J300" s="504">
        <v>19.760000000000002</v>
      </c>
      <c r="K300" s="494">
        <v>0.95748999999999995</v>
      </c>
      <c r="L300" s="78">
        <f t="shared" si="12"/>
        <v>18.920002400000001</v>
      </c>
      <c r="M300" s="59"/>
      <c r="N300" s="63">
        <f t="shared" si="13"/>
        <v>2025</v>
      </c>
      <c r="O300" s="65">
        <f t="shared" si="14"/>
        <v>1</v>
      </c>
      <c r="P300" s="499">
        <v>0</v>
      </c>
    </row>
    <row r="301" spans="1:16" s="58" customFormat="1" ht="22.9">
      <c r="A301" s="59">
        <v>297</v>
      </c>
      <c r="B301" s="62">
        <v>4.3</v>
      </c>
      <c r="C301" s="60" t="s">
        <v>778</v>
      </c>
      <c r="D301" s="60" t="s">
        <v>310</v>
      </c>
      <c r="E301" s="59">
        <v>454</v>
      </c>
      <c r="F301" s="79">
        <v>45686</v>
      </c>
      <c r="G301" s="60" t="s">
        <v>524</v>
      </c>
      <c r="H301" s="60" t="s">
        <v>781</v>
      </c>
      <c r="I301" s="61" t="s">
        <v>312</v>
      </c>
      <c r="J301" s="504">
        <v>1976</v>
      </c>
      <c r="K301" s="494">
        <v>0.95748999999999995</v>
      </c>
      <c r="L301" s="78">
        <f t="shared" si="12"/>
        <v>1892.0002399999998</v>
      </c>
      <c r="M301" s="59"/>
      <c r="N301" s="63">
        <f t="shared" si="13"/>
        <v>2025</v>
      </c>
      <c r="O301" s="65">
        <f t="shared" si="14"/>
        <v>1</v>
      </c>
      <c r="P301" s="499">
        <v>0</v>
      </c>
    </row>
    <row r="302" spans="1:16" s="58" customFormat="1">
      <c r="A302" s="59">
        <v>298</v>
      </c>
      <c r="B302" s="62">
        <v>4.3</v>
      </c>
      <c r="C302" s="60" t="s">
        <v>782</v>
      </c>
      <c r="D302" s="60" t="s">
        <v>310</v>
      </c>
      <c r="E302" s="59">
        <v>5946</v>
      </c>
      <c r="F302" s="79">
        <v>45691</v>
      </c>
      <c r="G302" s="60" t="s">
        <v>783</v>
      </c>
      <c r="H302" s="60" t="s">
        <v>784</v>
      </c>
      <c r="I302" s="61" t="s">
        <v>312</v>
      </c>
      <c r="J302" s="504">
        <v>17</v>
      </c>
      <c r="K302" s="494">
        <v>0.96126</v>
      </c>
      <c r="L302" s="78">
        <f t="shared" si="12"/>
        <v>16.341419999999999</v>
      </c>
      <c r="M302" s="59"/>
      <c r="N302" s="63">
        <f t="shared" si="13"/>
        <v>2025</v>
      </c>
      <c r="O302" s="65">
        <f t="shared" si="14"/>
        <v>2</v>
      </c>
      <c r="P302" s="499">
        <v>0</v>
      </c>
    </row>
    <row r="303" spans="1:16" s="58" customFormat="1" ht="34.15">
      <c r="A303" s="59">
        <v>299</v>
      </c>
      <c r="B303" s="60" t="s">
        <v>131</v>
      </c>
      <c r="C303" s="60" t="s">
        <v>785</v>
      </c>
      <c r="D303" s="60" t="s">
        <v>310</v>
      </c>
      <c r="E303" s="59">
        <v>1212</v>
      </c>
      <c r="F303" s="79">
        <v>45703</v>
      </c>
      <c r="G303" s="60" t="s">
        <v>786</v>
      </c>
      <c r="H303" s="60" t="s">
        <v>787</v>
      </c>
      <c r="I303" s="61" t="s">
        <v>210</v>
      </c>
      <c r="J303" s="504">
        <v>3603</v>
      </c>
      <c r="K303" s="494">
        <v>2.6870000000000002E-2</v>
      </c>
      <c r="L303" s="78">
        <f t="shared" si="12"/>
        <v>96.812610000000006</v>
      </c>
      <c r="M303" s="59"/>
      <c r="N303" s="63">
        <f t="shared" si="13"/>
        <v>2025</v>
      </c>
      <c r="O303" s="65">
        <f t="shared" si="14"/>
        <v>2</v>
      </c>
      <c r="P303" s="499">
        <v>0</v>
      </c>
    </row>
    <row r="304" spans="1:16" s="58" customFormat="1" ht="34.15">
      <c r="A304" s="59">
        <v>300</v>
      </c>
      <c r="B304" s="62">
        <v>4.3</v>
      </c>
      <c r="C304" s="60" t="s">
        <v>788</v>
      </c>
      <c r="D304" s="60" t="s">
        <v>310</v>
      </c>
      <c r="E304" s="59">
        <v>12168</v>
      </c>
      <c r="F304" s="79">
        <v>45715</v>
      </c>
      <c r="G304" s="60" t="s">
        <v>769</v>
      </c>
      <c r="H304" s="60" t="s">
        <v>789</v>
      </c>
      <c r="I304" s="61" t="s">
        <v>210</v>
      </c>
      <c r="J304" s="504">
        <v>1847</v>
      </c>
      <c r="K304" s="494">
        <v>2.6870000000000002E-2</v>
      </c>
      <c r="L304" s="78">
        <f t="shared" si="12"/>
        <v>49.628890000000006</v>
      </c>
      <c r="M304" s="59"/>
      <c r="N304" s="63">
        <f t="shared" si="13"/>
        <v>2025</v>
      </c>
      <c r="O304" s="65">
        <f t="shared" si="14"/>
        <v>2</v>
      </c>
      <c r="P304" s="499">
        <v>0</v>
      </c>
    </row>
    <row r="305" spans="1:16" s="58" customFormat="1">
      <c r="A305" s="59">
        <v>301</v>
      </c>
      <c r="B305" s="62">
        <v>4.3</v>
      </c>
      <c r="C305" s="60" t="s">
        <v>790</v>
      </c>
      <c r="D305" s="60" t="s">
        <v>310</v>
      </c>
      <c r="E305" s="59">
        <v>1751</v>
      </c>
      <c r="F305" s="79">
        <v>45715</v>
      </c>
      <c r="G305" s="60" t="s">
        <v>791</v>
      </c>
      <c r="H305" s="60" t="s">
        <v>792</v>
      </c>
      <c r="I305" s="61" t="s">
        <v>312</v>
      </c>
      <c r="J305" s="504">
        <v>96</v>
      </c>
      <c r="K305" s="494">
        <v>0.96126</v>
      </c>
      <c r="L305" s="78">
        <f t="shared" si="12"/>
        <v>92.280959999999993</v>
      </c>
      <c r="M305" s="59"/>
      <c r="N305" s="63">
        <f t="shared" si="13"/>
        <v>2025</v>
      </c>
      <c r="O305" s="65">
        <f t="shared" si="14"/>
        <v>2</v>
      </c>
      <c r="P305" s="499">
        <v>0</v>
      </c>
    </row>
    <row r="306" spans="1:16" s="58" customFormat="1" ht="34.15">
      <c r="A306" s="59">
        <v>302</v>
      </c>
      <c r="B306" s="62">
        <v>4.5</v>
      </c>
      <c r="C306" s="60" t="s">
        <v>793</v>
      </c>
      <c r="D306" s="60" t="s">
        <v>310</v>
      </c>
      <c r="E306" s="61" t="s">
        <v>794</v>
      </c>
      <c r="F306" s="79">
        <v>45664</v>
      </c>
      <c r="G306" s="60" t="s">
        <v>795</v>
      </c>
      <c r="H306" s="60" t="s">
        <v>796</v>
      </c>
      <c r="I306" s="61" t="s">
        <v>210</v>
      </c>
      <c r="J306" s="504">
        <v>1376</v>
      </c>
      <c r="K306" s="494">
        <v>2.7109999999999999E-2</v>
      </c>
      <c r="L306" s="78">
        <f t="shared" si="12"/>
        <v>37.303359999999998</v>
      </c>
      <c r="M306" s="59"/>
      <c r="N306" s="63">
        <f t="shared" si="13"/>
        <v>2025</v>
      </c>
      <c r="O306" s="65">
        <f t="shared" si="14"/>
        <v>1</v>
      </c>
      <c r="P306" s="499">
        <v>0</v>
      </c>
    </row>
    <row r="307" spans="1:16" s="58" customFormat="1" ht="34.15">
      <c r="A307" s="59">
        <v>303</v>
      </c>
      <c r="B307" s="62">
        <v>4.5</v>
      </c>
      <c r="C307" s="60" t="s">
        <v>797</v>
      </c>
      <c r="D307" s="60" t="s">
        <v>310</v>
      </c>
      <c r="E307" s="61" t="s">
        <v>798</v>
      </c>
      <c r="F307" s="79">
        <v>45666</v>
      </c>
      <c r="G307" s="60" t="s">
        <v>799</v>
      </c>
      <c r="H307" s="60" t="s">
        <v>800</v>
      </c>
      <c r="I307" s="61" t="s">
        <v>312</v>
      </c>
      <c r="J307" s="504">
        <v>78</v>
      </c>
      <c r="K307" s="494">
        <v>0.95748999999999995</v>
      </c>
      <c r="L307" s="78">
        <f t="shared" si="12"/>
        <v>74.684219999999996</v>
      </c>
      <c r="M307" s="59"/>
      <c r="N307" s="63">
        <f t="shared" si="13"/>
        <v>2025</v>
      </c>
      <c r="O307" s="65">
        <f t="shared" si="14"/>
        <v>1</v>
      </c>
      <c r="P307" s="499">
        <v>0</v>
      </c>
    </row>
    <row r="308" spans="1:16" s="58" customFormat="1" ht="68.45">
      <c r="A308" s="59">
        <v>304</v>
      </c>
      <c r="B308" s="62">
        <v>4.5</v>
      </c>
      <c r="C308" s="60" t="s">
        <v>801</v>
      </c>
      <c r="D308" s="60" t="s">
        <v>310</v>
      </c>
      <c r="E308" s="59">
        <v>1211</v>
      </c>
      <c r="F308" s="79">
        <v>45686</v>
      </c>
      <c r="G308" s="60" t="s">
        <v>510</v>
      </c>
      <c r="H308" s="60" t="s">
        <v>802</v>
      </c>
      <c r="I308" s="61" t="s">
        <v>312</v>
      </c>
      <c r="J308" s="504">
        <v>3090.56</v>
      </c>
      <c r="K308" s="494">
        <v>0.95748999999999995</v>
      </c>
      <c r="L308" s="78">
        <f t="shared" si="12"/>
        <v>2959.1802943999996</v>
      </c>
      <c r="M308" s="59"/>
      <c r="N308" s="63">
        <f t="shared" si="13"/>
        <v>2025</v>
      </c>
      <c r="O308" s="65">
        <f t="shared" si="14"/>
        <v>1</v>
      </c>
      <c r="P308" s="499">
        <v>0</v>
      </c>
    </row>
    <row r="309" spans="1:16" s="58" customFormat="1" ht="57">
      <c r="A309" s="59">
        <v>305</v>
      </c>
      <c r="B309" s="62">
        <v>4.5</v>
      </c>
      <c r="C309" s="60" t="s">
        <v>803</v>
      </c>
      <c r="D309" s="60" t="s">
        <v>310</v>
      </c>
      <c r="E309" s="59">
        <v>402</v>
      </c>
      <c r="F309" s="79">
        <v>45690</v>
      </c>
      <c r="G309" s="60" t="s">
        <v>804</v>
      </c>
      <c r="H309" s="60" t="s">
        <v>805</v>
      </c>
      <c r="I309" s="61" t="s">
        <v>312</v>
      </c>
      <c r="J309" s="504">
        <v>1557</v>
      </c>
      <c r="K309" s="494">
        <v>0.96126</v>
      </c>
      <c r="L309" s="78">
        <f t="shared" si="12"/>
        <v>1496.68182</v>
      </c>
      <c r="M309" s="59"/>
      <c r="N309" s="63">
        <f t="shared" si="13"/>
        <v>2025</v>
      </c>
      <c r="O309" s="65">
        <f t="shared" si="14"/>
        <v>2</v>
      </c>
      <c r="P309" s="499">
        <v>0</v>
      </c>
    </row>
    <row r="310" spans="1:16" s="58" customFormat="1" ht="45.6">
      <c r="A310" s="59">
        <v>306</v>
      </c>
      <c r="B310" s="62">
        <v>4.5</v>
      </c>
      <c r="C310" s="60" t="s">
        <v>806</v>
      </c>
      <c r="D310" s="60" t="s">
        <v>310</v>
      </c>
      <c r="E310" s="59">
        <v>1507</v>
      </c>
      <c r="F310" s="79">
        <v>45691</v>
      </c>
      <c r="G310" s="60" t="s">
        <v>807</v>
      </c>
      <c r="H310" s="60" t="s">
        <v>808</v>
      </c>
      <c r="I310" s="61" t="s">
        <v>312</v>
      </c>
      <c r="J310" s="504">
        <v>2338</v>
      </c>
      <c r="K310" s="494">
        <v>0.96126</v>
      </c>
      <c r="L310" s="78">
        <f t="shared" si="12"/>
        <v>2247.4258800000002</v>
      </c>
      <c r="M310" s="59"/>
      <c r="N310" s="63">
        <f t="shared" si="13"/>
        <v>2025</v>
      </c>
      <c r="O310" s="65">
        <f t="shared" si="14"/>
        <v>2</v>
      </c>
      <c r="P310" s="499">
        <v>0</v>
      </c>
    </row>
    <row r="311" spans="1:16" s="58" customFormat="1" ht="34.15">
      <c r="A311" s="59">
        <v>307</v>
      </c>
      <c r="B311" s="62">
        <v>4.5</v>
      </c>
      <c r="C311" s="60" t="s">
        <v>809</v>
      </c>
      <c r="D311" s="60" t="s">
        <v>310</v>
      </c>
      <c r="E311" s="59">
        <v>1508</v>
      </c>
      <c r="F311" s="79">
        <v>45700</v>
      </c>
      <c r="G311" s="60" t="s">
        <v>807</v>
      </c>
      <c r="H311" s="60" t="s">
        <v>810</v>
      </c>
      <c r="I311" s="61" t="s">
        <v>312</v>
      </c>
      <c r="J311" s="504">
        <v>877.6</v>
      </c>
      <c r="K311" s="494">
        <v>0.96126</v>
      </c>
      <c r="L311" s="78">
        <f t="shared" si="12"/>
        <v>843.60177599999997</v>
      </c>
      <c r="M311" s="59"/>
      <c r="N311" s="63">
        <f t="shared" si="13"/>
        <v>2025</v>
      </c>
      <c r="O311" s="65">
        <f t="shared" si="14"/>
        <v>2</v>
      </c>
      <c r="P311" s="499">
        <v>0</v>
      </c>
    </row>
    <row r="312" spans="1:16" s="58" customFormat="1" ht="34.15">
      <c r="A312" s="59">
        <v>308</v>
      </c>
      <c r="B312" s="62">
        <v>4.5</v>
      </c>
      <c r="C312" s="60" t="s">
        <v>811</v>
      </c>
      <c r="D312" s="60" t="s">
        <v>310</v>
      </c>
      <c r="E312" s="59">
        <v>4156</v>
      </c>
      <c r="F312" s="79">
        <v>45707</v>
      </c>
      <c r="G312" s="60" t="s">
        <v>812</v>
      </c>
      <c r="H312" s="60" t="s">
        <v>813</v>
      </c>
      <c r="I312" s="61" t="s">
        <v>312</v>
      </c>
      <c r="J312" s="504">
        <v>458.8</v>
      </c>
      <c r="K312" s="494">
        <v>0.96126</v>
      </c>
      <c r="L312" s="78">
        <f t="shared" si="12"/>
        <v>441.02608800000002</v>
      </c>
      <c r="M312" s="59"/>
      <c r="N312" s="63">
        <f t="shared" si="13"/>
        <v>2025</v>
      </c>
      <c r="O312" s="65">
        <f t="shared" si="14"/>
        <v>2</v>
      </c>
      <c r="P312" s="499">
        <v>0</v>
      </c>
    </row>
    <row r="313" spans="1:16" s="58" customFormat="1" ht="68.45">
      <c r="A313" s="59">
        <v>309</v>
      </c>
      <c r="B313" s="62">
        <v>4.5</v>
      </c>
      <c r="C313" s="60" t="s">
        <v>814</v>
      </c>
      <c r="D313" s="60" t="s">
        <v>310</v>
      </c>
      <c r="E313" s="61" t="s">
        <v>815</v>
      </c>
      <c r="F313" s="79">
        <v>45713</v>
      </c>
      <c r="G313" s="60" t="s">
        <v>799</v>
      </c>
      <c r="H313" s="60" t="s">
        <v>816</v>
      </c>
      <c r="I313" s="61" t="s">
        <v>312</v>
      </c>
      <c r="J313" s="504">
        <v>630</v>
      </c>
      <c r="K313" s="494">
        <v>0.96126</v>
      </c>
      <c r="L313" s="78">
        <f t="shared" si="12"/>
        <v>605.59379999999999</v>
      </c>
      <c r="M313" s="59"/>
      <c r="N313" s="63">
        <f t="shared" si="13"/>
        <v>2025</v>
      </c>
      <c r="O313" s="65">
        <f t="shared" si="14"/>
        <v>2</v>
      </c>
      <c r="P313" s="499">
        <v>0</v>
      </c>
    </row>
    <row r="314" spans="1:16" s="58" customFormat="1" ht="34.15">
      <c r="A314" s="59">
        <v>310</v>
      </c>
      <c r="B314" s="62">
        <v>4.5</v>
      </c>
      <c r="C314" s="60" t="s">
        <v>600</v>
      </c>
      <c r="D314" s="60" t="s">
        <v>310</v>
      </c>
      <c r="E314" s="60" t="s">
        <v>310</v>
      </c>
      <c r="F314" s="79">
        <v>45714</v>
      </c>
      <c r="G314" s="60" t="s">
        <v>310</v>
      </c>
      <c r="H314" s="60" t="s">
        <v>817</v>
      </c>
      <c r="I314" s="61" t="s">
        <v>312</v>
      </c>
      <c r="J314" s="504">
        <v>46.81</v>
      </c>
      <c r="K314" s="494">
        <v>0.96126</v>
      </c>
      <c r="L314" s="78">
        <f t="shared" si="12"/>
        <v>44.996580600000001</v>
      </c>
      <c r="M314" s="59"/>
      <c r="N314" s="63">
        <f t="shared" si="13"/>
        <v>2025</v>
      </c>
      <c r="O314" s="65">
        <f t="shared" si="14"/>
        <v>2</v>
      </c>
      <c r="P314" s="499">
        <v>0</v>
      </c>
    </row>
    <row r="315" spans="1:16" s="58" customFormat="1" ht="34.15">
      <c r="A315" s="59">
        <v>311</v>
      </c>
      <c r="B315" s="62">
        <v>4.5</v>
      </c>
      <c r="C315" s="60" t="s">
        <v>818</v>
      </c>
      <c r="D315" s="60" t="s">
        <v>310</v>
      </c>
      <c r="E315" s="60" t="s">
        <v>310</v>
      </c>
      <c r="F315" s="79">
        <v>45715</v>
      </c>
      <c r="G315" s="60" t="s">
        <v>819</v>
      </c>
      <c r="H315" s="60" t="s">
        <v>820</v>
      </c>
      <c r="I315" s="61" t="s">
        <v>312</v>
      </c>
      <c r="J315" s="504">
        <v>4681</v>
      </c>
      <c r="K315" s="494">
        <v>0.96126</v>
      </c>
      <c r="L315" s="78">
        <f t="shared" si="12"/>
        <v>4499.6580599999998</v>
      </c>
      <c r="M315" s="59"/>
      <c r="N315" s="63">
        <f t="shared" si="13"/>
        <v>2025</v>
      </c>
      <c r="O315" s="65">
        <f t="shared" si="14"/>
        <v>2</v>
      </c>
      <c r="P315" s="499">
        <v>0</v>
      </c>
    </row>
    <row r="316" spans="1:16" s="58" customFormat="1" ht="68.45">
      <c r="A316" s="59">
        <v>312</v>
      </c>
      <c r="B316" s="62">
        <v>4.5</v>
      </c>
      <c r="C316" s="60" t="s">
        <v>821</v>
      </c>
      <c r="D316" s="61" t="s">
        <v>822</v>
      </c>
      <c r="E316" s="61" t="s">
        <v>822</v>
      </c>
      <c r="F316" s="79">
        <v>45715</v>
      </c>
      <c r="G316" s="60" t="s">
        <v>510</v>
      </c>
      <c r="H316" s="60" t="s">
        <v>823</v>
      </c>
      <c r="I316" s="61" t="s">
        <v>312</v>
      </c>
      <c r="J316" s="504">
        <v>4951.92</v>
      </c>
      <c r="K316" s="494">
        <v>0.96126</v>
      </c>
      <c r="L316" s="78">
        <f t="shared" si="12"/>
        <v>4760.0826192000004</v>
      </c>
      <c r="M316" s="59"/>
      <c r="N316" s="63">
        <f t="shared" si="13"/>
        <v>2025</v>
      </c>
      <c r="O316" s="65">
        <f t="shared" si="14"/>
        <v>2</v>
      </c>
      <c r="P316" s="499">
        <v>0</v>
      </c>
    </row>
    <row r="317" spans="1:16" s="58" customFormat="1" ht="68.45">
      <c r="A317" s="59">
        <v>313</v>
      </c>
      <c r="B317" s="62">
        <v>4.5</v>
      </c>
      <c r="C317" s="60" t="s">
        <v>824</v>
      </c>
      <c r="D317" s="61" t="s">
        <v>825</v>
      </c>
      <c r="E317" s="61" t="s">
        <v>825</v>
      </c>
      <c r="F317" s="79">
        <v>45715</v>
      </c>
      <c r="G317" s="60" t="s">
        <v>310</v>
      </c>
      <c r="H317" s="60" t="s">
        <v>826</v>
      </c>
      <c r="I317" s="61" t="s">
        <v>312</v>
      </c>
      <c r="J317" s="504">
        <v>49.51</v>
      </c>
      <c r="K317" s="494">
        <v>0.96126</v>
      </c>
      <c r="L317" s="78">
        <f t="shared" si="12"/>
        <v>47.591982600000001</v>
      </c>
      <c r="M317" s="59"/>
      <c r="N317" s="63">
        <f t="shared" si="13"/>
        <v>2025</v>
      </c>
      <c r="O317" s="65">
        <f t="shared" si="14"/>
        <v>2</v>
      </c>
      <c r="P317" s="499">
        <v>0</v>
      </c>
    </row>
    <row r="318" spans="1:16" s="58" customFormat="1" ht="34.15">
      <c r="A318" s="59">
        <v>314</v>
      </c>
      <c r="B318" s="62">
        <v>4.5</v>
      </c>
      <c r="C318" s="60" t="s">
        <v>827</v>
      </c>
      <c r="D318" s="59" t="s">
        <v>310</v>
      </c>
      <c r="E318" s="60" t="s">
        <v>310</v>
      </c>
      <c r="F318" s="79">
        <v>45715</v>
      </c>
      <c r="G318" s="60" t="s">
        <v>310</v>
      </c>
      <c r="H318" s="60" t="s">
        <v>828</v>
      </c>
      <c r="I318" s="61" t="s">
        <v>312</v>
      </c>
      <c r="J318" s="504">
        <v>4.59</v>
      </c>
      <c r="K318" s="494">
        <v>0.96126</v>
      </c>
      <c r="L318" s="78">
        <f t="shared" si="12"/>
        <v>4.4121834</v>
      </c>
      <c r="M318" s="59"/>
      <c r="N318" s="63">
        <f t="shared" si="13"/>
        <v>2025</v>
      </c>
      <c r="O318" s="65">
        <f t="shared" si="14"/>
        <v>2</v>
      </c>
      <c r="P318" s="499">
        <v>0</v>
      </c>
    </row>
    <row r="319" spans="1:16" s="58" customFormat="1" ht="68.45">
      <c r="A319" s="59">
        <v>315</v>
      </c>
      <c r="B319" s="62">
        <v>4.5</v>
      </c>
      <c r="C319" s="60" t="s">
        <v>744</v>
      </c>
      <c r="D319" s="59" t="s">
        <v>310</v>
      </c>
      <c r="E319" s="60" t="s">
        <v>310</v>
      </c>
      <c r="F319" s="79">
        <v>45715</v>
      </c>
      <c r="G319" s="60" t="s">
        <v>310</v>
      </c>
      <c r="H319" s="60" t="s">
        <v>829</v>
      </c>
      <c r="I319" s="61" t="s">
        <v>312</v>
      </c>
      <c r="J319" s="504">
        <v>30.9</v>
      </c>
      <c r="K319" s="494">
        <v>0.96126</v>
      </c>
      <c r="L319" s="78">
        <f t="shared" si="12"/>
        <v>29.702933999999999</v>
      </c>
      <c r="M319" s="59"/>
      <c r="N319" s="63">
        <f t="shared" si="13"/>
        <v>2025</v>
      </c>
      <c r="O319" s="65">
        <f t="shared" si="14"/>
        <v>2</v>
      </c>
      <c r="P319" s="499">
        <v>0</v>
      </c>
    </row>
    <row r="320" spans="1:16" s="58" customFormat="1" ht="34.15">
      <c r="A320" s="59">
        <v>316</v>
      </c>
      <c r="B320" s="62">
        <v>4.5</v>
      </c>
      <c r="C320" s="60" t="s">
        <v>827</v>
      </c>
      <c r="D320" s="59" t="s">
        <v>310</v>
      </c>
      <c r="E320" s="60" t="s">
        <v>310</v>
      </c>
      <c r="F320" s="79">
        <v>45715</v>
      </c>
      <c r="G320" s="60" t="s">
        <v>310</v>
      </c>
      <c r="H320" s="60" t="s">
        <v>830</v>
      </c>
      <c r="I320" s="61" t="s">
        <v>312</v>
      </c>
      <c r="J320" s="504">
        <v>8.77</v>
      </c>
      <c r="K320" s="494">
        <v>0.96126</v>
      </c>
      <c r="L320" s="78">
        <f t="shared" si="12"/>
        <v>8.4302501999999997</v>
      </c>
      <c r="M320" s="59"/>
      <c r="N320" s="63">
        <f t="shared" si="13"/>
        <v>2025</v>
      </c>
      <c r="O320" s="65">
        <f t="shared" si="14"/>
        <v>2</v>
      </c>
      <c r="P320" s="499">
        <v>0</v>
      </c>
    </row>
    <row r="321" spans="1:16" s="58" customFormat="1" ht="45.6">
      <c r="A321" s="59">
        <v>317</v>
      </c>
      <c r="B321" s="62">
        <v>4.5</v>
      </c>
      <c r="C321" s="60" t="s">
        <v>744</v>
      </c>
      <c r="D321" s="59" t="s">
        <v>310</v>
      </c>
      <c r="E321" s="60" t="s">
        <v>310</v>
      </c>
      <c r="F321" s="79">
        <v>45715</v>
      </c>
      <c r="G321" s="60" t="s">
        <v>310</v>
      </c>
      <c r="H321" s="60" t="s">
        <v>831</v>
      </c>
      <c r="I321" s="61" t="s">
        <v>312</v>
      </c>
      <c r="J321" s="504">
        <v>203.38</v>
      </c>
      <c r="K321" s="494">
        <v>0.96126</v>
      </c>
      <c r="L321" s="78">
        <f t="shared" si="12"/>
        <v>195.50105880000001</v>
      </c>
      <c r="M321" s="59"/>
      <c r="N321" s="63">
        <f t="shared" si="13"/>
        <v>2025</v>
      </c>
      <c r="O321" s="65">
        <f t="shared" si="14"/>
        <v>2</v>
      </c>
      <c r="P321" s="499">
        <v>1</v>
      </c>
    </row>
    <row r="322" spans="1:16" s="58" customFormat="1" ht="57">
      <c r="A322" s="59">
        <v>318</v>
      </c>
      <c r="B322" s="62">
        <v>4.5</v>
      </c>
      <c r="C322" s="60" t="s">
        <v>744</v>
      </c>
      <c r="D322" s="59" t="s">
        <v>310</v>
      </c>
      <c r="E322" s="60" t="s">
        <v>310</v>
      </c>
      <c r="F322" s="79">
        <v>45715</v>
      </c>
      <c r="G322" s="60" t="s">
        <v>310</v>
      </c>
      <c r="H322" s="60" t="s">
        <v>832</v>
      </c>
      <c r="I322" s="61" t="s">
        <v>312</v>
      </c>
      <c r="J322" s="504">
        <v>15.57</v>
      </c>
      <c r="K322" s="494">
        <v>0.96126</v>
      </c>
      <c r="L322" s="78">
        <f t="shared" si="12"/>
        <v>14.966818200000001</v>
      </c>
      <c r="M322" s="59"/>
      <c r="N322" s="63">
        <f t="shared" si="13"/>
        <v>2025</v>
      </c>
      <c r="O322" s="65">
        <f t="shared" si="14"/>
        <v>2</v>
      </c>
      <c r="P322" s="499">
        <v>0</v>
      </c>
    </row>
    <row r="323" spans="1:16" s="58" customFormat="1" ht="12" thickBot="1">
      <c r="A323" s="59">
        <v>319</v>
      </c>
      <c r="B323" s="62"/>
      <c r="C323" s="60"/>
      <c r="D323" s="59"/>
      <c r="E323" s="59"/>
      <c r="F323" s="79"/>
      <c r="G323" s="60"/>
      <c r="H323" s="60"/>
      <c r="I323" s="61"/>
      <c r="J323" s="504"/>
      <c r="K323" s="492"/>
      <c r="L323" s="78">
        <f t="shared" si="12"/>
        <v>0</v>
      </c>
      <c r="M323" s="59"/>
      <c r="N323" s="63"/>
      <c r="O323" s="70"/>
    </row>
    <row r="324" spans="1:16" ht="12.6" thickTop="1" thickBot="1">
      <c r="L324" s="500">
        <f>SUM(L5:L323)</f>
        <v>100296.40153103197</v>
      </c>
    </row>
    <row r="325" spans="1:16" ht="12" thickTop="1"/>
  </sheetData>
  <autoFilter ref="A4:O324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M47"/>
  <sheetViews>
    <sheetView view="pageLayout" zoomScale="70" zoomScaleNormal="100" zoomScalePageLayoutView="70" workbookViewId="0">
      <selection activeCell="B9" sqref="B9"/>
    </sheetView>
  </sheetViews>
  <sheetFormatPr defaultColWidth="11" defaultRowHeight="11.45"/>
  <cols>
    <col min="1" max="1" width="5.125" style="1" bestFit="1" customWidth="1"/>
    <col min="2" max="2" width="30.5" style="5" customWidth="1"/>
    <col min="3" max="3" width="38.875" style="4" customWidth="1"/>
    <col min="4" max="4" width="12.125" style="2" customWidth="1"/>
    <col min="5" max="5" width="9" style="3" customWidth="1"/>
    <col min="6" max="6" width="10.875" style="82" customWidth="1"/>
    <col min="7" max="7" width="12" style="82" customWidth="1"/>
    <col min="8" max="8" width="2.125" style="1" customWidth="1"/>
    <col min="9" max="13" width="12" style="82" customWidth="1"/>
    <col min="14" max="14" width="11" style="1" customWidth="1"/>
    <col min="15" max="16384" width="11" style="1"/>
  </cols>
  <sheetData>
    <row r="1" spans="1:13" ht="47.25" customHeight="1">
      <c r="A1" s="560" t="s">
        <v>833</v>
      </c>
      <c r="B1" s="574"/>
      <c r="C1" s="574"/>
      <c r="D1" s="35"/>
      <c r="E1" s="35"/>
      <c r="I1" s="563"/>
      <c r="J1" s="564"/>
      <c r="K1" s="564"/>
      <c r="L1" s="565" t="s">
        <v>834</v>
      </c>
      <c r="M1" s="573"/>
    </row>
    <row r="2" spans="1:13" ht="17.25" customHeight="1">
      <c r="A2" s="569" t="s">
        <v>835</v>
      </c>
      <c r="B2" s="573"/>
      <c r="C2" s="26"/>
    </row>
    <row r="3" spans="1:13" ht="17.25" customHeight="1">
      <c r="A3" s="568" t="s">
        <v>836</v>
      </c>
      <c r="B3" s="573"/>
      <c r="C3" s="28"/>
      <c r="E3" s="33"/>
      <c r="F3" s="83"/>
      <c r="G3" s="31"/>
    </row>
    <row r="4" spans="1:13" ht="17.25" customHeight="1" thickBot="1">
      <c r="A4" s="567" t="s">
        <v>837</v>
      </c>
      <c r="B4" s="575"/>
      <c r="C4" s="27"/>
    </row>
    <row r="5" spans="1:13" s="10" customFormat="1" ht="35.1" customHeight="1" thickBot="1">
      <c r="A5" s="6"/>
      <c r="B5" s="7" t="s">
        <v>838</v>
      </c>
      <c r="C5" s="8" t="s">
        <v>839</v>
      </c>
      <c r="D5" s="8" t="s">
        <v>13</v>
      </c>
      <c r="E5" s="9" t="s">
        <v>14</v>
      </c>
      <c r="F5" s="84" t="s">
        <v>840</v>
      </c>
      <c r="G5" s="37" t="s">
        <v>841</v>
      </c>
      <c r="I5" s="85" t="s">
        <v>179</v>
      </c>
      <c r="J5" s="84" t="s">
        <v>180</v>
      </c>
      <c r="K5" s="86" t="s">
        <v>181</v>
      </c>
      <c r="L5" s="56" t="s">
        <v>842</v>
      </c>
      <c r="M5" s="36" t="s">
        <v>843</v>
      </c>
    </row>
    <row r="6" spans="1:13" ht="18" customHeight="1">
      <c r="A6" s="11">
        <v>1</v>
      </c>
      <c r="B6" s="12"/>
      <c r="C6" s="13" t="s">
        <v>34</v>
      </c>
      <c r="D6" s="48"/>
      <c r="E6" s="49"/>
      <c r="F6" s="87"/>
      <c r="G6" s="88"/>
      <c r="I6" s="89"/>
      <c r="J6" s="90"/>
      <c r="K6" s="91"/>
      <c r="L6" s="92"/>
      <c r="M6" s="92"/>
    </row>
    <row r="7" spans="1:13" ht="12" customHeight="1">
      <c r="A7" s="15" t="s">
        <v>35</v>
      </c>
      <c r="B7" s="16"/>
      <c r="C7" s="16" t="s">
        <v>36</v>
      </c>
      <c r="D7" s="46"/>
      <c r="E7" s="47"/>
      <c r="F7" s="93"/>
      <c r="G7" s="94"/>
      <c r="I7" s="95"/>
      <c r="J7" s="96"/>
      <c r="K7" s="97"/>
      <c r="L7" s="98"/>
      <c r="M7" s="98"/>
    </row>
    <row r="8" spans="1:13" ht="25.5" customHeight="1">
      <c r="A8" s="15" t="s">
        <v>844</v>
      </c>
      <c r="B8" s="16" t="s">
        <v>845</v>
      </c>
      <c r="C8" s="16"/>
      <c r="D8" s="30" t="s">
        <v>40</v>
      </c>
      <c r="E8" s="18"/>
      <c r="F8" s="99"/>
      <c r="G8" s="100">
        <f>F8*E8</f>
        <v>0</v>
      </c>
      <c r="I8" s="101"/>
      <c r="J8" s="102"/>
      <c r="K8" s="103"/>
      <c r="L8" s="104">
        <f>SUM(I8:K8)</f>
        <v>0</v>
      </c>
      <c r="M8" s="104">
        <f>L8-G8</f>
        <v>0</v>
      </c>
    </row>
    <row r="9" spans="1:13" ht="29.25" customHeight="1">
      <c r="A9" s="15" t="s">
        <v>846</v>
      </c>
      <c r="B9" s="16" t="s">
        <v>845</v>
      </c>
      <c r="C9" s="16"/>
      <c r="D9" s="30" t="s">
        <v>40</v>
      </c>
      <c r="E9" s="18"/>
      <c r="F9" s="99"/>
      <c r="G9" s="100">
        <f>F9*E9</f>
        <v>0</v>
      </c>
      <c r="I9" s="101"/>
      <c r="J9" s="102"/>
      <c r="K9" s="103"/>
      <c r="L9" s="104">
        <f>SUM(I9:K9)</f>
        <v>0</v>
      </c>
      <c r="M9" s="104">
        <f>L9-G9</f>
        <v>0</v>
      </c>
    </row>
    <row r="10" spans="1:13" ht="12" customHeight="1">
      <c r="A10" s="15" t="s">
        <v>99</v>
      </c>
      <c r="B10" s="16"/>
      <c r="C10" s="16" t="s">
        <v>847</v>
      </c>
      <c r="D10" s="46"/>
      <c r="E10" s="47"/>
      <c r="F10" s="93"/>
      <c r="G10" s="94"/>
      <c r="I10" s="95"/>
      <c r="J10" s="96"/>
      <c r="K10" s="97"/>
      <c r="L10" s="98"/>
      <c r="M10" s="105"/>
    </row>
    <row r="11" spans="1:13" ht="36" customHeight="1">
      <c r="A11" s="15" t="s">
        <v>101</v>
      </c>
      <c r="B11" s="16" t="s">
        <v>848</v>
      </c>
      <c r="C11" s="16"/>
      <c r="D11" s="30" t="s">
        <v>165</v>
      </c>
      <c r="E11" s="18"/>
      <c r="F11" s="99"/>
      <c r="G11" s="100">
        <f>F11*E11</f>
        <v>0</v>
      </c>
      <c r="I11" s="101"/>
      <c r="J11" s="102"/>
      <c r="K11" s="103"/>
      <c r="L11" s="104">
        <f>SUM(I11:K11)</f>
        <v>0</v>
      </c>
      <c r="M11" s="104">
        <f>L11-G11</f>
        <v>0</v>
      </c>
    </row>
    <row r="12" spans="1:13" ht="42.75" customHeight="1">
      <c r="A12" s="15" t="s">
        <v>849</v>
      </c>
      <c r="B12" s="16" t="s">
        <v>848</v>
      </c>
      <c r="C12" s="16"/>
      <c r="D12" s="30" t="s">
        <v>165</v>
      </c>
      <c r="E12" s="18"/>
      <c r="F12" s="99"/>
      <c r="G12" s="100">
        <f>F12*E12</f>
        <v>0</v>
      </c>
      <c r="I12" s="101"/>
      <c r="J12" s="102"/>
      <c r="K12" s="103"/>
      <c r="L12" s="104">
        <f>SUM(I12:K12)</f>
        <v>0</v>
      </c>
      <c r="M12" s="104">
        <f>L12-G12</f>
        <v>0</v>
      </c>
    </row>
    <row r="13" spans="1:13" ht="12" customHeight="1">
      <c r="A13" s="15" t="s">
        <v>102</v>
      </c>
      <c r="B13" s="16"/>
      <c r="C13" s="16" t="s">
        <v>850</v>
      </c>
      <c r="D13" s="46"/>
      <c r="E13" s="47"/>
      <c r="F13" s="93"/>
      <c r="G13" s="94"/>
      <c r="I13" s="95"/>
      <c r="J13" s="96"/>
      <c r="K13" s="97"/>
      <c r="L13" s="105"/>
      <c r="M13" s="105"/>
    </row>
    <row r="14" spans="1:13" ht="27.75" customHeight="1">
      <c r="A14" s="15" t="s">
        <v>104</v>
      </c>
      <c r="B14" s="16" t="s">
        <v>851</v>
      </c>
      <c r="C14" s="16"/>
      <c r="D14" s="30" t="s">
        <v>165</v>
      </c>
      <c r="E14" s="18"/>
      <c r="F14" s="99"/>
      <c r="G14" s="100">
        <f>F14*E14</f>
        <v>0</v>
      </c>
      <c r="I14" s="101"/>
      <c r="J14" s="102"/>
      <c r="K14" s="103"/>
      <c r="L14" s="104">
        <f>SUM(I14:K14)</f>
        <v>0</v>
      </c>
      <c r="M14" s="104">
        <f>L14-G14</f>
        <v>0</v>
      </c>
    </row>
    <row r="15" spans="1:13" ht="27.75" customHeight="1" thickBot="1">
      <c r="A15" s="41" t="s">
        <v>852</v>
      </c>
      <c r="B15" s="42" t="s">
        <v>851</v>
      </c>
      <c r="C15" s="42"/>
      <c r="D15" s="38" t="s">
        <v>165</v>
      </c>
      <c r="E15" s="39"/>
      <c r="F15" s="106"/>
      <c r="G15" s="107">
        <f>F15*E15</f>
        <v>0</v>
      </c>
      <c r="I15" s="108"/>
      <c r="J15" s="109"/>
      <c r="K15" s="110"/>
      <c r="L15" s="111">
        <f>SUM(I15:K15)</f>
        <v>0</v>
      </c>
      <c r="M15" s="111">
        <f>L15-G15</f>
        <v>0</v>
      </c>
    </row>
    <row r="16" spans="1:13" ht="18" customHeight="1" thickBot="1">
      <c r="A16" s="562" t="s">
        <v>853</v>
      </c>
      <c r="B16" s="576"/>
      <c r="C16" s="577"/>
      <c r="D16" s="54"/>
      <c r="E16" s="54"/>
      <c r="F16" s="54"/>
      <c r="G16" s="112">
        <f>SUM(G8:G15)</f>
        <v>0</v>
      </c>
      <c r="I16" s="113">
        <f>SUM(I8:I15)</f>
        <v>0</v>
      </c>
      <c r="J16" s="114">
        <f>SUM(J8:J15)</f>
        <v>0</v>
      </c>
      <c r="K16" s="115">
        <f>SUM(K8:K15)</f>
        <v>0</v>
      </c>
      <c r="L16" s="116">
        <f>SUM(I16:K16)</f>
        <v>0</v>
      </c>
      <c r="M16" s="116">
        <f>L16-G16</f>
        <v>0</v>
      </c>
    </row>
    <row r="17" spans="1:13" ht="18" customHeight="1">
      <c r="A17" s="40">
        <v>2</v>
      </c>
      <c r="B17" s="43"/>
      <c r="C17" s="44" t="s">
        <v>854</v>
      </c>
      <c r="D17" s="53"/>
      <c r="E17" s="51"/>
      <c r="F17" s="117"/>
      <c r="G17" s="118"/>
      <c r="I17" s="89"/>
      <c r="J17" s="90"/>
      <c r="K17" s="91"/>
      <c r="L17" s="92"/>
      <c r="M17" s="92"/>
    </row>
    <row r="18" spans="1:13" ht="12" customHeight="1">
      <c r="A18" s="11" t="s">
        <v>107</v>
      </c>
      <c r="B18" s="12" t="s">
        <v>855</v>
      </c>
      <c r="C18" s="12"/>
      <c r="D18" s="55" t="s">
        <v>856</v>
      </c>
      <c r="E18" s="14"/>
      <c r="F18" s="119"/>
      <c r="G18" s="120">
        <f>F18*E18</f>
        <v>0</v>
      </c>
      <c r="I18" s="101"/>
      <c r="J18" s="102"/>
      <c r="K18" s="103"/>
      <c r="L18" s="104">
        <f>SUM(I18:K18)</f>
        <v>0</v>
      </c>
      <c r="M18" s="104">
        <f>L18-G18</f>
        <v>0</v>
      </c>
    </row>
    <row r="19" spans="1:13" ht="12.6" customHeight="1" thickBot="1">
      <c r="A19" s="41" t="s">
        <v>112</v>
      </c>
      <c r="B19" s="42" t="s">
        <v>857</v>
      </c>
      <c r="C19" s="42"/>
      <c r="D19" s="52" t="s">
        <v>856</v>
      </c>
      <c r="E19" s="39"/>
      <c r="F19" s="121"/>
      <c r="G19" s="107">
        <f>F19*E19</f>
        <v>0</v>
      </c>
      <c r="I19" s="108"/>
      <c r="J19" s="109"/>
      <c r="K19" s="110"/>
      <c r="L19" s="111">
        <f>SUM(I19:K19)</f>
        <v>0</v>
      </c>
      <c r="M19" s="111">
        <f>L19-G19</f>
        <v>0</v>
      </c>
    </row>
    <row r="20" spans="1:13" ht="17.25" customHeight="1" thickBot="1">
      <c r="A20" s="562" t="s">
        <v>858</v>
      </c>
      <c r="B20" s="576"/>
      <c r="C20" s="577"/>
      <c r="D20" s="34"/>
      <c r="E20" s="34"/>
      <c r="F20" s="34"/>
      <c r="G20" s="122">
        <f>SUM(G19,G18)</f>
        <v>0</v>
      </c>
      <c r="I20" s="113">
        <f>SUM(I19,I18)</f>
        <v>0</v>
      </c>
      <c r="J20" s="114">
        <f>SUM(J19,J18)</f>
        <v>0</v>
      </c>
      <c r="K20" s="115">
        <f>SUM(K19,K18)</f>
        <v>0</v>
      </c>
      <c r="L20" s="116">
        <f>SUM(I20:K20)</f>
        <v>0</v>
      </c>
      <c r="M20" s="116">
        <f>L20-G20</f>
        <v>0</v>
      </c>
    </row>
    <row r="21" spans="1:13" ht="18" customHeight="1">
      <c r="A21" s="40">
        <v>3</v>
      </c>
      <c r="B21" s="43"/>
      <c r="C21" s="44" t="s">
        <v>859</v>
      </c>
      <c r="D21" s="53"/>
      <c r="E21" s="51"/>
      <c r="F21" s="117"/>
      <c r="G21" s="118"/>
      <c r="I21" s="89"/>
      <c r="J21" s="90"/>
      <c r="K21" s="91"/>
      <c r="L21" s="92"/>
      <c r="M21" s="92"/>
    </row>
    <row r="22" spans="1:13" ht="29.25" customHeight="1">
      <c r="A22" s="15" t="s">
        <v>116</v>
      </c>
      <c r="B22" s="16" t="s">
        <v>860</v>
      </c>
      <c r="C22" s="16"/>
      <c r="D22" s="30"/>
      <c r="E22" s="18"/>
      <c r="F22" s="123"/>
      <c r="G22" s="100">
        <f>F22*E22</f>
        <v>0</v>
      </c>
      <c r="I22" s="101"/>
      <c r="J22" s="102"/>
      <c r="K22" s="103"/>
      <c r="L22" s="104">
        <f>SUM(I22:K22)</f>
        <v>0</v>
      </c>
      <c r="M22" s="104">
        <f>L22-G22</f>
        <v>0</v>
      </c>
    </row>
    <row r="23" spans="1:13" ht="29.25" customHeight="1">
      <c r="A23" s="15" t="s">
        <v>119</v>
      </c>
      <c r="B23" s="16" t="s">
        <v>860</v>
      </c>
      <c r="C23" s="16"/>
      <c r="D23" s="30"/>
      <c r="E23" s="18"/>
      <c r="F23" s="123"/>
      <c r="G23" s="100">
        <f>F23*E23</f>
        <v>0</v>
      </c>
      <c r="I23" s="101"/>
      <c r="J23" s="102"/>
      <c r="K23" s="103"/>
      <c r="L23" s="104">
        <f>SUM(I23:K23)</f>
        <v>0</v>
      </c>
      <c r="M23" s="104">
        <f>L23-G23</f>
        <v>0</v>
      </c>
    </row>
    <row r="24" spans="1:13" ht="29.25" customHeight="1">
      <c r="A24" s="15" t="s">
        <v>861</v>
      </c>
      <c r="B24" s="16" t="s">
        <v>860</v>
      </c>
      <c r="C24" s="16"/>
      <c r="D24" s="30"/>
      <c r="E24" s="18"/>
      <c r="F24" s="123"/>
      <c r="G24" s="100">
        <f>F24*E24</f>
        <v>0</v>
      </c>
      <c r="I24" s="101"/>
      <c r="J24" s="102"/>
      <c r="K24" s="103"/>
      <c r="L24" s="104">
        <f>SUM(I24:K24)</f>
        <v>0</v>
      </c>
      <c r="M24" s="104">
        <f>L24-G24</f>
        <v>0</v>
      </c>
    </row>
    <row r="25" spans="1:13" ht="29.25" customHeight="1" thickBot="1">
      <c r="A25" s="41" t="s">
        <v>862</v>
      </c>
      <c r="B25" s="42" t="s">
        <v>860</v>
      </c>
      <c r="C25" s="42"/>
      <c r="D25" s="38"/>
      <c r="E25" s="39"/>
      <c r="F25" s="121"/>
      <c r="G25" s="107">
        <f>F25*E25</f>
        <v>0</v>
      </c>
      <c r="I25" s="108"/>
      <c r="J25" s="109"/>
      <c r="K25" s="110"/>
      <c r="L25" s="111">
        <f>SUM(I25:K25)</f>
        <v>0</v>
      </c>
      <c r="M25" s="111">
        <f>L25-G25</f>
        <v>0</v>
      </c>
    </row>
    <row r="26" spans="1:13" ht="18" customHeight="1" thickBot="1">
      <c r="A26" s="562" t="s">
        <v>863</v>
      </c>
      <c r="B26" s="576"/>
      <c r="C26" s="577"/>
      <c r="D26" s="34"/>
      <c r="E26" s="34"/>
      <c r="F26" s="34"/>
      <c r="G26" s="122">
        <f>SUM(G22:G25)</f>
        <v>0</v>
      </c>
      <c r="I26" s="113">
        <f>SUM(I22:I25)</f>
        <v>0</v>
      </c>
      <c r="J26" s="114">
        <f>SUM(J22:J25)</f>
        <v>0</v>
      </c>
      <c r="K26" s="115">
        <f>SUM(K22:K25)</f>
        <v>0</v>
      </c>
      <c r="L26" s="116">
        <f>SUM(I26:K26)</f>
        <v>0</v>
      </c>
      <c r="M26" s="116">
        <f>L26-G26</f>
        <v>0</v>
      </c>
    </row>
    <row r="27" spans="1:13" ht="12" customHeight="1">
      <c r="A27" s="40">
        <v>4</v>
      </c>
      <c r="B27" s="43"/>
      <c r="C27" s="44" t="s">
        <v>864</v>
      </c>
      <c r="D27" s="50"/>
      <c r="E27" s="51"/>
      <c r="F27" s="117"/>
      <c r="G27" s="118"/>
      <c r="I27" s="89"/>
      <c r="J27" s="90"/>
      <c r="K27" s="91"/>
      <c r="L27" s="92"/>
      <c r="M27" s="92"/>
    </row>
    <row r="28" spans="1:13" ht="12" customHeight="1">
      <c r="A28" s="15" t="s">
        <v>147</v>
      </c>
      <c r="B28" s="16" t="s">
        <v>865</v>
      </c>
      <c r="C28" s="16"/>
      <c r="D28" s="16" t="s">
        <v>866</v>
      </c>
      <c r="E28" s="19"/>
      <c r="F28" s="123"/>
      <c r="G28" s="100">
        <f>F28*E28</f>
        <v>0</v>
      </c>
      <c r="I28" s="101"/>
      <c r="J28" s="102"/>
      <c r="K28" s="103"/>
      <c r="L28" s="104">
        <f t="shared" ref="L28:L35" si="0">SUM(I28:K28)</f>
        <v>0</v>
      </c>
      <c r="M28" s="104">
        <f t="shared" ref="M28:M35" si="1">L28-G28</f>
        <v>0</v>
      </c>
    </row>
    <row r="29" spans="1:13" ht="24" customHeight="1">
      <c r="A29" s="15" t="s">
        <v>149</v>
      </c>
      <c r="B29" s="16" t="s">
        <v>867</v>
      </c>
      <c r="C29" s="16"/>
      <c r="D29" s="29" t="s">
        <v>165</v>
      </c>
      <c r="E29" s="18"/>
      <c r="F29" s="123"/>
      <c r="G29" s="100">
        <f>F29*E29</f>
        <v>0</v>
      </c>
      <c r="I29" s="101"/>
      <c r="J29" s="102"/>
      <c r="K29" s="103"/>
      <c r="L29" s="104">
        <f t="shared" si="0"/>
        <v>0</v>
      </c>
      <c r="M29" s="104">
        <f t="shared" si="1"/>
        <v>0</v>
      </c>
    </row>
    <row r="30" spans="1:13" ht="15" customHeight="1">
      <c r="A30" s="15" t="s">
        <v>154</v>
      </c>
      <c r="B30" s="16" t="s">
        <v>864</v>
      </c>
      <c r="C30" s="16"/>
      <c r="D30" s="17"/>
      <c r="E30" s="18"/>
      <c r="F30" s="123"/>
      <c r="G30" s="100">
        <f>F30*E30</f>
        <v>0</v>
      </c>
      <c r="I30" s="101"/>
      <c r="J30" s="102"/>
      <c r="K30" s="103"/>
      <c r="L30" s="104">
        <f t="shared" si="0"/>
        <v>0</v>
      </c>
      <c r="M30" s="104">
        <f t="shared" si="1"/>
        <v>0</v>
      </c>
    </row>
    <row r="31" spans="1:13" ht="12" customHeight="1">
      <c r="A31" s="15" t="s">
        <v>868</v>
      </c>
      <c r="B31" s="16"/>
      <c r="C31" s="16"/>
      <c r="D31" s="17"/>
      <c r="E31" s="18"/>
      <c r="F31" s="123"/>
      <c r="G31" s="100">
        <f>F31*E31</f>
        <v>0</v>
      </c>
      <c r="I31" s="101"/>
      <c r="J31" s="102"/>
      <c r="K31" s="103"/>
      <c r="L31" s="104">
        <f t="shared" si="0"/>
        <v>0</v>
      </c>
      <c r="M31" s="104">
        <f t="shared" si="1"/>
        <v>0</v>
      </c>
    </row>
    <row r="32" spans="1:13" ht="12.6" customHeight="1" thickBot="1">
      <c r="A32" s="41" t="s">
        <v>158</v>
      </c>
      <c r="B32" s="42"/>
      <c r="C32" s="42"/>
      <c r="D32" s="45"/>
      <c r="E32" s="39"/>
      <c r="F32" s="121"/>
      <c r="G32" s="107">
        <f>F32*E32</f>
        <v>0</v>
      </c>
      <c r="I32" s="108"/>
      <c r="J32" s="109"/>
      <c r="K32" s="110"/>
      <c r="L32" s="111">
        <f t="shared" si="0"/>
        <v>0</v>
      </c>
      <c r="M32" s="111">
        <f t="shared" si="1"/>
        <v>0</v>
      </c>
    </row>
    <row r="33" spans="1:13" ht="16.5" customHeight="1" thickBot="1">
      <c r="A33" s="562" t="s">
        <v>869</v>
      </c>
      <c r="B33" s="576"/>
      <c r="C33" s="577"/>
      <c r="D33" s="34"/>
      <c r="E33" s="34"/>
      <c r="F33" s="34"/>
      <c r="G33" s="122">
        <f>SUM(G28:G32)</f>
        <v>0</v>
      </c>
      <c r="I33" s="124">
        <f>SUM(I28:I32)</f>
        <v>0</v>
      </c>
      <c r="J33" s="125">
        <f>SUM(J28:J32)</f>
        <v>0</v>
      </c>
      <c r="K33" s="126">
        <f>SUM(K28:K32)</f>
        <v>0</v>
      </c>
      <c r="L33" s="127">
        <f t="shared" si="0"/>
        <v>0</v>
      </c>
      <c r="M33" s="127">
        <f t="shared" si="1"/>
        <v>0</v>
      </c>
    </row>
    <row r="34" spans="1:13" ht="15.75" customHeight="1" thickBot="1">
      <c r="A34" s="562" t="s">
        <v>870</v>
      </c>
      <c r="B34" s="576"/>
      <c r="C34" s="577"/>
      <c r="D34" s="34"/>
      <c r="E34" s="34"/>
      <c r="F34" s="34"/>
      <c r="G34" s="122">
        <f>(G16+G20+G26+G33)*10%</f>
        <v>0</v>
      </c>
      <c r="I34" s="124">
        <f>(I16+I20+I26+I33)*10%</f>
        <v>0</v>
      </c>
      <c r="J34" s="125">
        <f>(J16+J20+J26+J33)*10%</f>
        <v>0</v>
      </c>
      <c r="K34" s="126">
        <f>(K16+K20+K26+K33)*10%</f>
        <v>0</v>
      </c>
      <c r="L34" s="127">
        <f t="shared" si="0"/>
        <v>0</v>
      </c>
      <c r="M34" s="127">
        <f t="shared" si="1"/>
        <v>0</v>
      </c>
    </row>
    <row r="35" spans="1:13" ht="19.5" customHeight="1" thickBot="1">
      <c r="A35" s="566" t="s">
        <v>871</v>
      </c>
      <c r="B35" s="576"/>
      <c r="C35" s="577"/>
      <c r="D35" s="34"/>
      <c r="E35" s="34"/>
      <c r="F35" s="34"/>
      <c r="G35" s="128">
        <f>SUM(G34,G33,G26,G20,G16)</f>
        <v>0</v>
      </c>
      <c r="I35" s="113">
        <f>SUM(I34,I33,I26,I20,I16)</f>
        <v>0</v>
      </c>
      <c r="J35" s="114">
        <f>SUM(J34,J33,J26,J20,J16)</f>
        <v>0</v>
      </c>
      <c r="K35" s="115">
        <f>SUM(K34,K33,K26,K20,K16)</f>
        <v>0</v>
      </c>
      <c r="L35" s="116">
        <f t="shared" si="0"/>
        <v>0</v>
      </c>
      <c r="M35" s="116">
        <f t="shared" si="1"/>
        <v>0</v>
      </c>
    </row>
    <row r="36" spans="1:13" ht="6" customHeight="1" thickBot="1">
      <c r="A36" s="20"/>
      <c r="B36" s="21"/>
      <c r="C36" s="22"/>
      <c r="D36" s="23"/>
      <c r="E36" s="24"/>
      <c r="F36" s="129"/>
      <c r="G36" s="130"/>
      <c r="I36" s="131"/>
      <c r="J36" s="132"/>
      <c r="K36" s="133"/>
      <c r="L36" s="134"/>
      <c r="M36" s="134"/>
    </row>
    <row r="37" spans="1:13" s="2" customFormat="1" ht="21.75" customHeight="1">
      <c r="A37" s="561" t="s">
        <v>872</v>
      </c>
      <c r="B37" s="578"/>
      <c r="C37" s="579"/>
      <c r="D37" s="25" t="s">
        <v>873</v>
      </c>
      <c r="E37" s="25" t="s">
        <v>874</v>
      </c>
      <c r="F37" s="135" t="s">
        <v>177</v>
      </c>
      <c r="G37" s="136" t="s">
        <v>875</v>
      </c>
      <c r="I37" s="137" t="s">
        <v>875</v>
      </c>
      <c r="J37" s="138" t="s">
        <v>875</v>
      </c>
      <c r="K37" s="139" t="s">
        <v>875</v>
      </c>
      <c r="L37" s="140" t="s">
        <v>875</v>
      </c>
      <c r="M37" s="140" t="s">
        <v>875</v>
      </c>
    </row>
    <row r="38" spans="1:13" ht="15" customHeight="1">
      <c r="A38" s="558" t="s">
        <v>876</v>
      </c>
      <c r="B38" s="572"/>
      <c r="C38" s="572"/>
      <c r="D38" s="572"/>
      <c r="E38" s="573"/>
      <c r="F38" s="32" t="e">
        <f t="shared" ref="F38:F44" si="2">G38/$G$45</f>
        <v>#DIV/0!</v>
      </c>
      <c r="G38" s="141"/>
      <c r="I38" s="142"/>
      <c r="J38" s="143"/>
      <c r="K38" s="144"/>
      <c r="L38" s="104">
        <f t="shared" ref="L38:L45" si="3">SUM(I38:K38)</f>
        <v>0</v>
      </c>
      <c r="M38" s="104">
        <f t="shared" ref="M38:M45" si="4">L38-G38</f>
        <v>0</v>
      </c>
    </row>
    <row r="39" spans="1:13" ht="15" customHeight="1">
      <c r="A39" s="74" t="s">
        <v>877</v>
      </c>
      <c r="B39" s="75"/>
      <c r="C39" s="75"/>
      <c r="D39" s="75"/>
      <c r="E39" s="75"/>
      <c r="F39" s="32" t="e">
        <f t="shared" si="2"/>
        <v>#DIV/0!</v>
      </c>
      <c r="G39" s="141"/>
      <c r="I39" s="142"/>
      <c r="J39" s="143"/>
      <c r="K39" s="144"/>
      <c r="L39" s="104">
        <f t="shared" si="3"/>
        <v>0</v>
      </c>
      <c r="M39" s="104">
        <f t="shared" si="4"/>
        <v>0</v>
      </c>
    </row>
    <row r="40" spans="1:13" ht="15" customHeight="1">
      <c r="A40" s="74" t="s">
        <v>877</v>
      </c>
      <c r="B40" s="75"/>
      <c r="C40" s="75"/>
      <c r="D40" s="75"/>
      <c r="E40" s="75"/>
      <c r="F40" s="32" t="e">
        <f t="shared" si="2"/>
        <v>#DIV/0!</v>
      </c>
      <c r="G40" s="141"/>
      <c r="I40" s="142"/>
      <c r="J40" s="143"/>
      <c r="K40" s="144"/>
      <c r="L40" s="104">
        <f t="shared" si="3"/>
        <v>0</v>
      </c>
      <c r="M40" s="104">
        <f t="shared" si="4"/>
        <v>0</v>
      </c>
    </row>
    <row r="41" spans="1:13" ht="15" customHeight="1">
      <c r="A41" s="74" t="s">
        <v>877</v>
      </c>
      <c r="B41" s="75"/>
      <c r="C41" s="75"/>
      <c r="D41" s="75"/>
      <c r="E41" s="75"/>
      <c r="F41" s="32" t="e">
        <f t="shared" si="2"/>
        <v>#DIV/0!</v>
      </c>
      <c r="G41" s="141"/>
      <c r="I41" s="142"/>
      <c r="J41" s="143"/>
      <c r="K41" s="144"/>
      <c r="L41" s="104">
        <f t="shared" si="3"/>
        <v>0</v>
      </c>
      <c r="M41" s="104">
        <f t="shared" si="4"/>
        <v>0</v>
      </c>
    </row>
    <row r="42" spans="1:13" ht="15" customHeight="1">
      <c r="A42" s="74" t="s">
        <v>877</v>
      </c>
      <c r="B42" s="75"/>
      <c r="C42" s="75"/>
      <c r="D42" s="75"/>
      <c r="E42" s="75"/>
      <c r="F42" s="32" t="e">
        <f t="shared" si="2"/>
        <v>#DIV/0!</v>
      </c>
      <c r="G42" s="141"/>
      <c r="I42" s="142"/>
      <c r="J42" s="143"/>
      <c r="K42" s="144"/>
      <c r="L42" s="104">
        <f t="shared" si="3"/>
        <v>0</v>
      </c>
      <c r="M42" s="104">
        <f t="shared" si="4"/>
        <v>0</v>
      </c>
    </row>
    <row r="43" spans="1:13" ht="15" customHeight="1">
      <c r="A43" s="74" t="s">
        <v>877</v>
      </c>
      <c r="B43" s="75"/>
      <c r="C43" s="75"/>
      <c r="D43" s="75"/>
      <c r="E43" s="75"/>
      <c r="F43" s="32" t="e">
        <f t="shared" si="2"/>
        <v>#DIV/0!</v>
      </c>
      <c r="G43" s="141"/>
      <c r="I43" s="142"/>
      <c r="J43" s="143"/>
      <c r="K43" s="144"/>
      <c r="L43" s="104">
        <f t="shared" si="3"/>
        <v>0</v>
      </c>
      <c r="M43" s="104">
        <f t="shared" si="4"/>
        <v>0</v>
      </c>
    </row>
    <row r="44" spans="1:13" ht="15" customHeight="1" thickBot="1">
      <c r="A44" s="74" t="s">
        <v>878</v>
      </c>
      <c r="B44" s="75"/>
      <c r="C44" s="75"/>
      <c r="D44" s="75"/>
      <c r="E44" s="75"/>
      <c r="F44" s="32" t="e">
        <f t="shared" si="2"/>
        <v>#DIV/0!</v>
      </c>
      <c r="G44" s="141"/>
      <c r="I44" s="142"/>
      <c r="J44" s="143"/>
      <c r="K44" s="144"/>
      <c r="L44" s="145">
        <f t="shared" si="3"/>
        <v>0</v>
      </c>
      <c r="M44" s="145">
        <f t="shared" si="4"/>
        <v>0</v>
      </c>
    </row>
    <row r="45" spans="1:13" ht="19.5" customHeight="1" thickBot="1">
      <c r="A45" s="559" t="s">
        <v>188</v>
      </c>
      <c r="B45" s="580"/>
      <c r="C45" s="580"/>
      <c r="D45" s="580"/>
      <c r="E45" s="581"/>
      <c r="F45" s="146"/>
      <c r="G45" s="147">
        <f>SUM(G38:G44)</f>
        <v>0</v>
      </c>
      <c r="I45" s="113">
        <f>SUM(I38:I44)</f>
        <v>0</v>
      </c>
      <c r="J45" s="114">
        <f>SUM(J38:J44)</f>
        <v>0</v>
      </c>
      <c r="K45" s="115">
        <f>SUM(K38:K44)</f>
        <v>0</v>
      </c>
      <c r="L45" s="116">
        <f t="shared" si="3"/>
        <v>0</v>
      </c>
      <c r="M45" s="116">
        <f t="shared" si="4"/>
        <v>0</v>
      </c>
    </row>
    <row r="46" spans="1:13" ht="6" customHeight="1" thickBot="1">
      <c r="I46" s="148"/>
      <c r="J46" s="149"/>
      <c r="K46" s="150"/>
      <c r="L46" s="151"/>
      <c r="M46" s="152"/>
    </row>
    <row r="47" spans="1:13" ht="19.5" customHeight="1" thickBot="1">
      <c r="A47" s="557" t="s">
        <v>190</v>
      </c>
      <c r="B47" s="576"/>
      <c r="C47" s="576"/>
      <c r="D47" s="576"/>
      <c r="E47" s="576"/>
      <c r="F47" s="576"/>
      <c r="G47" s="153">
        <f>+G45-G35</f>
        <v>0</v>
      </c>
      <c r="I47" s="113">
        <f>+I45-I35</f>
        <v>0</v>
      </c>
      <c r="J47" s="114">
        <f>+J45-J35</f>
        <v>0</v>
      </c>
      <c r="K47" s="115">
        <f>+K45-K35</f>
        <v>0</v>
      </c>
      <c r="L47" s="116">
        <f>SUM(I47:K47)</f>
        <v>0</v>
      </c>
      <c r="M47" s="116">
        <f>L47-G47</f>
        <v>0</v>
      </c>
    </row>
  </sheetData>
  <mergeCells count="16">
    <mergeCell ref="I1:K1"/>
    <mergeCell ref="L1:M1"/>
    <mergeCell ref="A34:C34"/>
    <mergeCell ref="A35:C35"/>
    <mergeCell ref="A20:C20"/>
    <mergeCell ref="A26:C26"/>
    <mergeCell ref="A4:B4"/>
    <mergeCell ref="A3:B3"/>
    <mergeCell ref="A33:C33"/>
    <mergeCell ref="A2:B2"/>
    <mergeCell ref="A47:F47"/>
    <mergeCell ref="A38:E38"/>
    <mergeCell ref="A45:E45"/>
    <mergeCell ref="A1:C1"/>
    <mergeCell ref="A37:C37"/>
    <mergeCell ref="A16:C16"/>
  </mergeCells>
  <pageMargins left="0.39000000000000012" right="0.3" top="0.53" bottom="0.46000000000000008" header="0.28999999999999998" footer="0.24"/>
  <pageSetup paperSize="9" scale="52" fitToHeight="2" orientation="portrait" r:id="rId1"/>
  <headerFooter alignWithMargins="0">
    <oddHeader>&amp;C&amp;K000000Call for Projects : "Solidarity Ukraine"&amp;R&amp;K000000 FDF</oddHeader>
    <oddFooter>&amp;L&amp;D&amp;R&amp;P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74C70827CE1643B5B73FB1777F5DED" ma:contentTypeVersion="3" ma:contentTypeDescription="Crée un document." ma:contentTypeScope="" ma:versionID="01cf83ad81305ca96ce9e6ad6c2380a9">
  <xsd:schema xmlns:xsd="http://www.w3.org/2001/XMLSchema" xmlns:xs="http://www.w3.org/2001/XMLSchema" xmlns:p="http://schemas.microsoft.com/office/2006/metadata/properties" xmlns:ns2="3079b3ca-dd4f-4e66-a9f9-5e0fc6984ea8" targetNamespace="http://schemas.microsoft.com/office/2006/metadata/properties" ma:root="true" ma:fieldsID="5a990775ec9fe13f5e9ec4203d501fa4" ns2:_="">
    <xsd:import namespace="3079b3ca-dd4f-4e66-a9f9-5e0fc6984e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9b3ca-dd4f-4e66-a9f9-5e0fc6984e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36C15-C014-4B74-A9A8-562C7273706C}"/>
</file>

<file path=customXml/itemProps2.xml><?xml version="1.0" encoding="utf-8"?>
<ds:datastoreItem xmlns:ds="http://schemas.openxmlformats.org/officeDocument/2006/customXml" ds:itemID="{8618139D-2782-4AD3-B604-862B0ED33C43}"/>
</file>

<file path=customXml/itemProps3.xml><?xml version="1.0" encoding="utf-8"?>
<ds:datastoreItem xmlns:ds="http://schemas.openxmlformats.org/officeDocument/2006/customXml" ds:itemID="{3421E114-5D42-43ED-B3AA-7CA6288CCC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Appel à projets FDF / CFSI 2010</dc:title>
  <dc:subject>Soutien aux Agricultures familiales en Afrique de l'Ouest</dc:subject>
  <dc:creator>FLOC'H Jérôme</dc:creator>
  <cp:keywords/>
  <dc:description/>
  <cp:lastModifiedBy>WARTELLE Thomas</cp:lastModifiedBy>
  <cp:revision/>
  <dcterms:created xsi:type="dcterms:W3CDTF">2007-06-06T18:00:06Z</dcterms:created>
  <dcterms:modified xsi:type="dcterms:W3CDTF">2026-01-26T15:40:31Z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0x0101007474C70827CE1643B5B73FB1777F5DED</vt:lpwstr>
  </property>
  <property fmtid="{D5CDD505-2E9C-101B-9397-08002B2CF9AE}" pid="3" name="MediaServiceImageTags">
    <vt:lpwstr/>
  </property>
</Properties>
</file>